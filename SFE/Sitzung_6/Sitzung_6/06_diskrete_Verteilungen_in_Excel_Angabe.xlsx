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6/Sitzung_6/"/>
    </mc:Choice>
  </mc:AlternateContent>
  <xr:revisionPtr revIDLastSave="148" documentId="13_ncr:1_{5579308C-CA16-4D1E-BC26-C66A3B6BB056}" xr6:coauthVersionLast="47" xr6:coauthVersionMax="47" xr10:uidLastSave="{172F54C7-D2BC-4C20-BD06-94D49498256C}"/>
  <bookViews>
    <workbookView minimized="1" xWindow="6525" yWindow="1875" windowWidth="21600" windowHeight="12525" activeTab="4" xr2:uid="{00000000-000D-0000-FFFF-FFFF00000000}"/>
  </bookViews>
  <sheets>
    <sheet name="Überblick" sheetId="5" r:id="rId1"/>
    <sheet name="f(x) vs. F(x)" sheetId="4" r:id="rId2"/>
    <sheet name="X ~ B" sheetId="1" r:id="rId3"/>
    <sheet name="X ~ H" sheetId="2" r:id="rId4"/>
    <sheet name="X ~ P"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7" i="3" l="1"/>
  <c r="I76" i="3"/>
  <c r="G77" i="3"/>
  <c r="G76" i="3"/>
  <c r="F77" i="3"/>
  <c r="F76" i="3"/>
  <c r="Q78" i="3"/>
  <c r="C77" i="3"/>
  <c r="C76" i="3"/>
  <c r="I69" i="3"/>
  <c r="I68" i="3"/>
  <c r="G69" i="3"/>
  <c r="G68" i="3"/>
  <c r="F69" i="3"/>
  <c r="F68" i="3"/>
  <c r="C69" i="3"/>
  <c r="C68" i="3"/>
  <c r="I60" i="3"/>
  <c r="D57" i="3"/>
  <c r="D56" i="3"/>
  <c r="D55" i="3"/>
  <c r="G40" i="3"/>
  <c r="G41" i="3"/>
  <c r="G42" i="3"/>
  <c r="G43" i="3"/>
  <c r="G44" i="3"/>
  <c r="G45" i="3"/>
  <c r="G46" i="3"/>
  <c r="G47" i="3"/>
  <c r="G48" i="3"/>
  <c r="G39" i="3"/>
  <c r="D40" i="3"/>
  <c r="D41" i="3"/>
  <c r="D42" i="3"/>
  <c r="D43" i="3"/>
  <c r="D44" i="3"/>
  <c r="D45" i="3"/>
  <c r="D46" i="3"/>
  <c r="D47" i="3"/>
  <c r="D48" i="3"/>
  <c r="D39" i="3"/>
  <c r="E93" i="2"/>
  <c r="E92" i="2"/>
  <c r="E91" i="2"/>
  <c r="D84" i="2"/>
  <c r="D72" i="2"/>
  <c r="D73" i="2"/>
  <c r="D74" i="2"/>
  <c r="D75" i="2"/>
  <c r="D76" i="2"/>
  <c r="D77" i="2"/>
  <c r="D78" i="2"/>
  <c r="D79" i="2"/>
  <c r="D80" i="2"/>
  <c r="D81" i="2"/>
  <c r="D82" i="2"/>
  <c r="D83" i="2"/>
  <c r="D71" i="2"/>
  <c r="D65" i="2"/>
  <c r="D59" i="2"/>
  <c r="D60" i="2"/>
  <c r="D61" i="2"/>
  <c r="D62" i="2"/>
  <c r="D63" i="2"/>
  <c r="D64" i="2"/>
  <c r="D58" i="2"/>
  <c r="E40" i="2"/>
  <c r="E41" i="2"/>
  <c r="E42" i="2"/>
  <c r="E43" i="2"/>
  <c r="E44" i="2"/>
  <c r="E45" i="2"/>
  <c r="E46" i="2"/>
  <c r="E39" i="2"/>
  <c r="D39" i="2"/>
  <c r="D47" i="2" s="1"/>
  <c r="D40" i="2"/>
  <c r="D41" i="2"/>
  <c r="D42" i="2"/>
  <c r="D43" i="2"/>
  <c r="D44" i="2"/>
  <c r="D45" i="2"/>
  <c r="D46" i="2"/>
  <c r="I114" i="1"/>
  <c r="I113" i="1"/>
  <c r="H114" i="1"/>
  <c r="H113" i="1"/>
  <c r="E114" i="1"/>
  <c r="D114" i="1"/>
  <c r="E113" i="1"/>
  <c r="D113" i="1"/>
  <c r="F103" i="1"/>
  <c r="F102" i="1"/>
  <c r="F101" i="1"/>
  <c r="F100" i="1"/>
  <c r="F95" i="1"/>
  <c r="F94" i="1"/>
  <c r="F93" i="1"/>
  <c r="F92" i="1"/>
  <c r="F91" i="1"/>
  <c r="F39" i="1"/>
  <c r="F65" i="1"/>
  <c r="D65" i="1"/>
  <c r="D66" i="1"/>
  <c r="D67" i="1"/>
  <c r="D68" i="1"/>
  <c r="D69" i="1"/>
  <c r="D70" i="1"/>
  <c r="D71" i="1"/>
  <c r="D72" i="1"/>
  <c r="D64" i="1"/>
  <c r="D53" i="1"/>
  <c r="D54" i="1"/>
  <c r="D55" i="1"/>
  <c r="D56" i="1"/>
  <c r="D52" i="1"/>
  <c r="D45" i="1"/>
  <c r="D39" i="1"/>
  <c r="D40" i="1"/>
  <c r="D41" i="1"/>
  <c r="D42" i="1"/>
  <c r="D43" i="1"/>
  <c r="D44" i="1"/>
  <c r="D38" i="1"/>
  <c r="D57" i="1" l="1"/>
  <c r="G81" i="1" l="1"/>
  <c r="G82" i="1"/>
  <c r="G83" i="1"/>
  <c r="G84" i="1"/>
  <c r="G80" i="1"/>
  <c r="D81" i="1"/>
  <c r="D82" i="1"/>
  <c r="D83" i="1"/>
  <c r="D84" i="1"/>
  <c r="D80" i="1"/>
  <c r="H84" i="1" l="1"/>
  <c r="H80" i="1"/>
  <c r="H81" i="1"/>
  <c r="H82" i="1"/>
  <c r="H83" i="1"/>
  <c r="D53" i="4"/>
  <c r="F54" i="4" s="1"/>
  <c r="D54" i="4"/>
  <c r="D55" i="4"/>
  <c r="D56" i="4"/>
  <c r="F56" i="4" s="1"/>
  <c r="D57" i="4"/>
  <c r="D58" i="4"/>
  <c r="D59" i="4"/>
  <c r="D60" i="4"/>
  <c r="D61" i="4"/>
  <c r="D62" i="4"/>
  <c r="D63" i="4"/>
  <c r="D64" i="4"/>
  <c r="F64" i="4" s="1"/>
  <c r="F65" i="4" s="1"/>
  <c r="D65" i="4"/>
  <c r="D66" i="4"/>
  <c r="F66" i="4" s="1"/>
  <c r="F67" i="4" s="1"/>
  <c r="D67" i="4"/>
  <c r="D68" i="4"/>
  <c r="F68" i="4" s="1"/>
  <c r="F69" i="4" s="1"/>
  <c r="D69" i="4"/>
  <c r="F70" i="4" s="1"/>
  <c r="D52" i="4"/>
  <c r="F53" i="4" s="1"/>
  <c r="F62" i="4"/>
  <c r="F63" i="4" s="1"/>
  <c r="F61" i="4"/>
  <c r="F58" i="4"/>
  <c r="F55" i="4"/>
  <c r="E30" i="4"/>
  <c r="E32" i="4"/>
  <c r="E34" i="4"/>
  <c r="E36" i="4"/>
  <c r="E38" i="4"/>
  <c r="E40" i="4"/>
  <c r="E42" i="4"/>
  <c r="E44" i="4"/>
  <c r="E46" i="4"/>
  <c r="E48" i="4"/>
  <c r="E28" i="4"/>
  <c r="C29" i="4"/>
  <c r="C30" i="4"/>
  <c r="C31" i="4"/>
  <c r="C32" i="4"/>
  <c r="C33" i="4"/>
  <c r="C34" i="4"/>
  <c r="C35" i="4"/>
  <c r="C36" i="4"/>
  <c r="C37" i="4"/>
  <c r="C38" i="4"/>
  <c r="C39" i="4"/>
  <c r="C40" i="4"/>
  <c r="C41" i="4"/>
  <c r="C42" i="4"/>
  <c r="C43" i="4"/>
  <c r="C44" i="4"/>
  <c r="C45" i="4"/>
  <c r="C46" i="4"/>
  <c r="C47" i="4"/>
  <c r="C48" i="4"/>
  <c r="C28" i="4"/>
  <c r="G11" i="4"/>
  <c r="G12" i="4"/>
  <c r="G13" i="4"/>
  <c r="G14" i="4"/>
  <c r="G15" i="4"/>
  <c r="G16" i="4"/>
  <c r="G17" i="4"/>
  <c r="G18" i="4"/>
  <c r="G19" i="4"/>
  <c r="G20" i="4"/>
  <c r="G10" i="4"/>
  <c r="F11" i="4"/>
  <c r="F12" i="4"/>
  <c r="F13" i="4"/>
  <c r="F14" i="4"/>
  <c r="F15" i="4"/>
  <c r="F16" i="4"/>
  <c r="F17" i="4"/>
  <c r="F18" i="4"/>
  <c r="F19" i="4"/>
  <c r="F20" i="4"/>
  <c r="F10" i="4"/>
  <c r="F57" i="4" l="1"/>
</calcChain>
</file>

<file path=xl/sharedStrings.xml><?xml version="1.0" encoding="utf-8"?>
<sst xmlns="http://schemas.openxmlformats.org/spreadsheetml/2006/main" count="225" uniqueCount="148">
  <si>
    <t>x</t>
  </si>
  <si>
    <t>x (=Anzahl Erfolge)</t>
  </si>
  <si>
    <t>W'keitsfunktion f(x)</t>
  </si>
  <si>
    <t>…</t>
  </si>
  <si>
    <t>n =</t>
  </si>
  <si>
    <t>p =</t>
  </si>
  <si>
    <t>Hinweis:</t>
  </si>
  <si>
    <t>Verteilungsfunktion F(x)</t>
  </si>
  <si>
    <t>Anstelle von "falsch" kann beim letzten Argument auch "0" (oder gar nichts) angegeben werden.</t>
  </si>
  <si>
    <t xml:space="preserve">Anstelle von "wahr" kann beim letzten Argument auch "1" angegeben werden. </t>
  </si>
  <si>
    <t>f(x)</t>
  </si>
  <si>
    <t>Summe</t>
  </si>
  <si>
    <t>F(x)</t>
  </si>
  <si>
    <t>direkt:</t>
  </si>
  <si>
    <t>indirekt:</t>
  </si>
  <si>
    <t>Mit welcher Wahrscheinlichkeit wird Y höchstens 3 sein?</t>
  </si>
  <si>
    <t>Mit welcher Wahrscheinlichkeit wird X gleich 6 sein?</t>
  </si>
  <si>
    <t>y</t>
  </si>
  <si>
    <t>F(y)</t>
  </si>
  <si>
    <t>z</t>
  </si>
  <si>
    <t>f(z)</t>
  </si>
  <si>
    <t>e) den Wert 7,6 an?</t>
  </si>
  <si>
    <t>a) ...höchstens 40 "Kopf"-Würfe,</t>
  </si>
  <si>
    <t>b)...mindestens 46 "Kopf"-Würfe,</t>
  </si>
  <si>
    <t>d) …mindestens 20 "Zahl"-Würfe.</t>
  </si>
  <si>
    <t>c) ..(genau) 42 "Kopf"-Würfe,</t>
  </si>
  <si>
    <t>genau 2</t>
  </si>
  <si>
    <t>genau 3</t>
  </si>
  <si>
    <t>Ereignis</t>
  </si>
  <si>
    <t>höchstens 2</t>
  </si>
  <si>
    <t>Wahrscheinlichkeit</t>
  </si>
  <si>
    <t>(a)</t>
  </si>
  <si>
    <t>(b)</t>
  </si>
  <si>
    <t>Runden Sie Ihre Ergebnisse auf zwei Nachkommastellen (mit Funktion RUNDEN()).</t>
  </si>
  <si>
    <t>gerundet:</t>
  </si>
  <si>
    <t>exakt:</t>
  </si>
  <si>
    <t>Y~B(20;0,8)</t>
  </si>
  <si>
    <t>approximativ: (λ=16)</t>
  </si>
  <si>
    <t>Abweichung (absolut)</t>
  </si>
  <si>
    <t>Soldaten zu Tode?</t>
  </si>
  <si>
    <t>Mit welcher Wahrscheinlichkeit tritt mindestens 1 Todesfall auf?</t>
  </si>
  <si>
    <t>Aus Erfahrung sei bekannt, dass die Anzahl der durch einen Huftritt zu Tode kommenden Soldaten in der preußische Armee (innerhalb eines Jahres) poissonverteilt sei mit λ= 0,61.</t>
  </si>
  <si>
    <t xml:space="preserve"> Mit welcher Wahrscheinlichkeit kommen in einem Jahr…</t>
  </si>
  <si>
    <t>Treffer</t>
  </si>
  <si>
    <t>Themen in dieser Datei</t>
  </si>
  <si>
    <t>Tabellenblätter in dieser Datei</t>
  </si>
  <si>
    <t>Überblick</t>
  </si>
  <si>
    <t>Unterschied zwischen Wahrscheinlichkeits- und Verteilungsfunktion</t>
  </si>
  <si>
    <t>diskrete Verteilungen</t>
  </si>
  <si>
    <t>Binomialverteilung</t>
  </si>
  <si>
    <t>Hypergeometrische Verteilung</t>
  </si>
  <si>
    <t>Poissonverteilung</t>
  </si>
  <si>
    <t>f(x) vs. F(x)</t>
  </si>
  <si>
    <t>X ~ B</t>
  </si>
  <si>
    <t>X ~ H</t>
  </si>
  <si>
    <t>X ~ P</t>
  </si>
  <si>
    <t>Binomialverteilung (X ~ B)</t>
  </si>
  <si>
    <t>Hypergeometrische Verteilung (X ~ H)</t>
  </si>
  <si>
    <t>Poissonverteilung (X ~ P)</t>
  </si>
  <si>
    <t>Wahrscheinlichkeits- und Verteilungsfunktion</t>
  </si>
  <si>
    <t>anhand der Binomialverteilung</t>
  </si>
  <si>
    <t>Binomialverteilung: B(n;p):</t>
  </si>
  <si>
    <t>W'keits-
funktion
f(x)</t>
  </si>
  <si>
    <t>Verteilungs-
Funktion
F(x)</t>
  </si>
  <si>
    <t>Aufbau und Abkürzung</t>
  </si>
  <si>
    <r>
      <t>B(n;p) mit n = Anzahl Versuche, p = P(X</t>
    </r>
    <r>
      <rPr>
        <vertAlign val="subscript"/>
        <sz val="12"/>
        <rFont val="Arial"/>
        <family val="2"/>
      </rPr>
      <t xml:space="preserve">i </t>
    </r>
    <r>
      <rPr>
        <sz val="12"/>
        <rFont val="Arial"/>
        <family val="2"/>
      </rPr>
      <t>= 1) = Wahrscheinlichkeit eines Erfolgs bei i-tem Versuch</t>
    </r>
  </si>
  <si>
    <t>Beispiel: X ~ B(10;0,4)-verteilt, dann gilt für n und p:</t>
  </si>
  <si>
    <t>=Binom.Vert(0;10;0,4;falsch)</t>
  </si>
  <si>
    <t>=Binom.Vert(1;10;0,4;falsch)</t>
  </si>
  <si>
    <t>=Binom.Vert(2;10;0,4;falsch)</t>
  </si>
  <si>
    <t>=Binom.Vert(8;10;0,4;falsch)</t>
  </si>
  <si>
    <t>=Binom.Vert(10;10;0,4;falsch)</t>
  </si>
  <si>
    <t>1. Grundlagen</t>
  </si>
  <si>
    <t>2. Übungsaufgaben:</t>
  </si>
  <si>
    <t>Beispiel 1:</t>
  </si>
  <si>
    <t>Summe (zur Probe):</t>
  </si>
  <si>
    <t>Beispiel 2:</t>
  </si>
  <si>
    <t>Beispiel 3:</t>
  </si>
  <si>
    <t>Beispiel 4:</t>
  </si>
  <si>
    <t>Säulendiagramm:</t>
  </si>
  <si>
    <t>Beispiel 5:</t>
  </si>
  <si>
    <r>
      <rPr>
        <b/>
        <sz val="12"/>
        <rFont val="Arial"/>
        <family val="2"/>
      </rPr>
      <t>Aufgabe:</t>
    </r>
    <r>
      <rPr>
        <sz val="12"/>
        <rFont val="Arial"/>
        <family val="2"/>
      </rPr>
      <t xml:space="preserve"> Mit welcher Wahrscheinlichkeit nimmt eine mit n=10 und p=0,3 binomialverteilte Zufallsvariable X…</t>
    </r>
  </si>
  <si>
    <t xml:space="preserve">a) den Wert 4 an, </t>
  </si>
  <si>
    <t xml:space="preserve">b) höchstens den Wert 4 an, </t>
  </si>
  <si>
    <t xml:space="preserve">c) mindestens den Wert 3 an, </t>
  </si>
  <si>
    <t>d) einen Wert größer als 5 an,</t>
  </si>
  <si>
    <t>Beispiel 6:</t>
  </si>
  <si>
    <t>Beispiel 7:</t>
  </si>
  <si>
    <t>ungerundet:</t>
  </si>
  <si>
    <t xml:space="preserve">(a) binomialverteilt ist mit n=40 und p=0,6, </t>
  </si>
  <si>
    <t>(b) binomialverteilt ist mit n=200 und p=0,08.</t>
  </si>
  <si>
    <r>
      <rPr>
        <b/>
        <sz val="12"/>
        <rFont val="Arial"/>
        <family val="2"/>
      </rPr>
      <t>Aufgabe:</t>
    </r>
    <r>
      <rPr>
        <sz val="12"/>
        <rFont val="Arial"/>
        <family val="2"/>
      </rPr>
      <t xml:space="preserve"> Erstellen Sie die Wahrscheinlichkeitsfunktion für eine B(6;0,8)-verteilte Zufallsvariable X.</t>
    </r>
  </si>
  <si>
    <r>
      <rPr>
        <b/>
        <sz val="12"/>
        <rFont val="Arial"/>
        <family val="2"/>
      </rPr>
      <t>Aufgabe:</t>
    </r>
    <r>
      <rPr>
        <sz val="12"/>
        <rFont val="Arial"/>
        <family val="2"/>
      </rPr>
      <t xml:space="preserve"> Erstellen Sie die Wahrscheinlichkeitsfunktion für eine B(4;0,65)-verteilte Zufallsvariable Z.</t>
    </r>
  </si>
  <si>
    <r>
      <rPr>
        <b/>
        <sz val="12"/>
        <rFont val="Arial"/>
        <family val="2"/>
      </rPr>
      <t>Aufgabe:</t>
    </r>
    <r>
      <rPr>
        <sz val="12"/>
        <rFont val="Arial"/>
        <family val="2"/>
      </rPr>
      <t xml:space="preserve"> Erstellen Sie die Verteilungsfunktion für die B(8;0,5)-verteilte Zufallsvariable Y.</t>
    </r>
  </si>
  <si>
    <r>
      <rPr>
        <b/>
        <sz val="12"/>
        <rFont val="Arial"/>
        <family val="2"/>
      </rPr>
      <t>Aufgabe:</t>
    </r>
    <r>
      <rPr>
        <sz val="12"/>
        <rFont val="Arial"/>
        <family val="2"/>
      </rPr>
      <t xml:space="preserve">  Erstellen Sie die Verteilungsfunktion für eine B(4;0,47)-verteilte Zufallsvariable X, einmal auf direktem Wege und auch einmal indirekt, anhand der Wahrscheinlichkeitsfunktion </t>
    </r>
  </si>
  <si>
    <r>
      <rPr>
        <b/>
        <sz val="12"/>
        <rFont val="Arial"/>
        <family val="2"/>
      </rPr>
      <t>Aufgabe:</t>
    </r>
    <r>
      <rPr>
        <sz val="12"/>
        <rFont val="Arial"/>
        <family val="2"/>
      </rPr>
      <t xml:space="preserve"> Bei einer speziellen Münze ist die W'keit, bei einem Wurf auf "Kopf" zu landen, gleich 0,6. Berechnen Sie unter der Annahme, dass 70 Würfe unabhängig voneinander erfolgen, die W'keit für…</t>
    </r>
  </si>
  <si>
    <r>
      <rPr>
        <b/>
        <sz val="12"/>
        <rFont val="Arial"/>
        <family val="2"/>
      </rPr>
      <t>Aufgabe:</t>
    </r>
    <r>
      <rPr>
        <sz val="12"/>
        <rFont val="Arial"/>
        <family val="2"/>
      </rPr>
      <t xml:space="preserve"> Berechnen Sie zur Zufallsvariablen X den Wert der Wahrscheinlichkeitsfunktion f(x) sowie der Verteilungsfunktion F(x) an der Stelle x=24 für den Fall dass X…</t>
    </r>
  </si>
  <si>
    <t>Stellen Sie rechts sowohl die Verteilungsfunktion als auch die Wahrscheinlichkeitsfunktion (in einem einzigen Säulendiagramm) dar. Achte dabei auf die korrekte Beschriftung der x-Achse.</t>
  </si>
  <si>
    <t>H(n;M;N) mit N = Anzahl Objekte, M = Anzahl markierter Objekte und n = Anzahl Ziehungen (ohne Zurücklegen!!)</t>
  </si>
  <si>
    <t>M =</t>
  </si>
  <si>
    <t>N =</t>
  </si>
  <si>
    <t>=Binom.Vert(0;10;0,4;wahr)</t>
  </si>
  <si>
    <t>=Binom.Vert(1;10;0,4;wahr)</t>
  </si>
  <si>
    <t>=Binom.Vert(2;10;0,4;wahr)</t>
  </si>
  <si>
    <t>=Binom.Vert(8;10;0,4;wahr)</t>
  </si>
  <si>
    <t>=Binom.Vert(10;10;0,4;wahr)</t>
  </si>
  <si>
    <t>=Hypgeom.Vert(0;7;8;30;falsch)</t>
  </si>
  <si>
    <t>=Hypgeom.Vert(1;7;8;30;falsch)</t>
  </si>
  <si>
    <t>=Hypgeom.Vert(2;7;8;30;falsch)</t>
  </si>
  <si>
    <t>=Hypgeom.Vert(7;7;8;30;falsch)</t>
  </si>
  <si>
    <t>VORSICHT! Die Reihenfolge der Parameter bei der Funktion HYPGEOM.VERT muss zwingend sein: 
x, n, M, N.</t>
  </si>
  <si>
    <t>=Hypgeom.Vert(0;7;8;30;wahr)</t>
  </si>
  <si>
    <t>=Hypgeom.Vert(1;7;8;30;wahr)</t>
  </si>
  <si>
    <t>=Hypgeom.Vert(2;7;8;30;wahr)</t>
  </si>
  <si>
    <t>=Hypgeom.Vert(7;7;8;30;wahr)</t>
  </si>
  <si>
    <t>2. Übungsaufgaben</t>
  </si>
  <si>
    <t xml:space="preserve">Beispiel 1: </t>
  </si>
  <si>
    <r>
      <rPr>
        <b/>
        <sz val="12"/>
        <rFont val="Arial"/>
        <family val="2"/>
      </rPr>
      <t>Aufgabe:</t>
    </r>
    <r>
      <rPr>
        <sz val="12"/>
        <rFont val="Arial"/>
        <family val="2"/>
      </rPr>
      <t xml:space="preserve"> Bestimmung der Wahrscheinlichkeitsfunktion und der Verteilungsfunktion einer H(7;8;30)-verteilten Zufallsvariable X.</t>
    </r>
  </si>
  <si>
    <r>
      <rPr>
        <b/>
        <sz val="12"/>
        <rFont val="Arial"/>
        <family val="2"/>
      </rPr>
      <t>Aufgabe:</t>
    </r>
    <r>
      <rPr>
        <sz val="12"/>
        <rFont val="Arial"/>
        <family val="2"/>
      </rPr>
      <t xml:space="preserve"> In einer Urne sind 80 Kugeln, davon sind 10 rot gepunktet und die restlichen schwarz. Bestimme die Wahrscheinlichkeitsfunktion der Anzahl roter Kugeln bei…</t>
    </r>
  </si>
  <si>
    <t>a) 6 Ziehungen (ohne Zurücklegen),</t>
  </si>
  <si>
    <t>b) 12 Ziehungen (ohne Zurücklegen).</t>
  </si>
  <si>
    <t>Teilaufgabe a)</t>
  </si>
  <si>
    <t>Teilaufgabe b)</t>
  </si>
  <si>
    <r>
      <rPr>
        <b/>
        <sz val="12"/>
        <rFont val="Arial"/>
        <family val="2"/>
      </rPr>
      <t>Aufgabe:</t>
    </r>
    <r>
      <rPr>
        <sz val="12"/>
        <rFont val="Arial"/>
        <family val="2"/>
      </rPr>
      <t xml:space="preserve"> Unter den 20 Kassiererinnen eines Supermarktes sind 6 unzufrieden mit den neuen Öffnungszeiten. Ein Journalist befragt drei (verschiedene) Kassiererinnen (alle antworten ehrlich), ob sie mit der Neuerung zufrieden sind. Mit welcher Wahrscheinlichkeit bekommt er zwei mal, bzw. drei mal bzw. höchstens zwei mal ein "unzufrieden" zu hören?</t>
    </r>
  </si>
  <si>
    <t>P(λ) mit λ = Mittelwert</t>
  </si>
  <si>
    <t>Eingabe in Excel: Poisson.Vert(x;Mittelwert;kumuliert)</t>
  </si>
  <si>
    <t>=Poisson.Vert(0;4;falsch)</t>
  </si>
  <si>
    <t>=Poisson.Vert(1;4;falsch)</t>
  </si>
  <si>
    <t>=Poisson.Vert(2;4;falsch)</t>
  </si>
  <si>
    <t>=Poisson.Vert(8;4;falsch)</t>
  </si>
  <si>
    <t>=Poisson.Vert(0;4;wahr)</t>
  </si>
  <si>
    <t>=Poisson.Vert(1;4;wahr)</t>
  </si>
  <si>
    <t>=Poisson.Vert(2;4;wahr)</t>
  </si>
  <si>
    <t>=Poisson.Vert(8;4;wahr)</t>
  </si>
  <si>
    <r>
      <t xml:space="preserve">Aufgabe: </t>
    </r>
    <r>
      <rPr>
        <sz val="12"/>
        <rFont val="Arial"/>
        <family val="2"/>
      </rPr>
      <t>X sei Poissonverteilt mit λ=5. Erstelle die Wahrscheinlichkeitsfunktion und die Verteilungsfunktion (jeweils) an den Stellen x=0,1,2,…,9.</t>
    </r>
  </si>
  <si>
    <t>...genau 2</t>
  </si>
  <si>
    <t>...genau 3</t>
  </si>
  <si>
    <t>...genau 4</t>
  </si>
  <si>
    <r>
      <rPr>
        <b/>
        <sz val="12"/>
        <rFont val="Arial"/>
        <family val="2"/>
      </rPr>
      <t>Aufgabe:</t>
    </r>
    <r>
      <rPr>
        <sz val="12"/>
        <rFont val="Arial"/>
        <family val="2"/>
      </rPr>
      <t xml:space="preserve"> Y sei B(20 000;0,0005)-verteilt. Berechne die Wahrscheinlichkeit der Ereignisse (a) Y=11, und (b) "Y höchstens 11" sowohl exakt als auch approximativ (falls möglich) mit Hilfe der Poissonverteilung. Berechne auch jeweils die Differenz, die zwischen der exakten und der näherungsweisen Lösung besteht.</t>
    </r>
  </si>
  <si>
    <t>Abweichung in % der exakten Lösung</t>
  </si>
  <si>
    <t>Wie sehe der Unterschied zwischen der exakten und der approximativen Lösung aus, wenn Y binomialverteilt mit n=20 und p=0,8 wäre. (Dann wären die Faustregeln zur Approximation nicht erfüllt (!), es ist also ein sehr ungenaues approximatives Ergebnis zu erwarten.)</t>
  </si>
  <si>
    <t>Beispiel: X ~ P(4)-vert.</t>
  </si>
  <si>
    <t>λ =</t>
  </si>
  <si>
    <t>Beispiel: X ~ H(7;8;30)-vert.</t>
  </si>
  <si>
    <t>Approximation der Binomialverteilung mit der Poissonverteilung sinnvoll, wenn: p ≤ 0,1, n ≥ 50 und n*p ≤ 10, dann: λ = n*p</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</si>
  <si>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</si>
  <si>
    <t>Scherzfrage: 0 (Excel liefert zwar ein Ergebnis, aber das ist f(7) und nicht das, wonach gefragt wurde: f(7,6))</t>
  </si>
  <si>
    <t>Faustregeln der Approximation erfüllt? Ja, weil '=20000*0,0005 &lt;=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</si>
</sst>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0"/>
    <numFmt numFmtId="166" formatCode="0.000%"/>
  </numFmts>
  <fonts count="17" x14ac:knownFonts="1">
    <font>
      <sz val="10"/>
      <name val="Arial"/>
    </font>
    <font>
      <sz val="10"/>
      <name val="Arial"/>
      <family val="2"/>
    </font>
    <font>
      <b/>
      <sz val="10"/>
      <name val="Arial"/>
      <family val="2"/>
    </font>
    <font>
      <b/>
      <u/>
      <sz val="14"/>
      <name val="Arial"/>
      <family val="2"/>
    </font>
    <font>
      <sz val="8"/>
      <name val="Arial"/>
      <family val="2"/>
    </font>
    <font>
      <b/>
      <sz val="12"/>
      <name val="Arial"/>
      <family val="2"/>
    </font>
    <font>
      <sz val="12"/>
      <name val="Arial"/>
      <family val="2"/>
    </font>
    <font>
      <b/>
      <sz val="16"/>
      <name val="Arial"/>
      <family val="2"/>
    </font>
    <font>
      <sz val="10"/>
      <name val="Arial"/>
      <family val="2"/>
    </font>
    <font>
      <b/>
      <u/>
      <sz val="16"/>
      <name val="Arial"/>
      <family val="2"/>
    </font>
    <font>
      <sz val="12"/>
      <color theme="0"/>
      <name val="Arial"/>
      <family val="2"/>
    </font>
    <font>
      <sz val="10"/>
      <color theme="0"/>
      <name val="Arial"/>
      <family val="2"/>
    </font>
    <font>
      <b/>
      <u/>
      <sz val="12"/>
      <name val="Arial"/>
      <family val="2"/>
    </font>
    <font>
      <vertAlign val="subscript"/>
      <sz val="12"/>
      <name val="Arial"/>
      <family val="2"/>
    </font>
    <font>
      <b/>
      <sz val="14"/>
      <name val="Arial"/>
      <family val="2"/>
    </font>
    <font>
      <sz val="20"/>
      <name val="Times New Roman"/>
      <family val="1"/>
    </font>
    <font>
      <sz val="10"/>
      <name val="Arial"/>
      <family val="2"/>
    </font>
  </fonts>
  <fills count="11">
    <fill>
      <patternFill patternType="none"/>
    </fill>
    <fill>
      <patternFill patternType="gray125"/>
    </fill>
    <fill>
      <patternFill patternType="solid">
        <fgColor rgb="FFDCE6F1"/>
        <bgColor rgb="FF000000"/>
      </patternFill>
    </fill>
    <fill>
      <patternFill patternType="solid">
        <fgColor rgb="FFFFFFFF"/>
        <bgColor rgb="FF000000"/>
      </patternFill>
    </fill>
    <fill>
      <patternFill patternType="solid">
        <fgColor theme="4"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99"/>
        <bgColor indexed="64"/>
      </patternFill>
    </fill>
  </fills>
  <borders count="5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diagonal/>
    </border>
    <border>
      <left/>
      <right style="medium">
        <color indexed="64"/>
      </right>
      <top/>
      <bottom style="thin">
        <color indexed="64"/>
      </bottom>
      <diagonal/>
    </border>
  </borders>
  <cellStyleXfs count="5">
    <xf numFmtId="0" fontId="0" fillId="0" borderId="0"/>
    <xf numFmtId="44" fontId="1" fillId="0" borderId="0" applyFont="0" applyFill="0" applyBorder="0" applyAlignment="0" applyProtection="0"/>
    <xf numFmtId="0" fontId="8" fillId="0" borderId="0"/>
    <xf numFmtId="0" fontId="1" fillId="0" borderId="0"/>
    <xf numFmtId="9" fontId="16" fillId="0" borderId="0" applyFont="0" applyFill="0" applyBorder="0" applyAlignment="0" applyProtection="0"/>
  </cellStyleXfs>
  <cellXfs count="291">
    <xf numFmtId="0" fontId="0" fillId="0" borderId="0" xfId="0"/>
    <xf numFmtId="0" fontId="5" fillId="0" borderId="0" xfId="0" applyFont="1"/>
    <xf numFmtId="0" fontId="8" fillId="0" borderId="0" xfId="2"/>
    <xf numFmtId="0" fontId="3" fillId="2" borderId="9" xfId="2" applyFont="1" applyFill="1" applyBorder="1" applyAlignment="1">
      <alignment vertical="center"/>
    </xf>
    <xf numFmtId="0" fontId="8" fillId="2" borderId="10" xfId="2" applyFill="1" applyBorder="1"/>
    <xf numFmtId="0" fontId="8" fillId="2" borderId="11" xfId="2" applyFill="1" applyBorder="1"/>
    <xf numFmtId="0" fontId="9" fillId="3" borderId="12" xfId="2" applyFont="1" applyFill="1" applyBorder="1" applyAlignment="1">
      <alignment vertical="center"/>
    </xf>
    <xf numFmtId="0" fontId="8" fillId="3" borderId="0" xfId="2" applyFill="1"/>
    <xf numFmtId="0" fontId="8" fillId="3" borderId="13" xfId="2" applyFill="1" applyBorder="1"/>
    <xf numFmtId="0" fontId="5" fillId="3" borderId="12" xfId="2" applyFont="1" applyFill="1" applyBorder="1" applyAlignment="1">
      <alignment vertical="center"/>
    </xf>
    <xf numFmtId="0" fontId="6" fillId="3" borderId="0" xfId="2" applyFont="1" applyFill="1"/>
    <xf numFmtId="0" fontId="5" fillId="3" borderId="12" xfId="2" applyFont="1" applyFill="1" applyBorder="1"/>
    <xf numFmtId="0" fontId="2" fillId="3" borderId="12" xfId="2" applyFont="1" applyFill="1" applyBorder="1"/>
    <xf numFmtId="0" fontId="3" fillId="2" borderId="12" xfId="2" applyFont="1" applyFill="1" applyBorder="1" applyAlignment="1">
      <alignment vertical="center"/>
    </xf>
    <xf numFmtId="0" fontId="8" fillId="2" borderId="0" xfId="2" applyFill="1"/>
    <xf numFmtId="0" fontId="8" fillId="2" borderId="13" xfId="2" applyFill="1" applyBorder="1"/>
    <xf numFmtId="0" fontId="5" fillId="3" borderId="0" xfId="2" applyFont="1" applyFill="1" applyAlignment="1">
      <alignment vertical="center"/>
    </xf>
    <xf numFmtId="0" fontId="5" fillId="3" borderId="15" xfId="2" applyFont="1" applyFill="1" applyBorder="1" applyAlignment="1">
      <alignment vertical="center"/>
    </xf>
    <xf numFmtId="0" fontId="8" fillId="3" borderId="15" xfId="2" applyFill="1" applyBorder="1"/>
    <xf numFmtId="0" fontId="8" fillId="3" borderId="16" xfId="2" applyFill="1" applyBorder="1"/>
    <xf numFmtId="0" fontId="2" fillId="3" borderId="14" xfId="2" applyFont="1" applyFill="1" applyBorder="1"/>
    <xf numFmtId="0" fontId="6" fillId="0" borderId="0" xfId="0" applyFont="1" applyAlignment="1">
      <alignment horizontal="center"/>
    </xf>
    <xf numFmtId="0" fontId="6" fillId="0" borderId="0" xfId="0" applyFont="1"/>
    <xf numFmtId="164" fontId="6" fillId="0" borderId="0" xfId="0" applyNumberFormat="1" applyFont="1" applyAlignment="1">
      <alignment horizontal="center"/>
    </xf>
    <xf numFmtId="0" fontId="5" fillId="0" borderId="0" xfId="0" applyFont="1" applyAlignment="1">
      <alignment horizontal="right"/>
    </xf>
    <xf numFmtId="0" fontId="6" fillId="0" borderId="20" xfId="0" applyFont="1" applyBorder="1" applyAlignment="1">
      <alignment horizontal="center"/>
    </xf>
    <xf numFmtId="0" fontId="9" fillId="4" borderId="0" xfId="0" applyFont="1" applyFill="1" applyAlignment="1">
      <alignment horizontal="left"/>
    </xf>
    <xf numFmtId="0" fontId="6" fillId="4" borderId="0" xfId="0" applyFont="1" applyFill="1"/>
    <xf numFmtId="164" fontId="6" fillId="4" borderId="0" xfId="0" applyNumberFormat="1" applyFont="1" applyFill="1" applyAlignment="1">
      <alignment horizontal="center"/>
    </xf>
    <xf numFmtId="0" fontId="6" fillId="0" borderId="0" xfId="0" applyFont="1" applyAlignment="1">
      <alignment horizontal="left" vertical="top"/>
    </xf>
    <xf numFmtId="0" fontId="5" fillId="0" borderId="21" xfId="0" applyFont="1" applyBorder="1" applyAlignment="1">
      <alignment horizontal="center" vertical="center"/>
    </xf>
    <xf numFmtId="0" fontId="6" fillId="0" borderId="25" xfId="0" applyFont="1" applyBorder="1" applyAlignment="1">
      <alignment horizontal="center"/>
    </xf>
    <xf numFmtId="0" fontId="6" fillId="0" borderId="26" xfId="0" applyFont="1" applyBorder="1" applyAlignment="1">
      <alignment horizontal="center"/>
    </xf>
    <xf numFmtId="164" fontId="5" fillId="0" borderId="21" xfId="0" applyNumberFormat="1" applyFont="1" applyBorder="1" applyAlignment="1">
      <alignment horizontal="center" vertical="center" wrapText="1"/>
    </xf>
    <xf numFmtId="164" fontId="6" fillId="0" borderId="25" xfId="0" applyNumberFormat="1" applyFont="1" applyBorder="1" applyAlignment="1">
      <alignment horizontal="center"/>
    </xf>
    <xf numFmtId="164" fontId="6" fillId="0" borderId="26" xfId="0" applyNumberFormat="1" applyFont="1" applyBorder="1" applyAlignment="1">
      <alignment horizontal="center"/>
    </xf>
    <xf numFmtId="0" fontId="5" fillId="0" borderId="21" xfId="0" applyFont="1" applyBorder="1" applyAlignment="1">
      <alignment horizontal="center" vertical="center" wrapText="1"/>
    </xf>
    <xf numFmtId="0" fontId="1" fillId="0" borderId="0" xfId="3"/>
    <xf numFmtId="0" fontId="6" fillId="0" borderId="2" xfId="0" applyFont="1" applyBorder="1"/>
    <xf numFmtId="0" fontId="5" fillId="0" borderId="2" xfId="0" applyFont="1" applyBorder="1"/>
    <xf numFmtId="0" fontId="6" fillId="0" borderId="3" xfId="0" applyFont="1" applyBorder="1" applyAlignment="1">
      <alignment horizontal="center"/>
    </xf>
    <xf numFmtId="0" fontId="6" fillId="5" borderId="4" xfId="0" applyFont="1" applyFill="1" applyBorder="1" applyAlignment="1">
      <alignment horizontal="center"/>
    </xf>
    <xf numFmtId="0" fontId="5" fillId="5" borderId="0" xfId="0" applyFont="1" applyFill="1" applyAlignment="1">
      <alignment horizontal="right"/>
    </xf>
    <xf numFmtId="0" fontId="5" fillId="5" borderId="0" xfId="0" applyFont="1" applyFill="1" applyAlignment="1">
      <alignment horizontal="left"/>
    </xf>
    <xf numFmtId="0" fontId="6" fillId="0" borderId="5"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left" vertical="top"/>
    </xf>
    <xf numFmtId="0" fontId="6" fillId="0" borderId="5" xfId="0" applyFont="1" applyBorder="1"/>
    <xf numFmtId="164" fontId="6" fillId="0" borderId="0" xfId="0" applyNumberFormat="1" applyFont="1"/>
    <xf numFmtId="164" fontId="10" fillId="0" borderId="4" xfId="0" applyNumberFormat="1" applyFont="1" applyBorder="1" applyAlignment="1">
      <alignment horizontal="center"/>
    </xf>
    <xf numFmtId="0" fontId="10" fillId="0" borderId="0" xfId="0" applyFont="1" applyAlignment="1">
      <alignment horizontal="center"/>
    </xf>
    <xf numFmtId="0" fontId="10" fillId="0" borderId="0" xfId="0" applyFont="1"/>
    <xf numFmtId="164" fontId="10" fillId="0" borderId="0" xfId="0" applyNumberFormat="1" applyFont="1" applyAlignment="1">
      <alignment horizontal="center"/>
    </xf>
    <xf numFmtId="0" fontId="1" fillId="0" borderId="4" xfId="3" applyBorder="1"/>
    <xf numFmtId="0" fontId="1" fillId="0" borderId="5" xfId="3" applyBorder="1"/>
    <xf numFmtId="0" fontId="11" fillId="0" borderId="4" xfId="3" applyFont="1" applyBorder="1" applyAlignment="1">
      <alignment horizontal="center"/>
    </xf>
    <xf numFmtId="164" fontId="11" fillId="0" borderId="4" xfId="3" applyNumberFormat="1" applyFont="1" applyBorder="1" applyAlignment="1">
      <alignment horizontal="center"/>
    </xf>
    <xf numFmtId="0" fontId="11" fillId="0" borderId="4" xfId="3" applyFont="1" applyBorder="1"/>
    <xf numFmtId="0" fontId="1" fillId="0" borderId="6" xfId="3" applyBorder="1"/>
    <xf numFmtId="0" fontId="1" fillId="0" borderId="7" xfId="3" applyBorder="1"/>
    <xf numFmtId="0" fontId="1" fillId="0" borderId="8" xfId="3" applyBorder="1"/>
    <xf numFmtId="0" fontId="6" fillId="0" borderId="1" xfId="0" applyFont="1" applyBorder="1"/>
    <xf numFmtId="0" fontId="6" fillId="0" borderId="4" xfId="0" applyFont="1" applyBorder="1"/>
    <xf numFmtId="0" fontId="6" fillId="0" borderId="4" xfId="0" applyFont="1" applyBorder="1" applyAlignment="1">
      <alignment horizontal="left" vertical="top"/>
    </xf>
    <xf numFmtId="0" fontId="6" fillId="0" borderId="0" xfId="0" applyFont="1" applyAlignment="1">
      <alignment horizontal="left"/>
    </xf>
    <xf numFmtId="0" fontId="6" fillId="0" borderId="6" xfId="0" applyFont="1" applyBorder="1"/>
    <xf numFmtId="0" fontId="6" fillId="0" borderId="7" xfId="0" applyFont="1" applyBorder="1"/>
    <xf numFmtId="0" fontId="6" fillId="0" borderId="8" xfId="0" applyFont="1" applyBorder="1"/>
    <xf numFmtId="0" fontId="6" fillId="0" borderId="12" xfId="0" applyFont="1" applyBorder="1"/>
    <xf numFmtId="0" fontId="5" fillId="0" borderId="0" xfId="0" applyFont="1" applyAlignment="1">
      <alignment horizontal="center"/>
    </xf>
    <xf numFmtId="0" fontId="6" fillId="0" borderId="14" xfId="0" applyFont="1" applyBorder="1"/>
    <xf numFmtId="0" fontId="9" fillId="4" borderId="0" xfId="0" applyFont="1" applyFill="1"/>
    <xf numFmtId="0" fontId="5" fillId="4" borderId="1" xfId="0" applyFont="1" applyFill="1" applyBorder="1"/>
    <xf numFmtId="0" fontId="6" fillId="4" borderId="2" xfId="0" applyFont="1" applyFill="1" applyBorder="1"/>
    <xf numFmtId="0" fontId="6" fillId="0" borderId="0" xfId="0" applyFont="1" applyAlignment="1">
      <alignment horizontal="right"/>
    </xf>
    <xf numFmtId="0" fontId="5" fillId="4" borderId="0" xfId="0" applyFont="1" applyFill="1"/>
    <xf numFmtId="0" fontId="12" fillId="5" borderId="0" xfId="0" applyFont="1" applyFill="1" applyAlignment="1">
      <alignment horizontal="left"/>
    </xf>
    <xf numFmtId="0" fontId="6" fillId="0" borderId="0" xfId="0" quotePrefix="1" applyFont="1"/>
    <xf numFmtId="0" fontId="12" fillId="5" borderId="0" xfId="0" applyFont="1" applyFill="1"/>
    <xf numFmtId="0" fontId="6" fillId="4" borderId="3" xfId="0" applyFont="1" applyFill="1" applyBorder="1"/>
    <xf numFmtId="0" fontId="5" fillId="4" borderId="4" xfId="0" applyFont="1" applyFill="1" applyBorder="1"/>
    <xf numFmtId="0" fontId="6" fillId="4" borderId="5" xfId="0" applyFont="1" applyFill="1" applyBorder="1"/>
    <xf numFmtId="0" fontId="6" fillId="5" borderId="5" xfId="0" applyFont="1" applyFill="1" applyBorder="1" applyAlignment="1">
      <alignment horizontal="left"/>
    </xf>
    <xf numFmtId="0" fontId="6" fillId="5" borderId="5" xfId="0" applyFont="1" applyFill="1" applyBorder="1"/>
    <xf numFmtId="0" fontId="6" fillId="0" borderId="7" xfId="0" applyFont="1" applyBorder="1" applyAlignment="1">
      <alignment horizontal="right" vertical="center"/>
    </xf>
    <xf numFmtId="0" fontId="14" fillId="4" borderId="0" xfId="0" applyFont="1" applyFill="1"/>
    <xf numFmtId="0" fontId="6" fillId="0" borderId="4" xfId="0" quotePrefix="1" applyFont="1" applyBorder="1"/>
    <xf numFmtId="0" fontId="5" fillId="9" borderId="1" xfId="0" quotePrefix="1" applyFont="1" applyFill="1" applyBorder="1"/>
    <xf numFmtId="0" fontId="5" fillId="9" borderId="2" xfId="0" applyFont="1" applyFill="1" applyBorder="1"/>
    <xf numFmtId="0" fontId="5" fillId="9" borderId="3" xfId="0" applyFont="1" applyFill="1" applyBorder="1"/>
    <xf numFmtId="0" fontId="6" fillId="8" borderId="4" xfId="0" applyFont="1" applyFill="1" applyBorder="1"/>
    <xf numFmtId="0" fontId="6" fillId="8" borderId="0" xfId="0" applyFont="1" applyFill="1"/>
    <xf numFmtId="0" fontId="6" fillId="8" borderId="5" xfId="0" applyFont="1" applyFill="1" applyBorder="1"/>
    <xf numFmtId="0" fontId="5" fillId="0" borderId="22" xfId="0" applyFont="1" applyBorder="1" applyAlignment="1">
      <alignment horizontal="center"/>
    </xf>
    <xf numFmtId="0" fontId="5" fillId="0" borderId="24" xfId="0" applyFont="1" applyBorder="1" applyAlignment="1">
      <alignment horizontal="center"/>
    </xf>
    <xf numFmtId="0" fontId="5" fillId="0" borderId="21" xfId="0" applyFont="1" applyBorder="1" applyAlignment="1">
      <alignment horizontal="center"/>
    </xf>
    <xf numFmtId="0" fontId="6" fillId="0" borderId="37" xfId="0" applyFont="1" applyBorder="1" applyAlignment="1">
      <alignment horizontal="center"/>
    </xf>
    <xf numFmtId="0" fontId="6" fillId="0" borderId="38" xfId="0" applyFont="1" applyBorder="1" applyAlignment="1">
      <alignment horizontal="center"/>
    </xf>
    <xf numFmtId="0" fontId="6" fillId="0" borderId="39" xfId="0" applyFont="1" applyBorder="1" applyAlignment="1">
      <alignment horizontal="center"/>
    </xf>
    <xf numFmtId="0" fontId="6" fillId="10" borderId="0" xfId="0" applyFont="1" applyFill="1"/>
    <xf numFmtId="0" fontId="5" fillId="0" borderId="4" xfId="0" applyFont="1" applyBorder="1"/>
    <xf numFmtId="0" fontId="5" fillId="9" borderId="4" xfId="0" applyFont="1" applyFill="1" applyBorder="1"/>
    <xf numFmtId="0" fontId="6" fillId="9" borderId="0" xfId="0" applyFont="1" applyFill="1"/>
    <xf numFmtId="0" fontId="6" fillId="9" borderId="5" xfId="0" applyFont="1" applyFill="1" applyBorder="1"/>
    <xf numFmtId="0" fontId="6" fillId="8" borderId="4" xfId="0" quotePrefix="1" applyFont="1" applyFill="1" applyBorder="1"/>
    <xf numFmtId="0" fontId="6" fillId="0" borderId="12" xfId="0" applyFont="1" applyBorder="1" applyAlignment="1">
      <alignment horizontal="center"/>
    </xf>
    <xf numFmtId="0" fontId="5" fillId="0" borderId="1" xfId="0" applyFont="1" applyBorder="1" applyAlignment="1">
      <alignment horizontal="center"/>
    </xf>
    <xf numFmtId="0" fontId="6" fillId="0" borderId="14" xfId="0" applyFont="1" applyBorder="1" applyAlignment="1">
      <alignment horizontal="center"/>
    </xf>
    <xf numFmtId="0" fontId="5" fillId="9" borderId="0" xfId="0" applyFont="1" applyFill="1"/>
    <xf numFmtId="0" fontId="5" fillId="9" borderId="5" xfId="0" applyFont="1" applyFill="1" applyBorder="1"/>
    <xf numFmtId="0" fontId="5" fillId="0" borderId="22" xfId="0" applyFont="1" applyBorder="1"/>
    <xf numFmtId="0" fontId="6" fillId="0" borderId="24" xfId="0" applyFont="1" applyBorder="1"/>
    <xf numFmtId="0" fontId="6" fillId="0" borderId="23" xfId="0" applyFont="1" applyBorder="1"/>
    <xf numFmtId="0" fontId="6" fillId="0" borderId="19" xfId="0" applyFont="1" applyBorder="1"/>
    <xf numFmtId="0" fontId="12" fillId="0" borderId="0" xfId="0" applyFont="1"/>
    <xf numFmtId="0" fontId="12" fillId="0" borderId="5" xfId="0" applyFont="1" applyBorder="1"/>
    <xf numFmtId="0" fontId="7" fillId="4" borderId="0" xfId="0" applyFont="1" applyFill="1"/>
    <xf numFmtId="0" fontId="5" fillId="0" borderId="2" xfId="0" applyFont="1" applyBorder="1" applyAlignment="1">
      <alignment horizontal="center"/>
    </xf>
    <xf numFmtId="0" fontId="6" fillId="10" borderId="36" xfId="0" applyFont="1" applyFill="1" applyBorder="1"/>
    <xf numFmtId="0" fontId="6" fillId="10" borderId="38" xfId="0" applyFont="1" applyFill="1" applyBorder="1"/>
    <xf numFmtId="0" fontId="6" fillId="10" borderId="20" xfId="0" applyFont="1" applyFill="1" applyBorder="1"/>
    <xf numFmtId="0" fontId="5" fillId="0" borderId="3" xfId="0" applyFont="1" applyBorder="1" applyAlignment="1">
      <alignment horizontal="center"/>
    </xf>
    <xf numFmtId="0" fontId="6" fillId="0" borderId="46" xfId="0" applyFont="1" applyBorder="1" applyAlignment="1">
      <alignment horizontal="center"/>
    </xf>
    <xf numFmtId="0" fontId="6" fillId="0" borderId="47" xfId="0" applyFont="1" applyBorder="1" applyAlignment="1">
      <alignment horizontal="center"/>
    </xf>
    <xf numFmtId="0" fontId="6" fillId="10" borderId="48" xfId="0" applyFont="1" applyFill="1" applyBorder="1"/>
    <xf numFmtId="0" fontId="6" fillId="0" borderId="29" xfId="0" applyFont="1" applyBorder="1" applyAlignment="1">
      <alignment horizontal="center"/>
    </xf>
    <xf numFmtId="0" fontId="6" fillId="0" borderId="36" xfId="0" applyFont="1" applyBorder="1"/>
    <xf numFmtId="0" fontId="6" fillId="0" borderId="20" xfId="0" applyFont="1" applyBorder="1"/>
    <xf numFmtId="0" fontId="6" fillId="10" borderId="35" xfId="0" applyFont="1" applyFill="1" applyBorder="1"/>
    <xf numFmtId="0" fontId="6" fillId="0" borderId="50" xfId="0" applyFont="1" applyBorder="1"/>
    <xf numFmtId="0" fontId="6" fillId="0" borderId="51" xfId="0" applyFont="1" applyBorder="1"/>
    <xf numFmtId="0" fontId="6" fillId="0" borderId="53" xfId="0" applyFont="1" applyBorder="1"/>
    <xf numFmtId="0" fontId="6" fillId="10" borderId="41" xfId="0" applyFont="1" applyFill="1" applyBorder="1"/>
    <xf numFmtId="0" fontId="6" fillId="10" borderId="52" xfId="0" applyFont="1" applyFill="1" applyBorder="1" applyAlignment="1">
      <alignment horizontal="center"/>
    </xf>
    <xf numFmtId="0" fontId="6" fillId="10" borderId="4" xfId="0" applyFont="1" applyFill="1" applyBorder="1" applyAlignment="1">
      <alignment horizontal="center"/>
    </xf>
    <xf numFmtId="0" fontId="6" fillId="10" borderId="47" xfId="0" applyFont="1" applyFill="1" applyBorder="1" applyAlignment="1">
      <alignment horizontal="center"/>
    </xf>
    <xf numFmtId="0" fontId="6" fillId="10" borderId="37" xfId="0" applyFont="1" applyFill="1" applyBorder="1" applyAlignment="1">
      <alignment horizontal="center"/>
    </xf>
    <xf numFmtId="0" fontId="6" fillId="10" borderId="38" xfId="0" applyFont="1" applyFill="1" applyBorder="1" applyAlignment="1">
      <alignment horizontal="center"/>
    </xf>
    <xf numFmtId="0" fontId="6" fillId="10" borderId="7" xfId="0" applyFont="1" applyFill="1" applyBorder="1" applyAlignment="1">
      <alignment horizontal="center"/>
    </xf>
    <xf numFmtId="0" fontId="5" fillId="9" borderId="1" xfId="0" applyFont="1" applyFill="1" applyBorder="1"/>
    <xf numFmtId="0" fontId="5" fillId="4" borderId="5" xfId="0" applyFont="1" applyFill="1" applyBorder="1"/>
    <xf numFmtId="0" fontId="5" fillId="5" borderId="22" xfId="0" applyFont="1" applyFill="1" applyBorder="1" applyAlignment="1">
      <alignment horizontal="center"/>
    </xf>
    <xf numFmtId="0" fontId="5" fillId="5" borderId="56" xfId="0" applyFont="1" applyFill="1" applyBorder="1" applyAlignment="1">
      <alignment horizontal="center"/>
    </xf>
    <xf numFmtId="0" fontId="1" fillId="0" borderId="19" xfId="0" applyFont="1" applyBorder="1"/>
    <xf numFmtId="0" fontId="6" fillId="9" borderId="2" xfId="0" applyFont="1" applyFill="1" applyBorder="1"/>
    <xf numFmtId="0" fontId="6" fillId="9" borderId="3" xfId="0" applyFont="1" applyFill="1" applyBorder="1"/>
    <xf numFmtId="0" fontId="5" fillId="0" borderId="55" xfId="0" applyFont="1" applyBorder="1"/>
    <xf numFmtId="0" fontId="6" fillId="0" borderId="55" xfId="0" applyFont="1" applyBorder="1"/>
    <xf numFmtId="0" fontId="11" fillId="0" borderId="0" xfId="0" applyFont="1" applyAlignment="1">
      <alignment horizontal="center"/>
    </xf>
    <xf numFmtId="164" fontId="11" fillId="0" borderId="0" xfId="0" applyNumberFormat="1" applyFont="1" applyAlignment="1">
      <alignment horizontal="center"/>
    </xf>
    <xf numFmtId="0" fontId="11" fillId="0" borderId="0" xfId="0" applyFont="1"/>
    <xf numFmtId="0" fontId="6" fillId="10" borderId="40" xfId="0" applyFont="1" applyFill="1" applyBorder="1" applyAlignment="1">
      <alignment horizontal="center"/>
    </xf>
    <xf numFmtId="0" fontId="6" fillId="0" borderId="6" xfId="0" applyFont="1" applyBorder="1" applyAlignment="1">
      <alignment horizontal="center"/>
    </xf>
    <xf numFmtId="0" fontId="6" fillId="0" borderId="8" xfId="0" applyFont="1" applyBorder="1" applyAlignment="1">
      <alignment horizontal="center"/>
    </xf>
    <xf numFmtId="0" fontId="6" fillId="10" borderId="0" xfId="0" applyFont="1" applyFill="1" applyAlignment="1">
      <alignment vertical="top" wrapText="1"/>
    </xf>
    <xf numFmtId="0" fontId="6" fillId="0" borderId="0" xfId="0" applyFont="1" applyAlignment="1">
      <alignment vertical="top" wrapText="1"/>
    </xf>
    <xf numFmtId="0" fontId="6" fillId="0" borderId="5" xfId="0" applyFont="1" applyBorder="1" applyAlignment="1">
      <alignment vertical="top" wrapText="1"/>
    </xf>
    <xf numFmtId="0" fontId="1" fillId="0" borderId="0" xfId="0" applyFont="1"/>
    <xf numFmtId="0" fontId="15" fillId="0" borderId="0" xfId="2" applyFont="1" applyAlignment="1">
      <alignment horizontal="left" vertical="center" wrapText="1"/>
    </xf>
    <xf numFmtId="0" fontId="5" fillId="5" borderId="1" xfId="0" applyFont="1" applyFill="1" applyBorder="1" applyAlignment="1">
      <alignment horizontal="left"/>
    </xf>
    <xf numFmtId="0" fontId="5" fillId="5" borderId="2" xfId="0" applyFont="1" applyFill="1" applyBorder="1" applyAlignment="1">
      <alignment horizontal="left"/>
    </xf>
    <xf numFmtId="0" fontId="6" fillId="8" borderId="4" xfId="0" quotePrefix="1" applyFont="1" applyFill="1" applyBorder="1" applyAlignment="1">
      <alignment horizontal="left" vertical="top" wrapText="1"/>
    </xf>
    <xf numFmtId="0" fontId="6" fillId="8" borderId="0" xfId="0" quotePrefix="1" applyFont="1" applyFill="1" applyAlignment="1">
      <alignment horizontal="left" vertical="top" wrapText="1"/>
    </xf>
    <xf numFmtId="0" fontId="6" fillId="8" borderId="5" xfId="0" quotePrefix="1" applyFont="1" applyFill="1" applyBorder="1" applyAlignment="1">
      <alignment horizontal="left" vertical="top" wrapText="1"/>
    </xf>
    <xf numFmtId="0" fontId="6" fillId="0" borderId="4" xfId="0" applyFont="1" applyBorder="1" applyAlignment="1">
      <alignment horizontal="left" vertical="top" wrapText="1"/>
    </xf>
    <xf numFmtId="0" fontId="6" fillId="0" borderId="0" xfId="0" applyFont="1" applyAlignment="1">
      <alignment horizontal="left" vertical="top" wrapText="1"/>
    </xf>
    <xf numFmtId="0" fontId="6" fillId="0" borderId="5" xfId="0" applyFont="1" applyBorder="1" applyAlignment="1">
      <alignment horizontal="left" vertical="top" wrapText="1"/>
    </xf>
    <xf numFmtId="0" fontId="12" fillId="5" borderId="0" xfId="0" applyFont="1" applyFill="1" applyAlignment="1">
      <alignment horizontal="center" vertical="center"/>
    </xf>
    <xf numFmtId="0" fontId="6" fillId="5" borderId="0" xfId="0" applyFont="1" applyFill="1" applyAlignment="1">
      <alignment horizontal="left" vertical="top" wrapText="1"/>
    </xf>
    <xf numFmtId="0" fontId="6" fillId="5" borderId="5" xfId="0" applyFont="1" applyFill="1" applyBorder="1" applyAlignment="1">
      <alignment horizontal="left" vertical="top" wrapText="1"/>
    </xf>
    <xf numFmtId="0" fontId="6" fillId="0" borderId="4" xfId="0" applyFont="1" applyBorder="1" applyAlignment="1">
      <alignment horizontal="right"/>
    </xf>
    <xf numFmtId="0" fontId="6" fillId="0" borderId="0" xfId="0" applyFont="1" applyAlignment="1">
      <alignment horizontal="right"/>
    </xf>
    <xf numFmtId="0" fontId="6" fillId="0" borderId="13" xfId="0" applyFont="1" applyBorder="1" applyAlignment="1">
      <alignment horizontal="right"/>
    </xf>
    <xf numFmtId="0" fontId="6" fillId="7" borderId="31" xfId="0" applyFont="1" applyFill="1" applyBorder="1" applyAlignment="1">
      <alignment horizontal="center"/>
    </xf>
    <xf numFmtId="0" fontId="6" fillId="7" borderId="19" xfId="0" applyFont="1" applyFill="1" applyBorder="1" applyAlignment="1">
      <alignment horizontal="center"/>
    </xf>
    <xf numFmtId="0" fontId="6" fillId="7" borderId="19" xfId="0" quotePrefix="1" applyFont="1" applyFill="1" applyBorder="1" applyAlignment="1">
      <alignment horizontal="center"/>
    </xf>
    <xf numFmtId="0" fontId="6" fillId="7" borderId="32" xfId="0" quotePrefix="1" applyFont="1" applyFill="1" applyBorder="1" applyAlignment="1">
      <alignment horizontal="center"/>
    </xf>
    <xf numFmtId="0" fontId="6" fillId="7" borderId="32" xfId="0" applyFont="1" applyFill="1" applyBorder="1" applyAlignment="1">
      <alignment horizontal="center"/>
    </xf>
    <xf numFmtId="0" fontId="6" fillId="7" borderId="33" xfId="0" applyFont="1" applyFill="1" applyBorder="1" applyAlignment="1">
      <alignment horizontal="center"/>
    </xf>
    <xf numFmtId="0" fontId="6" fillId="7" borderId="34" xfId="0" applyFont="1" applyFill="1" applyBorder="1" applyAlignment="1">
      <alignment horizontal="center"/>
    </xf>
    <xf numFmtId="0" fontId="6" fillId="7" borderId="34" xfId="0" quotePrefix="1" applyFont="1" applyFill="1" applyBorder="1" applyAlignment="1">
      <alignment horizontal="center"/>
    </xf>
    <xf numFmtId="0" fontId="6" fillId="7" borderId="35" xfId="0" quotePrefix="1" applyFont="1" applyFill="1" applyBorder="1" applyAlignment="1">
      <alignment horizontal="center"/>
    </xf>
    <xf numFmtId="0" fontId="6" fillId="7" borderId="31" xfId="0" applyFont="1" applyFill="1" applyBorder="1" applyAlignment="1">
      <alignment horizontal="center" vertical="center"/>
    </xf>
    <xf numFmtId="0" fontId="6" fillId="7" borderId="19" xfId="0" applyFont="1" applyFill="1" applyBorder="1" applyAlignment="1">
      <alignment horizontal="center" vertical="center"/>
    </xf>
    <xf numFmtId="0" fontId="6" fillId="0" borderId="4" xfId="0" applyFont="1" applyBorder="1" applyAlignment="1">
      <alignment horizontal="left" vertical="top"/>
    </xf>
    <xf numFmtId="0" fontId="6" fillId="0" borderId="0" xfId="0" applyFont="1" applyAlignment="1">
      <alignment horizontal="left" vertical="top"/>
    </xf>
    <xf numFmtId="0" fontId="6" fillId="0" borderId="5" xfId="0" applyFont="1" applyBorder="1" applyAlignment="1">
      <alignment horizontal="left" vertical="top"/>
    </xf>
    <xf numFmtId="0" fontId="5" fillId="6" borderId="22" xfId="0" applyFont="1" applyFill="1" applyBorder="1" applyAlignment="1">
      <alignment horizontal="center"/>
    </xf>
    <xf numFmtId="0" fontId="5" fillId="6" borderId="27" xfId="0" applyFont="1" applyFill="1" applyBorder="1" applyAlignment="1">
      <alignment horizontal="center"/>
    </xf>
    <xf numFmtId="0" fontId="6" fillId="6" borderId="29" xfId="0" applyFont="1" applyFill="1" applyBorder="1" applyAlignment="1">
      <alignment horizontal="center"/>
    </xf>
    <xf numFmtId="0" fontId="6" fillId="6" borderId="20" xfId="0" applyFont="1" applyFill="1" applyBorder="1" applyAlignment="1">
      <alignment horizontal="center"/>
    </xf>
    <xf numFmtId="0" fontId="6" fillId="6" borderId="31" xfId="0" applyFont="1" applyFill="1" applyBorder="1" applyAlignment="1">
      <alignment horizontal="center"/>
    </xf>
    <xf numFmtId="0" fontId="6" fillId="6" borderId="19" xfId="0" applyFont="1" applyFill="1" applyBorder="1" applyAlignment="1">
      <alignment horizontal="center"/>
    </xf>
    <xf numFmtId="0" fontId="5" fillId="6" borderId="28" xfId="0" applyFont="1" applyFill="1" applyBorder="1" applyAlignment="1">
      <alignment horizontal="center"/>
    </xf>
    <xf numFmtId="0" fontId="5" fillId="6" borderId="23" xfId="0" applyFont="1" applyFill="1" applyBorder="1" applyAlignment="1">
      <alignment horizontal="center"/>
    </xf>
    <xf numFmtId="0" fontId="5" fillId="6" borderId="24" xfId="0" applyFont="1" applyFill="1" applyBorder="1" applyAlignment="1">
      <alignment horizontal="center"/>
    </xf>
    <xf numFmtId="0" fontId="6" fillId="6" borderId="20" xfId="0" quotePrefix="1" applyFont="1" applyFill="1" applyBorder="1" applyAlignment="1">
      <alignment horizontal="center"/>
    </xf>
    <xf numFmtId="0" fontId="6" fillId="6" borderId="30" xfId="0" quotePrefix="1" applyFont="1" applyFill="1" applyBorder="1" applyAlignment="1">
      <alignment horizontal="center"/>
    </xf>
    <xf numFmtId="0" fontId="6" fillId="6" borderId="19" xfId="0" quotePrefix="1" applyFont="1" applyFill="1" applyBorder="1" applyAlignment="1">
      <alignment horizontal="center"/>
    </xf>
    <xf numFmtId="0" fontId="6" fillId="6" borderId="32" xfId="0" quotePrefix="1" applyFont="1" applyFill="1" applyBorder="1" applyAlignment="1">
      <alignment horizontal="center"/>
    </xf>
    <xf numFmtId="0" fontId="6" fillId="6" borderId="32" xfId="0" applyFont="1" applyFill="1" applyBorder="1" applyAlignment="1">
      <alignment horizontal="center"/>
    </xf>
    <xf numFmtId="0" fontId="6" fillId="6" borderId="31" xfId="0" applyFont="1" applyFill="1" applyBorder="1" applyAlignment="1">
      <alignment horizontal="center" vertical="center"/>
    </xf>
    <xf numFmtId="0" fontId="6" fillId="6" borderId="19" xfId="0" applyFont="1" applyFill="1" applyBorder="1" applyAlignment="1">
      <alignment horizontal="center" vertical="center"/>
    </xf>
    <xf numFmtId="0" fontId="5" fillId="7" borderId="22" xfId="0" applyFont="1" applyFill="1" applyBorder="1" applyAlignment="1">
      <alignment horizontal="center"/>
    </xf>
    <xf numFmtId="0" fontId="5" fillId="7" borderId="27" xfId="0" applyFont="1" applyFill="1" applyBorder="1" applyAlignment="1">
      <alignment horizontal="center"/>
    </xf>
    <xf numFmtId="0" fontId="5" fillId="7" borderId="28" xfId="0" applyFont="1" applyFill="1" applyBorder="1" applyAlignment="1">
      <alignment horizontal="center"/>
    </xf>
    <xf numFmtId="0" fontId="5" fillId="7" borderId="23" xfId="0" applyFont="1" applyFill="1" applyBorder="1" applyAlignment="1">
      <alignment horizontal="center"/>
    </xf>
    <xf numFmtId="0" fontId="5" fillId="7" borderId="24" xfId="0" applyFont="1" applyFill="1" applyBorder="1" applyAlignment="1">
      <alignment horizontal="center"/>
    </xf>
    <xf numFmtId="0" fontId="6" fillId="7" borderId="29" xfId="0" applyFont="1" applyFill="1" applyBorder="1" applyAlignment="1">
      <alignment horizontal="center"/>
    </xf>
    <xf numFmtId="0" fontId="6" fillId="7" borderId="20" xfId="0" applyFont="1" applyFill="1" applyBorder="1" applyAlignment="1">
      <alignment horizontal="center"/>
    </xf>
    <xf numFmtId="0" fontId="6" fillId="7" borderId="20" xfId="0" quotePrefix="1" applyFont="1" applyFill="1" applyBorder="1" applyAlignment="1">
      <alignment horizontal="center"/>
    </xf>
    <xf numFmtId="0" fontId="6" fillId="7" borderId="30" xfId="0" quotePrefix="1" applyFont="1" applyFill="1" applyBorder="1" applyAlignment="1">
      <alignment horizontal="center"/>
    </xf>
    <xf numFmtId="0" fontId="6" fillId="6" borderId="34" xfId="0" quotePrefix="1" applyFont="1" applyFill="1" applyBorder="1" applyAlignment="1">
      <alignment horizontal="center"/>
    </xf>
    <xf numFmtId="0" fontId="6" fillId="6" borderId="35" xfId="0" quotePrefix="1" applyFont="1" applyFill="1" applyBorder="1" applyAlignment="1">
      <alignment horizontal="center"/>
    </xf>
    <xf numFmtId="0" fontId="6" fillId="6" borderId="33" xfId="0" applyFont="1" applyFill="1" applyBorder="1" applyAlignment="1">
      <alignment horizontal="center"/>
    </xf>
    <xf numFmtId="0" fontId="6" fillId="6" borderId="34" xfId="0" applyFont="1" applyFill="1" applyBorder="1" applyAlignment="1">
      <alignment horizontal="center"/>
    </xf>
    <xf numFmtId="0" fontId="5" fillId="0" borderId="54" xfId="0" applyFont="1" applyBorder="1" applyAlignment="1">
      <alignment horizontal="center"/>
    </xf>
    <xf numFmtId="0" fontId="5" fillId="0" borderId="40" xfId="0" applyFont="1" applyBorder="1" applyAlignment="1">
      <alignment horizontal="center"/>
    </xf>
    <xf numFmtId="0" fontId="6" fillId="0" borderId="31" xfId="0" applyFont="1" applyBorder="1" applyAlignment="1">
      <alignment horizontal="center"/>
    </xf>
    <xf numFmtId="0" fontId="6" fillId="0" borderId="19" xfId="0" applyFont="1" applyBorder="1" applyAlignment="1">
      <alignment horizontal="center"/>
    </xf>
    <xf numFmtId="0" fontId="6" fillId="0" borderId="33" xfId="0" applyFont="1" applyBorder="1" applyAlignment="1">
      <alignment horizontal="center"/>
    </xf>
    <xf numFmtId="0" fontId="6" fillId="0" borderId="34" xfId="0" applyFont="1" applyBorder="1" applyAlignment="1">
      <alignment horizontal="center"/>
    </xf>
    <xf numFmtId="0" fontId="5" fillId="0" borderId="51" xfId="0" applyFont="1" applyBorder="1" applyAlignment="1">
      <alignment horizontal="center"/>
    </xf>
    <xf numFmtId="0" fontId="6" fillId="10" borderId="19" xfId="0" applyFont="1" applyFill="1" applyBorder="1" applyAlignment="1">
      <alignment horizontal="center"/>
    </xf>
    <xf numFmtId="0" fontId="6" fillId="10" borderId="32" xfId="0" applyFont="1" applyFill="1" applyBorder="1" applyAlignment="1">
      <alignment horizontal="center"/>
    </xf>
    <xf numFmtId="0" fontId="6" fillId="10" borderId="34" xfId="0" applyFont="1" applyFill="1" applyBorder="1" applyAlignment="1">
      <alignment horizontal="center"/>
    </xf>
    <xf numFmtId="0" fontId="6" fillId="10" borderId="35" xfId="0" applyFont="1" applyFill="1" applyBorder="1" applyAlignment="1">
      <alignment horizontal="center"/>
    </xf>
    <xf numFmtId="0" fontId="6" fillId="5" borderId="4" xfId="0" applyFont="1" applyFill="1" applyBorder="1" applyAlignment="1">
      <alignment horizontal="left" vertical="top" wrapText="1"/>
    </xf>
    <xf numFmtId="0" fontId="6" fillId="5" borderId="0" xfId="0" applyFont="1" applyFill="1" applyAlignment="1">
      <alignment horizontal="left" vertical="top"/>
    </xf>
    <xf numFmtId="0" fontId="6" fillId="5" borderId="5" xfId="0" applyFont="1" applyFill="1" applyBorder="1" applyAlignment="1">
      <alignment horizontal="left" vertical="top"/>
    </xf>
    <xf numFmtId="0" fontId="6" fillId="8" borderId="4" xfId="0" applyFont="1" applyFill="1" applyBorder="1" applyAlignment="1">
      <alignment horizontal="left" vertical="top" wrapText="1"/>
    </xf>
    <xf numFmtId="0" fontId="6" fillId="8" borderId="0" xfId="0" applyFont="1" applyFill="1" applyAlignment="1">
      <alignment horizontal="left" vertical="top" wrapText="1"/>
    </xf>
    <xf numFmtId="0" fontId="6" fillId="8" borderId="5" xfId="0" applyFont="1" applyFill="1" applyBorder="1" applyAlignment="1">
      <alignment horizontal="left" vertical="top" wrapText="1"/>
    </xf>
    <xf numFmtId="0" fontId="6" fillId="7" borderId="42" xfId="0" quotePrefix="1" applyFont="1" applyFill="1" applyBorder="1" applyAlignment="1">
      <alignment horizontal="center"/>
    </xf>
    <xf numFmtId="0" fontId="6" fillId="7" borderId="43" xfId="0" quotePrefix="1" applyFont="1" applyFill="1" applyBorder="1" applyAlignment="1">
      <alignment horizontal="center"/>
    </xf>
    <xf numFmtId="0" fontId="6" fillId="7" borderId="44" xfId="0" quotePrefix="1" applyFont="1" applyFill="1" applyBorder="1" applyAlignment="1">
      <alignment horizontal="center"/>
    </xf>
    <xf numFmtId="0" fontId="6" fillId="7" borderId="42" xfId="0" applyFont="1" applyFill="1" applyBorder="1" applyAlignment="1">
      <alignment horizontal="center"/>
    </xf>
    <xf numFmtId="0" fontId="6" fillId="7" borderId="43" xfId="0" applyFont="1" applyFill="1" applyBorder="1" applyAlignment="1">
      <alignment horizontal="center"/>
    </xf>
    <xf numFmtId="0" fontId="6" fillId="7" borderId="44" xfId="0" applyFont="1" applyFill="1" applyBorder="1" applyAlignment="1">
      <alignment horizontal="center"/>
    </xf>
    <xf numFmtId="0" fontId="6" fillId="7" borderId="18" xfId="0" quotePrefix="1" applyFont="1" applyFill="1" applyBorder="1" applyAlignment="1">
      <alignment horizontal="center"/>
    </xf>
    <xf numFmtId="0" fontId="6" fillId="7" borderId="17" xfId="0" quotePrefix="1" applyFont="1" applyFill="1" applyBorder="1" applyAlignment="1">
      <alignment horizontal="center"/>
    </xf>
    <xf numFmtId="0" fontId="6" fillId="7" borderId="45" xfId="0" quotePrefix="1" applyFont="1" applyFill="1" applyBorder="1" applyAlignment="1">
      <alignment horizontal="center"/>
    </xf>
    <xf numFmtId="0" fontId="6" fillId="10" borderId="14" xfId="0" applyFont="1" applyFill="1" applyBorder="1" applyAlignment="1">
      <alignment horizontal="center"/>
    </xf>
    <xf numFmtId="0" fontId="6" fillId="10" borderId="16" xfId="0" applyFont="1" applyFill="1" applyBorder="1" applyAlignment="1">
      <alignment horizontal="center"/>
    </xf>
    <xf numFmtId="0" fontId="6" fillId="10" borderId="9" xfId="0" applyFont="1" applyFill="1" applyBorder="1" applyAlignment="1">
      <alignment horizont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57"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58" xfId="0" applyFont="1" applyBorder="1" applyAlignment="1">
      <alignment horizontal="center" vertical="center" wrapText="1"/>
    </xf>
    <xf numFmtId="0" fontId="6" fillId="10" borderId="11" xfId="0" applyFont="1" applyFill="1" applyBorder="1" applyAlignment="1">
      <alignment horizontal="center"/>
    </xf>
    <xf numFmtId="0" fontId="6" fillId="6" borderId="55" xfId="0" applyFont="1" applyFill="1" applyBorder="1" applyAlignment="1">
      <alignment horizontal="center" vertical="center"/>
    </xf>
    <xf numFmtId="0" fontId="6" fillId="6" borderId="49" xfId="0" applyFont="1" applyFill="1" applyBorder="1" applyAlignment="1">
      <alignment horizontal="center" vertical="center"/>
    </xf>
    <xf numFmtId="0" fontId="6" fillId="6" borderId="42" xfId="0" quotePrefix="1" applyFont="1" applyFill="1" applyBorder="1" applyAlignment="1">
      <alignment horizontal="center"/>
    </xf>
    <xf numFmtId="0" fontId="6" fillId="6" borderId="43" xfId="0" quotePrefix="1" applyFont="1" applyFill="1" applyBorder="1" applyAlignment="1">
      <alignment horizontal="center"/>
    </xf>
    <xf numFmtId="0" fontId="6" fillId="6" borderId="44" xfId="0" quotePrefix="1" applyFont="1" applyFill="1" applyBorder="1" applyAlignment="1">
      <alignment horizontal="center"/>
    </xf>
    <xf numFmtId="0" fontId="6" fillId="7" borderId="55" xfId="0" applyFont="1" applyFill="1" applyBorder="1" applyAlignment="1">
      <alignment horizontal="center" vertical="center"/>
    </xf>
    <xf numFmtId="0" fontId="6" fillId="7" borderId="49" xfId="0" applyFont="1" applyFill="1" applyBorder="1" applyAlignment="1">
      <alignment horizontal="center" vertical="center"/>
    </xf>
    <xf numFmtId="0" fontId="6" fillId="5" borderId="6" xfId="0" applyFont="1" applyFill="1" applyBorder="1" applyAlignment="1">
      <alignment horizontal="left" wrapText="1"/>
    </xf>
    <xf numFmtId="0" fontId="6" fillId="5" borderId="7" xfId="0" applyFont="1" applyFill="1" applyBorder="1" applyAlignment="1">
      <alignment horizontal="left" wrapText="1"/>
    </xf>
    <xf numFmtId="0" fontId="6" fillId="5" borderId="8" xfId="0" applyFont="1" applyFill="1" applyBorder="1" applyAlignment="1">
      <alignment horizontal="left" wrapText="1"/>
    </xf>
    <xf numFmtId="0" fontId="5" fillId="8" borderId="4" xfId="0" applyFont="1" applyFill="1" applyBorder="1" applyAlignment="1">
      <alignment horizontal="left" vertical="top" wrapText="1"/>
    </xf>
    <xf numFmtId="0" fontId="5" fillId="8" borderId="0" xfId="0" applyFont="1" applyFill="1" applyAlignment="1">
      <alignment horizontal="left" vertical="top" wrapText="1"/>
    </xf>
    <xf numFmtId="0" fontId="5" fillId="8" borderId="5" xfId="0" applyFont="1" applyFill="1" applyBorder="1" applyAlignment="1">
      <alignment horizontal="left" vertical="top" wrapText="1"/>
    </xf>
    <xf numFmtId="0" fontId="6" fillId="0" borderId="9" xfId="0" applyFont="1" applyBorder="1" applyAlignment="1">
      <alignment horizontal="left" vertical="top" wrapText="1"/>
    </xf>
    <xf numFmtId="0" fontId="6" fillId="0" borderId="11" xfId="0" applyFont="1" applyBorder="1" applyAlignment="1">
      <alignment horizontal="left" vertical="top" wrapText="1"/>
    </xf>
    <xf numFmtId="0" fontId="6" fillId="0" borderId="14" xfId="0" applyFont="1" applyBorder="1" applyAlignment="1">
      <alignment horizontal="left" vertical="top" wrapText="1"/>
    </xf>
    <xf numFmtId="0" fontId="6" fillId="0" borderId="16" xfId="0" applyFont="1" applyBorder="1" applyAlignment="1">
      <alignment horizontal="left" vertical="top"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10" xfId="0" applyFont="1" applyBorder="1" applyAlignment="1">
      <alignment horizontal="center" wrapText="1"/>
    </xf>
    <xf numFmtId="0" fontId="6" fillId="0" borderId="57" xfId="0" applyFont="1" applyBorder="1" applyAlignment="1">
      <alignment horizontal="center" wrapText="1"/>
    </xf>
    <xf numFmtId="0" fontId="6" fillId="0" borderId="15" xfId="0" applyFont="1" applyBorder="1" applyAlignment="1">
      <alignment horizontal="center" wrapText="1"/>
    </xf>
    <xf numFmtId="0" fontId="6" fillId="0" borderId="58" xfId="0" applyFont="1" applyBorder="1" applyAlignment="1">
      <alignment horizontal="center" wrapText="1"/>
    </xf>
    <xf numFmtId="0" fontId="6" fillId="10" borderId="10" xfId="0" applyFont="1" applyFill="1" applyBorder="1" applyAlignment="1">
      <alignment horizontal="center"/>
    </xf>
    <xf numFmtId="0" fontId="6" fillId="10" borderId="36" xfId="0" quotePrefix="1" applyFont="1" applyFill="1" applyBorder="1"/>
    <xf numFmtId="166" fontId="6" fillId="10" borderId="9" xfId="0" applyNumberFormat="1" applyFont="1" applyFill="1" applyBorder="1" applyAlignment="1">
      <alignment horizontal="center"/>
    </xf>
    <xf numFmtId="166" fontId="6" fillId="10" borderId="57" xfId="0" applyNumberFormat="1" applyFont="1" applyFill="1" applyBorder="1" applyAlignment="1">
      <alignment horizontal="center"/>
    </xf>
    <xf numFmtId="9" fontId="6" fillId="10" borderId="9" xfId="4" applyFont="1" applyFill="1" applyBorder="1" applyAlignment="1">
      <alignment horizontal="center"/>
    </xf>
    <xf numFmtId="9" fontId="6" fillId="10" borderId="57" xfId="4" applyFont="1" applyFill="1" applyBorder="1" applyAlignment="1">
      <alignment horizontal="center"/>
    </xf>
    <xf numFmtId="9" fontId="6" fillId="10" borderId="14" xfId="4" applyFont="1" applyFill="1" applyBorder="1" applyAlignment="1">
      <alignment horizontal="center"/>
    </xf>
    <xf numFmtId="9" fontId="6" fillId="10" borderId="58" xfId="4" applyFont="1" applyFill="1" applyBorder="1" applyAlignment="1">
      <alignment horizontal="center"/>
    </xf>
  </cellXfs>
  <cellStyles count="5">
    <cellStyle name="Euro" xfId="1" xr:uid="{00000000-0005-0000-0000-000000000000}"/>
    <cellStyle name="Prozent" xfId="4" builtinId="5"/>
    <cellStyle name="Standard" xfId="0" builtinId="0"/>
    <cellStyle name="Standard 2" xfId="2" xr:uid="{00000000-0005-0000-0000-000002000000}"/>
    <cellStyle name="Standard 3" xfId="3" xr:uid="{00000000-0005-0000-0000-000003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i="0" u="none" strike="noStrike" baseline="0">
                <a:solidFill>
                  <a:srgbClr val="000000"/>
                </a:solidFill>
                <a:latin typeface="Arial"/>
                <a:ea typeface="Arial"/>
                <a:cs typeface="Arial"/>
              </a:defRPr>
            </a:pPr>
            <a:r>
              <a:rPr lang="de-DE"/>
              <a:t>Binomialverteilung B(10;0,5)</a:t>
            </a:r>
          </a:p>
        </c:rich>
      </c:tx>
      <c:layout>
        <c:manualLayout>
          <c:xMode val="edge"/>
          <c:yMode val="edge"/>
          <c:x val="0.33858267716535434"/>
          <c:y val="3.1963470319634701E-2"/>
        </c:manualLayout>
      </c:layout>
      <c:overlay val="0"/>
      <c:spPr>
        <a:noFill/>
        <a:ln w="25400">
          <a:noFill/>
        </a:ln>
      </c:spPr>
    </c:title>
    <c:autoTitleDeleted val="0"/>
    <c:plotArea>
      <c:layout>
        <c:manualLayout>
          <c:layoutTarget val="inner"/>
          <c:xMode val="edge"/>
          <c:yMode val="edge"/>
          <c:x val="7.4015748031496062E-2"/>
          <c:y val="0.16895014837986136"/>
          <c:w val="0.77480314960629926"/>
          <c:h val="0.72602901601075553"/>
        </c:manualLayout>
      </c:layout>
      <c:scatterChart>
        <c:scatterStyle val="lineMarker"/>
        <c:varyColors val="0"/>
        <c:ser>
          <c:idx val="0"/>
          <c:order val="0"/>
          <c:tx>
            <c:strRef>
              <c:f>'f(x) vs. F(x)'!$C$27</c:f>
              <c:strCache>
                <c:ptCount val="1"/>
                <c:pt idx="0">
                  <c:v>F(x)</c:v>
                </c:pt>
              </c:strCache>
            </c:strRef>
          </c:tx>
          <c:spPr>
            <a:ln w="38100">
              <a:solidFill>
                <a:srgbClr val="000080"/>
              </a:solidFill>
              <a:prstDash val="solid"/>
            </a:ln>
          </c:spPr>
          <c:marker>
            <c:symbol val="none"/>
          </c:marker>
          <c:xVal>
            <c:numRef>
              <c:f>'f(x) vs. F(x)'!$B$28:$B$29</c:f>
              <c:numCache>
                <c:formatCode>0.000</c:formatCode>
                <c:ptCount val="2"/>
                <c:pt idx="0">
                  <c:v>0</c:v>
                </c:pt>
                <c:pt idx="1">
                  <c:v>0.999</c:v>
                </c:pt>
              </c:numCache>
            </c:numRef>
          </c:xVal>
          <c:yVal>
            <c:numRef>
              <c:f>'f(x) vs. F(x)'!$C$28:$C$29</c:f>
              <c:numCache>
                <c:formatCode>0.000</c:formatCode>
                <c:ptCount val="2"/>
                <c:pt idx="0">
                  <c:v>9.765625E-4</c:v>
                </c:pt>
                <c:pt idx="1">
                  <c:v>9.765625E-4</c:v>
                </c:pt>
              </c:numCache>
            </c:numRef>
          </c:yVal>
          <c:smooth val="0"/>
          <c:extLst>
            <c:ext xmlns:c16="http://schemas.microsoft.com/office/drawing/2014/chart" uri="{C3380CC4-5D6E-409C-BE32-E72D297353CC}">
              <c16:uniqueId val="{00000000-2A1F-4B7E-B765-6F8E777DEC37}"/>
            </c:ext>
          </c:extLst>
        </c:ser>
        <c:ser>
          <c:idx val="1"/>
          <c:order val="1"/>
          <c:spPr>
            <a:ln w="38100">
              <a:solidFill>
                <a:srgbClr val="000080"/>
              </a:solidFill>
              <a:prstDash val="solid"/>
            </a:ln>
          </c:spPr>
          <c:marker>
            <c:symbol val="none"/>
          </c:marker>
          <c:xVal>
            <c:numRef>
              <c:f>'f(x) vs. F(x)'!$B$30:$B$31</c:f>
              <c:numCache>
                <c:formatCode>0.000</c:formatCode>
                <c:ptCount val="2"/>
                <c:pt idx="0">
                  <c:v>1</c:v>
                </c:pt>
                <c:pt idx="1">
                  <c:v>1.9990000000000001</c:v>
                </c:pt>
              </c:numCache>
            </c:numRef>
          </c:xVal>
          <c:yVal>
            <c:numRef>
              <c:f>'f(x) vs. F(x)'!$C$30:$C$31</c:f>
              <c:numCache>
                <c:formatCode>0.000</c:formatCode>
                <c:ptCount val="2"/>
                <c:pt idx="0">
                  <c:v>1.0742187500000003E-2</c:v>
                </c:pt>
                <c:pt idx="1">
                  <c:v>1.0742187500000003E-2</c:v>
                </c:pt>
              </c:numCache>
            </c:numRef>
          </c:yVal>
          <c:smooth val="0"/>
          <c:extLst>
            <c:ext xmlns:c16="http://schemas.microsoft.com/office/drawing/2014/chart" uri="{C3380CC4-5D6E-409C-BE32-E72D297353CC}">
              <c16:uniqueId val="{00000001-2A1F-4B7E-B765-6F8E777DEC37}"/>
            </c:ext>
          </c:extLst>
        </c:ser>
        <c:ser>
          <c:idx val="2"/>
          <c:order val="2"/>
          <c:spPr>
            <a:ln w="38100">
              <a:solidFill>
                <a:srgbClr val="000080"/>
              </a:solidFill>
              <a:prstDash val="solid"/>
            </a:ln>
          </c:spPr>
          <c:marker>
            <c:symbol val="none"/>
          </c:marker>
          <c:xVal>
            <c:numRef>
              <c:f>'f(x) vs. F(x)'!$B$32:$B$33</c:f>
              <c:numCache>
                <c:formatCode>0.000</c:formatCode>
                <c:ptCount val="2"/>
                <c:pt idx="0">
                  <c:v>2</c:v>
                </c:pt>
                <c:pt idx="1">
                  <c:v>2.9990000000000001</c:v>
                </c:pt>
              </c:numCache>
            </c:numRef>
          </c:xVal>
          <c:yVal>
            <c:numRef>
              <c:f>'f(x) vs. F(x)'!$C$32:$C$33</c:f>
              <c:numCache>
                <c:formatCode>0.000</c:formatCode>
                <c:ptCount val="2"/>
                <c:pt idx="0">
                  <c:v>5.46875E-2</c:v>
                </c:pt>
                <c:pt idx="1">
                  <c:v>5.46875E-2</c:v>
                </c:pt>
              </c:numCache>
            </c:numRef>
          </c:yVal>
          <c:smooth val="0"/>
          <c:extLst>
            <c:ext xmlns:c16="http://schemas.microsoft.com/office/drawing/2014/chart" uri="{C3380CC4-5D6E-409C-BE32-E72D297353CC}">
              <c16:uniqueId val="{00000002-2A1F-4B7E-B765-6F8E777DEC37}"/>
            </c:ext>
          </c:extLst>
        </c:ser>
        <c:ser>
          <c:idx val="3"/>
          <c:order val="3"/>
          <c:tx>
            <c:strRef>
              <c:f>'f(x) vs. F(x)'!$E$27</c:f>
              <c:strCache>
                <c:ptCount val="1"/>
                <c:pt idx="0">
                  <c:v>f(x)</c:v>
                </c:pt>
              </c:strCache>
            </c:strRef>
          </c:tx>
          <c:spPr>
            <a:ln w="38100">
              <a:solidFill>
                <a:srgbClr val="00FFFF"/>
              </a:solidFill>
              <a:prstDash val="solid"/>
            </a:ln>
          </c:spPr>
          <c:marker>
            <c:symbol val="none"/>
          </c:marker>
          <c:xVal>
            <c:numRef>
              <c:f>'f(x) vs. F(x)'!$D$32:$D$33</c:f>
              <c:numCache>
                <c:formatCode>General</c:formatCode>
                <c:ptCount val="2"/>
                <c:pt idx="0">
                  <c:v>2</c:v>
                </c:pt>
                <c:pt idx="1">
                  <c:v>2</c:v>
                </c:pt>
              </c:numCache>
            </c:numRef>
          </c:xVal>
          <c:yVal>
            <c:numRef>
              <c:f>'f(x) vs. F(x)'!$E$32:$E$33</c:f>
              <c:numCache>
                <c:formatCode>0.000</c:formatCode>
                <c:ptCount val="2"/>
                <c:pt idx="0">
                  <c:v>4.3945312499999972E-2</c:v>
                </c:pt>
                <c:pt idx="1">
                  <c:v>0</c:v>
                </c:pt>
              </c:numCache>
            </c:numRef>
          </c:yVal>
          <c:smooth val="0"/>
          <c:extLst>
            <c:ext xmlns:c16="http://schemas.microsoft.com/office/drawing/2014/chart" uri="{C3380CC4-5D6E-409C-BE32-E72D297353CC}">
              <c16:uniqueId val="{00000003-2A1F-4B7E-B765-6F8E777DEC37}"/>
            </c:ext>
          </c:extLst>
        </c:ser>
        <c:ser>
          <c:idx val="5"/>
          <c:order val="4"/>
          <c:spPr>
            <a:ln w="38100">
              <a:solidFill>
                <a:srgbClr val="00FFFF"/>
              </a:solidFill>
              <a:prstDash val="solid"/>
            </a:ln>
          </c:spPr>
          <c:marker>
            <c:symbol val="none"/>
          </c:marker>
          <c:xVal>
            <c:numRef>
              <c:f>'f(x) vs. F(x)'!$D$28:$D$29</c:f>
              <c:numCache>
                <c:formatCode>General</c:formatCode>
                <c:ptCount val="2"/>
                <c:pt idx="0">
                  <c:v>0</c:v>
                </c:pt>
                <c:pt idx="1">
                  <c:v>0</c:v>
                </c:pt>
              </c:numCache>
            </c:numRef>
          </c:xVal>
          <c:yVal>
            <c:numRef>
              <c:f>'f(x) vs. F(x)'!$E$28:$E$29</c:f>
              <c:numCache>
                <c:formatCode>0.000</c:formatCode>
                <c:ptCount val="2"/>
                <c:pt idx="0">
                  <c:v>9.765625E-4</c:v>
                </c:pt>
                <c:pt idx="1">
                  <c:v>0</c:v>
                </c:pt>
              </c:numCache>
            </c:numRef>
          </c:yVal>
          <c:smooth val="0"/>
          <c:extLst>
            <c:ext xmlns:c16="http://schemas.microsoft.com/office/drawing/2014/chart" uri="{C3380CC4-5D6E-409C-BE32-E72D297353CC}">
              <c16:uniqueId val="{00000004-2A1F-4B7E-B765-6F8E777DEC37}"/>
            </c:ext>
          </c:extLst>
        </c:ser>
        <c:ser>
          <c:idx val="4"/>
          <c:order val="5"/>
          <c:spPr>
            <a:ln w="38100">
              <a:solidFill>
                <a:srgbClr val="00FFFF"/>
              </a:solidFill>
              <a:prstDash val="solid"/>
            </a:ln>
          </c:spPr>
          <c:marker>
            <c:symbol val="none"/>
          </c:marker>
          <c:xVal>
            <c:numRef>
              <c:f>'f(x) vs. F(x)'!$D$30:$D$31</c:f>
              <c:numCache>
                <c:formatCode>General</c:formatCode>
                <c:ptCount val="2"/>
                <c:pt idx="0">
                  <c:v>1</c:v>
                </c:pt>
                <c:pt idx="1">
                  <c:v>1</c:v>
                </c:pt>
              </c:numCache>
            </c:numRef>
          </c:xVal>
          <c:yVal>
            <c:numRef>
              <c:f>'f(x) vs. F(x)'!$E$30:$E$31</c:f>
              <c:numCache>
                <c:formatCode>0.000</c:formatCode>
                <c:ptCount val="2"/>
                <c:pt idx="0">
                  <c:v>9.7656250000000017E-3</c:v>
                </c:pt>
                <c:pt idx="1">
                  <c:v>0</c:v>
                </c:pt>
              </c:numCache>
            </c:numRef>
          </c:yVal>
          <c:smooth val="0"/>
          <c:extLst>
            <c:ext xmlns:c16="http://schemas.microsoft.com/office/drawing/2014/chart" uri="{C3380CC4-5D6E-409C-BE32-E72D297353CC}">
              <c16:uniqueId val="{00000005-2A1F-4B7E-B765-6F8E777DEC37}"/>
            </c:ext>
          </c:extLst>
        </c:ser>
        <c:ser>
          <c:idx val="6"/>
          <c:order val="6"/>
          <c:spPr>
            <a:ln w="38100">
              <a:solidFill>
                <a:srgbClr val="00FFFF"/>
              </a:solidFill>
              <a:prstDash val="solid"/>
            </a:ln>
          </c:spPr>
          <c:marker>
            <c:symbol val="none"/>
          </c:marker>
          <c:xVal>
            <c:numRef>
              <c:f>'f(x) vs. F(x)'!$D$34:$D$35</c:f>
              <c:numCache>
                <c:formatCode>General</c:formatCode>
                <c:ptCount val="2"/>
                <c:pt idx="0">
                  <c:v>3</c:v>
                </c:pt>
                <c:pt idx="1">
                  <c:v>3</c:v>
                </c:pt>
              </c:numCache>
            </c:numRef>
          </c:xVal>
          <c:yVal>
            <c:numRef>
              <c:f>'f(x) vs. F(x)'!$E$34:$E$35</c:f>
              <c:numCache>
                <c:formatCode>0.000</c:formatCode>
                <c:ptCount val="2"/>
                <c:pt idx="0">
                  <c:v>0.11718750000000003</c:v>
                </c:pt>
                <c:pt idx="1">
                  <c:v>0</c:v>
                </c:pt>
              </c:numCache>
            </c:numRef>
          </c:yVal>
          <c:smooth val="0"/>
          <c:extLst>
            <c:ext xmlns:c16="http://schemas.microsoft.com/office/drawing/2014/chart" uri="{C3380CC4-5D6E-409C-BE32-E72D297353CC}">
              <c16:uniqueId val="{00000006-2A1F-4B7E-B765-6F8E777DEC37}"/>
            </c:ext>
          </c:extLst>
        </c:ser>
        <c:ser>
          <c:idx val="7"/>
          <c:order val="7"/>
          <c:spPr>
            <a:ln w="38100">
              <a:solidFill>
                <a:srgbClr val="00FFFF"/>
              </a:solidFill>
              <a:prstDash val="solid"/>
            </a:ln>
          </c:spPr>
          <c:marker>
            <c:symbol val="none"/>
          </c:marker>
          <c:xVal>
            <c:numRef>
              <c:f>'f(x) vs. F(x)'!$D$36:$D$37</c:f>
              <c:numCache>
                <c:formatCode>General</c:formatCode>
                <c:ptCount val="2"/>
                <c:pt idx="0">
                  <c:v>4</c:v>
                </c:pt>
                <c:pt idx="1">
                  <c:v>4</c:v>
                </c:pt>
              </c:numCache>
            </c:numRef>
          </c:xVal>
          <c:yVal>
            <c:numRef>
              <c:f>'f(x) vs. F(x)'!$E$36:$E$37</c:f>
              <c:numCache>
                <c:formatCode>0.000</c:formatCode>
                <c:ptCount val="2"/>
                <c:pt idx="0">
                  <c:v>0.20507812500000006</c:v>
                </c:pt>
                <c:pt idx="1">
                  <c:v>0</c:v>
                </c:pt>
              </c:numCache>
            </c:numRef>
          </c:yVal>
          <c:smooth val="0"/>
          <c:extLst>
            <c:ext xmlns:c16="http://schemas.microsoft.com/office/drawing/2014/chart" uri="{C3380CC4-5D6E-409C-BE32-E72D297353CC}">
              <c16:uniqueId val="{00000007-2A1F-4B7E-B765-6F8E777DEC37}"/>
            </c:ext>
          </c:extLst>
        </c:ser>
        <c:ser>
          <c:idx val="8"/>
          <c:order val="8"/>
          <c:spPr>
            <a:ln w="38100">
              <a:solidFill>
                <a:srgbClr val="00FFFF"/>
              </a:solidFill>
              <a:prstDash val="solid"/>
            </a:ln>
          </c:spPr>
          <c:marker>
            <c:symbol val="none"/>
          </c:marker>
          <c:xVal>
            <c:numRef>
              <c:f>'f(x) vs. F(x)'!$D$38:$D$39</c:f>
              <c:numCache>
                <c:formatCode>General</c:formatCode>
                <c:ptCount val="2"/>
                <c:pt idx="0">
                  <c:v>5</c:v>
                </c:pt>
                <c:pt idx="1">
                  <c:v>5</c:v>
                </c:pt>
              </c:numCache>
            </c:numRef>
          </c:xVal>
          <c:yVal>
            <c:numRef>
              <c:f>'f(x) vs. F(x)'!$E$38:$E$39</c:f>
              <c:numCache>
                <c:formatCode>0.000</c:formatCode>
                <c:ptCount val="2"/>
                <c:pt idx="0">
                  <c:v>0.24609375000000008</c:v>
                </c:pt>
                <c:pt idx="1">
                  <c:v>0</c:v>
                </c:pt>
              </c:numCache>
            </c:numRef>
          </c:yVal>
          <c:smooth val="0"/>
          <c:extLst>
            <c:ext xmlns:c16="http://schemas.microsoft.com/office/drawing/2014/chart" uri="{C3380CC4-5D6E-409C-BE32-E72D297353CC}">
              <c16:uniqueId val="{00000008-2A1F-4B7E-B765-6F8E777DEC37}"/>
            </c:ext>
          </c:extLst>
        </c:ser>
        <c:ser>
          <c:idx val="10"/>
          <c:order val="9"/>
          <c:spPr>
            <a:ln w="38100">
              <a:solidFill>
                <a:srgbClr val="00FFFF"/>
              </a:solidFill>
              <a:prstDash val="solid"/>
            </a:ln>
          </c:spPr>
          <c:marker>
            <c:symbol val="none"/>
          </c:marker>
          <c:xVal>
            <c:numRef>
              <c:f>'f(x) vs. F(x)'!$D$42:$D$43</c:f>
              <c:numCache>
                <c:formatCode>General</c:formatCode>
                <c:ptCount val="2"/>
                <c:pt idx="0">
                  <c:v>7</c:v>
                </c:pt>
                <c:pt idx="1">
                  <c:v>7</c:v>
                </c:pt>
              </c:numCache>
            </c:numRef>
          </c:xVal>
          <c:yVal>
            <c:numRef>
              <c:f>'f(x) vs. F(x)'!$E$42:$E$43</c:f>
              <c:numCache>
                <c:formatCode>0.000</c:formatCode>
                <c:ptCount val="2"/>
                <c:pt idx="0">
                  <c:v>0.11718750000000003</c:v>
                </c:pt>
                <c:pt idx="1">
                  <c:v>0</c:v>
                </c:pt>
              </c:numCache>
            </c:numRef>
          </c:yVal>
          <c:smooth val="0"/>
          <c:extLst>
            <c:ext xmlns:c16="http://schemas.microsoft.com/office/drawing/2014/chart" uri="{C3380CC4-5D6E-409C-BE32-E72D297353CC}">
              <c16:uniqueId val="{00000009-2A1F-4B7E-B765-6F8E777DEC37}"/>
            </c:ext>
          </c:extLst>
        </c:ser>
        <c:ser>
          <c:idx val="11"/>
          <c:order val="10"/>
          <c:spPr>
            <a:ln w="38100">
              <a:solidFill>
                <a:srgbClr val="00FFFF"/>
              </a:solidFill>
              <a:prstDash val="solid"/>
            </a:ln>
          </c:spPr>
          <c:marker>
            <c:symbol val="none"/>
          </c:marker>
          <c:xVal>
            <c:numRef>
              <c:f>'f(x) vs. F(x)'!$D$44:$D$45</c:f>
              <c:numCache>
                <c:formatCode>General</c:formatCode>
                <c:ptCount val="2"/>
                <c:pt idx="0">
                  <c:v>8</c:v>
                </c:pt>
                <c:pt idx="1">
                  <c:v>8</c:v>
                </c:pt>
              </c:numCache>
            </c:numRef>
          </c:xVal>
          <c:yVal>
            <c:numRef>
              <c:f>'f(x) vs. F(x)'!$E$44:$E$45</c:f>
              <c:numCache>
                <c:formatCode>0.000</c:formatCode>
                <c:ptCount val="2"/>
                <c:pt idx="0">
                  <c:v>4.3945312499999986E-2</c:v>
                </c:pt>
                <c:pt idx="1">
                  <c:v>0</c:v>
                </c:pt>
              </c:numCache>
            </c:numRef>
          </c:yVal>
          <c:smooth val="0"/>
          <c:extLst>
            <c:ext xmlns:c16="http://schemas.microsoft.com/office/drawing/2014/chart" uri="{C3380CC4-5D6E-409C-BE32-E72D297353CC}">
              <c16:uniqueId val="{0000000A-2A1F-4B7E-B765-6F8E777DEC37}"/>
            </c:ext>
          </c:extLst>
        </c:ser>
        <c:ser>
          <c:idx val="12"/>
          <c:order val="11"/>
          <c:spPr>
            <a:ln w="38100">
              <a:solidFill>
                <a:srgbClr val="00FFFF"/>
              </a:solidFill>
              <a:prstDash val="solid"/>
            </a:ln>
          </c:spPr>
          <c:marker>
            <c:symbol val="none"/>
          </c:marker>
          <c:xVal>
            <c:numRef>
              <c:f>'f(x) vs. F(x)'!$D$46:$D$47</c:f>
              <c:numCache>
                <c:formatCode>General</c:formatCode>
                <c:ptCount val="2"/>
                <c:pt idx="0">
                  <c:v>9</c:v>
                </c:pt>
                <c:pt idx="1">
                  <c:v>9</c:v>
                </c:pt>
              </c:numCache>
            </c:numRef>
          </c:xVal>
          <c:yVal>
            <c:numRef>
              <c:f>'f(x) vs. F(x)'!$E$46:$E$47</c:f>
              <c:numCache>
                <c:formatCode>0.000</c:formatCode>
                <c:ptCount val="2"/>
                <c:pt idx="0">
                  <c:v>9.7656250000000017E-3</c:v>
                </c:pt>
                <c:pt idx="1">
                  <c:v>0</c:v>
                </c:pt>
              </c:numCache>
            </c:numRef>
          </c:yVal>
          <c:smooth val="0"/>
          <c:extLst>
            <c:ext xmlns:c16="http://schemas.microsoft.com/office/drawing/2014/chart" uri="{C3380CC4-5D6E-409C-BE32-E72D297353CC}">
              <c16:uniqueId val="{0000000B-2A1F-4B7E-B765-6F8E777DEC37}"/>
            </c:ext>
          </c:extLst>
        </c:ser>
        <c:ser>
          <c:idx val="13"/>
          <c:order val="12"/>
          <c:spPr>
            <a:ln w="38100">
              <a:solidFill>
                <a:srgbClr val="00FFFF"/>
              </a:solidFill>
              <a:prstDash val="solid"/>
            </a:ln>
          </c:spPr>
          <c:marker>
            <c:symbol val="none"/>
          </c:marker>
          <c:xVal>
            <c:numRef>
              <c:f>'f(x) vs. F(x)'!$D$48:$D$49</c:f>
              <c:numCache>
                <c:formatCode>General</c:formatCode>
                <c:ptCount val="2"/>
                <c:pt idx="0">
                  <c:v>10</c:v>
                </c:pt>
                <c:pt idx="1">
                  <c:v>10</c:v>
                </c:pt>
              </c:numCache>
            </c:numRef>
          </c:xVal>
          <c:yVal>
            <c:numRef>
              <c:f>'f(x) vs. F(x)'!$E$48:$E$49</c:f>
              <c:numCache>
                <c:formatCode>0.000</c:formatCode>
                <c:ptCount val="2"/>
                <c:pt idx="0">
                  <c:v>9.765625E-4</c:v>
                </c:pt>
                <c:pt idx="1">
                  <c:v>0</c:v>
                </c:pt>
              </c:numCache>
            </c:numRef>
          </c:yVal>
          <c:smooth val="0"/>
          <c:extLst>
            <c:ext xmlns:c16="http://schemas.microsoft.com/office/drawing/2014/chart" uri="{C3380CC4-5D6E-409C-BE32-E72D297353CC}">
              <c16:uniqueId val="{0000000C-2A1F-4B7E-B765-6F8E777DEC37}"/>
            </c:ext>
          </c:extLst>
        </c:ser>
        <c:ser>
          <c:idx val="14"/>
          <c:order val="13"/>
          <c:spPr>
            <a:ln w="38100">
              <a:solidFill>
                <a:srgbClr val="000080"/>
              </a:solidFill>
              <a:prstDash val="solid"/>
            </a:ln>
          </c:spPr>
          <c:marker>
            <c:symbol val="none"/>
          </c:marker>
          <c:xVal>
            <c:numRef>
              <c:f>'f(x) vs. F(x)'!$B$34:$B$35</c:f>
              <c:numCache>
                <c:formatCode>0.000</c:formatCode>
                <c:ptCount val="2"/>
                <c:pt idx="0">
                  <c:v>3</c:v>
                </c:pt>
                <c:pt idx="1">
                  <c:v>3.9990000000000001</c:v>
                </c:pt>
              </c:numCache>
            </c:numRef>
          </c:xVal>
          <c:yVal>
            <c:numRef>
              <c:f>'f(x) vs. F(x)'!$C$34:$C$35</c:f>
              <c:numCache>
                <c:formatCode>0.000</c:formatCode>
                <c:ptCount val="2"/>
                <c:pt idx="0">
                  <c:v>0.17187500000000006</c:v>
                </c:pt>
                <c:pt idx="1">
                  <c:v>0.17187500000000006</c:v>
                </c:pt>
              </c:numCache>
            </c:numRef>
          </c:yVal>
          <c:smooth val="0"/>
          <c:extLst>
            <c:ext xmlns:c16="http://schemas.microsoft.com/office/drawing/2014/chart" uri="{C3380CC4-5D6E-409C-BE32-E72D297353CC}">
              <c16:uniqueId val="{0000000D-2A1F-4B7E-B765-6F8E777DEC37}"/>
            </c:ext>
          </c:extLst>
        </c:ser>
        <c:ser>
          <c:idx val="15"/>
          <c:order val="14"/>
          <c:spPr>
            <a:ln w="38100">
              <a:solidFill>
                <a:srgbClr val="000080"/>
              </a:solidFill>
              <a:prstDash val="solid"/>
            </a:ln>
          </c:spPr>
          <c:marker>
            <c:symbol val="none"/>
          </c:marker>
          <c:xVal>
            <c:numRef>
              <c:f>'f(x) vs. F(x)'!$B$36:$B$37</c:f>
              <c:numCache>
                <c:formatCode>0.000</c:formatCode>
                <c:ptCount val="2"/>
                <c:pt idx="0">
                  <c:v>4</c:v>
                </c:pt>
                <c:pt idx="1">
                  <c:v>4.9989999999999997</c:v>
                </c:pt>
              </c:numCache>
            </c:numRef>
          </c:xVal>
          <c:yVal>
            <c:numRef>
              <c:f>'f(x) vs. F(x)'!$C$36:$C$37</c:f>
              <c:numCache>
                <c:formatCode>0.000</c:formatCode>
                <c:ptCount val="2"/>
                <c:pt idx="0">
                  <c:v>0.376953125</c:v>
                </c:pt>
                <c:pt idx="1">
                  <c:v>0.376953125</c:v>
                </c:pt>
              </c:numCache>
            </c:numRef>
          </c:yVal>
          <c:smooth val="0"/>
          <c:extLst>
            <c:ext xmlns:c16="http://schemas.microsoft.com/office/drawing/2014/chart" uri="{C3380CC4-5D6E-409C-BE32-E72D297353CC}">
              <c16:uniqueId val="{0000000E-2A1F-4B7E-B765-6F8E777DEC37}"/>
            </c:ext>
          </c:extLst>
        </c:ser>
        <c:ser>
          <c:idx val="16"/>
          <c:order val="15"/>
          <c:spPr>
            <a:ln w="38100">
              <a:solidFill>
                <a:srgbClr val="000080"/>
              </a:solidFill>
              <a:prstDash val="solid"/>
            </a:ln>
          </c:spPr>
          <c:marker>
            <c:symbol val="none"/>
          </c:marker>
          <c:xVal>
            <c:numRef>
              <c:f>'f(x) vs. F(x)'!$B$38:$B$39</c:f>
              <c:numCache>
                <c:formatCode>0.000</c:formatCode>
                <c:ptCount val="2"/>
                <c:pt idx="0">
                  <c:v>5</c:v>
                </c:pt>
                <c:pt idx="1">
                  <c:v>5.9989999999999997</c:v>
                </c:pt>
              </c:numCache>
            </c:numRef>
          </c:xVal>
          <c:yVal>
            <c:numRef>
              <c:f>'f(x) vs. F(x)'!$C$38:$C$39</c:f>
              <c:numCache>
                <c:formatCode>0.000</c:formatCode>
                <c:ptCount val="2"/>
                <c:pt idx="0">
                  <c:v>0.623046875</c:v>
                </c:pt>
                <c:pt idx="1">
                  <c:v>0.623046875</c:v>
                </c:pt>
              </c:numCache>
            </c:numRef>
          </c:yVal>
          <c:smooth val="0"/>
          <c:extLst>
            <c:ext xmlns:c16="http://schemas.microsoft.com/office/drawing/2014/chart" uri="{C3380CC4-5D6E-409C-BE32-E72D297353CC}">
              <c16:uniqueId val="{0000000F-2A1F-4B7E-B765-6F8E777DEC37}"/>
            </c:ext>
          </c:extLst>
        </c:ser>
        <c:ser>
          <c:idx val="17"/>
          <c:order val="16"/>
          <c:spPr>
            <a:ln w="38100">
              <a:solidFill>
                <a:srgbClr val="000080"/>
              </a:solidFill>
              <a:prstDash val="solid"/>
            </a:ln>
          </c:spPr>
          <c:marker>
            <c:symbol val="none"/>
          </c:marker>
          <c:xVal>
            <c:numRef>
              <c:f>'f(x) vs. F(x)'!$B$40:$B$41</c:f>
              <c:numCache>
                <c:formatCode>0.000</c:formatCode>
                <c:ptCount val="2"/>
                <c:pt idx="0">
                  <c:v>6</c:v>
                </c:pt>
                <c:pt idx="1">
                  <c:v>6.9989999999999997</c:v>
                </c:pt>
              </c:numCache>
            </c:numRef>
          </c:xVal>
          <c:yVal>
            <c:numRef>
              <c:f>'f(x) vs. F(x)'!$C$40:$C$41</c:f>
              <c:numCache>
                <c:formatCode>0.000</c:formatCode>
                <c:ptCount val="2"/>
                <c:pt idx="0">
                  <c:v>0.828125</c:v>
                </c:pt>
                <c:pt idx="1">
                  <c:v>0.828125</c:v>
                </c:pt>
              </c:numCache>
            </c:numRef>
          </c:yVal>
          <c:smooth val="0"/>
          <c:extLst>
            <c:ext xmlns:c16="http://schemas.microsoft.com/office/drawing/2014/chart" uri="{C3380CC4-5D6E-409C-BE32-E72D297353CC}">
              <c16:uniqueId val="{00000010-2A1F-4B7E-B765-6F8E777DEC37}"/>
            </c:ext>
          </c:extLst>
        </c:ser>
        <c:ser>
          <c:idx val="18"/>
          <c:order val="17"/>
          <c:spPr>
            <a:ln w="38100">
              <a:solidFill>
                <a:srgbClr val="000080"/>
              </a:solidFill>
              <a:prstDash val="solid"/>
            </a:ln>
          </c:spPr>
          <c:marker>
            <c:symbol val="none"/>
          </c:marker>
          <c:xVal>
            <c:numRef>
              <c:f>'f(x) vs. F(x)'!$B$42:$B$43</c:f>
              <c:numCache>
                <c:formatCode>0.000</c:formatCode>
                <c:ptCount val="2"/>
                <c:pt idx="0">
                  <c:v>7</c:v>
                </c:pt>
                <c:pt idx="1">
                  <c:v>7.9989999999999997</c:v>
                </c:pt>
              </c:numCache>
            </c:numRef>
          </c:xVal>
          <c:yVal>
            <c:numRef>
              <c:f>'f(x) vs. F(x)'!$C$42:$C$43</c:f>
              <c:numCache>
                <c:formatCode>0.000</c:formatCode>
                <c:ptCount val="2"/>
                <c:pt idx="0">
                  <c:v>0.9453125</c:v>
                </c:pt>
                <c:pt idx="1">
                  <c:v>0.9453125</c:v>
                </c:pt>
              </c:numCache>
            </c:numRef>
          </c:yVal>
          <c:smooth val="0"/>
          <c:extLst>
            <c:ext xmlns:c16="http://schemas.microsoft.com/office/drawing/2014/chart" uri="{C3380CC4-5D6E-409C-BE32-E72D297353CC}">
              <c16:uniqueId val="{00000011-2A1F-4B7E-B765-6F8E777DEC37}"/>
            </c:ext>
          </c:extLst>
        </c:ser>
        <c:ser>
          <c:idx val="19"/>
          <c:order val="18"/>
          <c:spPr>
            <a:ln w="38100">
              <a:solidFill>
                <a:srgbClr val="000080"/>
              </a:solidFill>
              <a:prstDash val="solid"/>
            </a:ln>
          </c:spPr>
          <c:marker>
            <c:symbol val="none"/>
          </c:marker>
          <c:xVal>
            <c:numRef>
              <c:f>'f(x) vs. F(x)'!$B$44:$B$45</c:f>
              <c:numCache>
                <c:formatCode>0.000</c:formatCode>
                <c:ptCount val="2"/>
                <c:pt idx="0">
                  <c:v>8</c:v>
                </c:pt>
                <c:pt idx="1">
                  <c:v>8.9990000000000006</c:v>
                </c:pt>
              </c:numCache>
            </c:numRef>
          </c:xVal>
          <c:yVal>
            <c:numRef>
              <c:f>'f(x) vs. F(x)'!$C$44:$C$45</c:f>
              <c:numCache>
                <c:formatCode>0.000</c:formatCode>
                <c:ptCount val="2"/>
                <c:pt idx="0">
                  <c:v>0.9892578125</c:v>
                </c:pt>
                <c:pt idx="1">
                  <c:v>0.9892578125</c:v>
                </c:pt>
              </c:numCache>
            </c:numRef>
          </c:yVal>
          <c:smooth val="0"/>
          <c:extLst>
            <c:ext xmlns:c16="http://schemas.microsoft.com/office/drawing/2014/chart" uri="{C3380CC4-5D6E-409C-BE32-E72D297353CC}">
              <c16:uniqueId val="{00000012-2A1F-4B7E-B765-6F8E777DEC37}"/>
            </c:ext>
          </c:extLst>
        </c:ser>
        <c:ser>
          <c:idx val="20"/>
          <c:order val="19"/>
          <c:spPr>
            <a:ln w="38100">
              <a:solidFill>
                <a:srgbClr val="000080"/>
              </a:solidFill>
              <a:prstDash val="solid"/>
            </a:ln>
          </c:spPr>
          <c:marker>
            <c:symbol val="none"/>
          </c:marker>
          <c:xVal>
            <c:numRef>
              <c:f>'f(x) vs. F(x)'!$B$46:$B$47</c:f>
              <c:numCache>
                <c:formatCode>0.000</c:formatCode>
                <c:ptCount val="2"/>
                <c:pt idx="0">
                  <c:v>9</c:v>
                </c:pt>
                <c:pt idx="1">
                  <c:v>9.99</c:v>
                </c:pt>
              </c:numCache>
            </c:numRef>
          </c:xVal>
          <c:yVal>
            <c:numRef>
              <c:f>'f(x) vs. F(x)'!$C$46:$C$47</c:f>
              <c:numCache>
                <c:formatCode>0.000</c:formatCode>
                <c:ptCount val="2"/>
                <c:pt idx="0">
                  <c:v>0.9990234375</c:v>
                </c:pt>
                <c:pt idx="1">
                  <c:v>0.9990234375</c:v>
                </c:pt>
              </c:numCache>
            </c:numRef>
          </c:yVal>
          <c:smooth val="0"/>
          <c:extLst>
            <c:ext xmlns:c16="http://schemas.microsoft.com/office/drawing/2014/chart" uri="{C3380CC4-5D6E-409C-BE32-E72D297353CC}">
              <c16:uniqueId val="{00000013-2A1F-4B7E-B765-6F8E777DEC37}"/>
            </c:ext>
          </c:extLst>
        </c:ser>
        <c:ser>
          <c:idx val="21"/>
          <c:order val="20"/>
          <c:spPr>
            <a:ln w="38100">
              <a:solidFill>
                <a:srgbClr val="000080"/>
              </a:solidFill>
              <a:prstDash val="solid"/>
            </a:ln>
          </c:spPr>
          <c:marker>
            <c:symbol val="none"/>
          </c:marker>
          <c:xVal>
            <c:numRef>
              <c:f>'f(x) vs. F(x)'!$B$48</c:f>
              <c:numCache>
                <c:formatCode>0.000</c:formatCode>
                <c:ptCount val="1"/>
                <c:pt idx="0">
                  <c:v>10</c:v>
                </c:pt>
              </c:numCache>
            </c:numRef>
          </c:xVal>
          <c:yVal>
            <c:numRef>
              <c:f>'f(x) vs. F(x)'!$C$48</c:f>
              <c:numCache>
                <c:formatCode>0.000</c:formatCode>
                <c:ptCount val="1"/>
                <c:pt idx="0">
                  <c:v>1</c:v>
                </c:pt>
              </c:numCache>
            </c:numRef>
          </c:yVal>
          <c:smooth val="0"/>
          <c:extLst>
            <c:ext xmlns:c16="http://schemas.microsoft.com/office/drawing/2014/chart" uri="{C3380CC4-5D6E-409C-BE32-E72D297353CC}">
              <c16:uniqueId val="{00000014-2A1F-4B7E-B765-6F8E777DEC37}"/>
            </c:ext>
          </c:extLst>
        </c:ser>
        <c:ser>
          <c:idx val="9"/>
          <c:order val="21"/>
          <c:spPr>
            <a:ln w="38100">
              <a:solidFill>
                <a:srgbClr val="00FFFF"/>
              </a:solidFill>
              <a:prstDash val="solid"/>
            </a:ln>
          </c:spPr>
          <c:marker>
            <c:symbol val="none"/>
          </c:marker>
          <c:xVal>
            <c:numRef>
              <c:f>'f(x) vs. F(x)'!$D$40:$D$41</c:f>
              <c:numCache>
                <c:formatCode>General</c:formatCode>
                <c:ptCount val="2"/>
                <c:pt idx="0">
                  <c:v>6</c:v>
                </c:pt>
                <c:pt idx="1">
                  <c:v>6</c:v>
                </c:pt>
              </c:numCache>
            </c:numRef>
          </c:xVal>
          <c:yVal>
            <c:numRef>
              <c:f>'f(x) vs. F(x)'!$E$40:$E$41</c:f>
              <c:numCache>
                <c:formatCode>0.000</c:formatCode>
                <c:ptCount val="2"/>
                <c:pt idx="0">
                  <c:v>0.20507812500000006</c:v>
                </c:pt>
                <c:pt idx="1">
                  <c:v>0</c:v>
                </c:pt>
              </c:numCache>
            </c:numRef>
          </c:yVal>
          <c:smooth val="0"/>
          <c:extLst>
            <c:ext xmlns:c16="http://schemas.microsoft.com/office/drawing/2014/chart" uri="{C3380CC4-5D6E-409C-BE32-E72D297353CC}">
              <c16:uniqueId val="{00000015-2A1F-4B7E-B765-6F8E777DEC37}"/>
            </c:ext>
          </c:extLst>
        </c:ser>
        <c:ser>
          <c:idx val="22"/>
          <c:order val="22"/>
          <c:spPr>
            <a:ln w="28575">
              <a:noFill/>
            </a:ln>
          </c:spPr>
          <c:marker>
            <c:symbol val="square"/>
            <c:size val="5"/>
            <c:spPr>
              <a:solidFill>
                <a:srgbClr val="000080"/>
              </a:solidFill>
              <a:ln>
                <a:solidFill>
                  <a:srgbClr val="666699"/>
                </a:solidFill>
                <a:prstDash val="solid"/>
              </a:ln>
            </c:spPr>
          </c:marker>
          <c:xVal>
            <c:numRef>
              <c:f>'f(x) vs. F(x)'!$B$21:$B$21</c:f>
              <c:numCache>
                <c:formatCode>General</c:formatCode>
                <c:ptCount val="1"/>
              </c:numCache>
            </c:numRef>
          </c:xVal>
          <c:yVal>
            <c:numRef>
              <c:f>'f(x) vs. F(x)'!$D$21:$D$21</c:f>
              <c:numCache>
                <c:formatCode>0.000</c:formatCode>
                <c:ptCount val="1"/>
              </c:numCache>
            </c:numRef>
          </c:yVal>
          <c:smooth val="0"/>
          <c:extLst>
            <c:ext xmlns:c16="http://schemas.microsoft.com/office/drawing/2014/chart" uri="{C3380CC4-5D6E-409C-BE32-E72D297353CC}">
              <c16:uniqueId val="{00000016-2A1F-4B7E-B765-6F8E777DEC37}"/>
            </c:ext>
          </c:extLst>
        </c:ser>
        <c:dLbls>
          <c:showLegendKey val="0"/>
          <c:showVal val="0"/>
          <c:showCatName val="0"/>
          <c:showSerName val="0"/>
          <c:showPercent val="0"/>
          <c:showBubbleSize val="0"/>
        </c:dLbls>
        <c:axId val="180602368"/>
        <c:axId val="180604288"/>
      </c:scatterChart>
      <c:valAx>
        <c:axId val="180602368"/>
        <c:scaling>
          <c:orientation val="minMax"/>
          <c:max val="10"/>
        </c:scaling>
        <c:delete val="0"/>
        <c:axPos val="b"/>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80604288"/>
        <c:crosses val="autoZero"/>
        <c:crossBetween val="midCat"/>
      </c:valAx>
      <c:valAx>
        <c:axId val="180604288"/>
        <c:scaling>
          <c:orientation val="minMax"/>
          <c:max val="1"/>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80602368"/>
        <c:crosses val="autoZero"/>
        <c:crossBetween val="midCat"/>
      </c:valAx>
      <c:spPr>
        <a:solidFill>
          <a:srgbClr val="FFFFFF"/>
        </a:solidFill>
        <a:ln w="12700">
          <a:solidFill>
            <a:srgbClr val="000000"/>
          </a:solidFill>
          <a:prstDash val="solid"/>
        </a:ln>
      </c:spPr>
    </c:plotArea>
    <c:legend>
      <c:legendPos val="r"/>
      <c:legendEntry>
        <c:idx val="1"/>
        <c:delete val="1"/>
      </c:legendEntry>
      <c:legendEntry>
        <c:idx val="2"/>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ayout>
        <c:manualLayout>
          <c:xMode val="edge"/>
          <c:yMode val="edge"/>
          <c:x val="0.88400043164083575"/>
          <c:y val="0.48833685243284886"/>
          <c:w val="0.10000004882814884"/>
          <c:h val="0.10419926469108559"/>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300" b="1" i="0" u="none" strike="noStrike" baseline="0">
                <a:solidFill>
                  <a:srgbClr val="000000"/>
                </a:solidFill>
                <a:latin typeface="Arial"/>
                <a:ea typeface="Arial"/>
                <a:cs typeface="Arial"/>
              </a:defRPr>
            </a:pPr>
            <a:r>
              <a:rPr lang="de-DE"/>
              <a:t>Binomialverteilung B(n;p)</a:t>
            </a:r>
          </a:p>
        </c:rich>
      </c:tx>
      <c:layout>
        <c:manualLayout>
          <c:xMode val="edge"/>
          <c:yMode val="edge"/>
          <c:x val="0.33753976336554142"/>
          <c:y val="3.1818181818181815E-2"/>
        </c:manualLayout>
      </c:layout>
      <c:overlay val="0"/>
      <c:spPr>
        <a:noFill/>
        <a:ln w="25400">
          <a:noFill/>
        </a:ln>
      </c:spPr>
    </c:title>
    <c:autoTitleDeleted val="0"/>
    <c:plotArea>
      <c:layout>
        <c:manualLayout>
          <c:layoutTarget val="inner"/>
          <c:xMode val="edge"/>
          <c:yMode val="edge"/>
          <c:x val="7.413254920746655E-2"/>
          <c:y val="0.16818181818181818"/>
          <c:w val="0.77444854597587398"/>
          <c:h val="0.72727272727272729"/>
        </c:manualLayout>
      </c:layout>
      <c:scatterChart>
        <c:scatterStyle val="lineMarker"/>
        <c:varyColors val="0"/>
        <c:ser>
          <c:idx val="0"/>
          <c:order val="0"/>
          <c:tx>
            <c:v>F(x)</c:v>
          </c:tx>
          <c:spPr>
            <a:ln w="38100">
              <a:solidFill>
                <a:srgbClr val="000080"/>
              </a:solidFill>
              <a:prstDash val="solid"/>
            </a:ln>
          </c:spPr>
          <c:marker>
            <c:symbol val="none"/>
          </c:marker>
          <c:xVal>
            <c:numLit>
              <c:formatCode>General</c:formatCode>
              <c:ptCount val="2"/>
              <c:pt idx="0">
                <c:v>0</c:v>
              </c:pt>
              <c:pt idx="1">
                <c:v>0.999</c:v>
              </c:pt>
            </c:numLit>
          </c:xVal>
          <c:yVal>
            <c:numLit>
              <c:formatCode>General</c:formatCode>
              <c:ptCount val="2"/>
              <c:pt idx="0">
                <c:v>9.765625E-4</c:v>
              </c:pt>
              <c:pt idx="1">
                <c:v>9.765625E-4</c:v>
              </c:pt>
            </c:numLit>
          </c:yVal>
          <c:smooth val="0"/>
          <c:extLst>
            <c:ext xmlns:c16="http://schemas.microsoft.com/office/drawing/2014/chart" uri="{C3380CC4-5D6E-409C-BE32-E72D297353CC}">
              <c16:uniqueId val="{00000000-C18A-4FA0-B364-5978A85F6CCC}"/>
            </c:ext>
          </c:extLst>
        </c:ser>
        <c:ser>
          <c:idx val="1"/>
          <c:order val="1"/>
          <c:spPr>
            <a:ln w="38100">
              <a:solidFill>
                <a:srgbClr val="000080"/>
              </a:solidFill>
              <a:prstDash val="solid"/>
            </a:ln>
          </c:spPr>
          <c:marker>
            <c:symbol val="none"/>
          </c:marker>
          <c:xVal>
            <c:numLit>
              <c:formatCode>General</c:formatCode>
              <c:ptCount val="2"/>
              <c:pt idx="0">
                <c:v>1</c:v>
              </c:pt>
              <c:pt idx="1">
                <c:v>1.9990000000000001</c:v>
              </c:pt>
            </c:numLit>
          </c:xVal>
          <c:yVal>
            <c:numLit>
              <c:formatCode>General</c:formatCode>
              <c:ptCount val="2"/>
              <c:pt idx="0">
                <c:v>1.0742187500000003E-2</c:v>
              </c:pt>
              <c:pt idx="1">
                <c:v>1.0742187500000003E-2</c:v>
              </c:pt>
            </c:numLit>
          </c:yVal>
          <c:smooth val="0"/>
          <c:extLst>
            <c:ext xmlns:c16="http://schemas.microsoft.com/office/drawing/2014/chart" uri="{C3380CC4-5D6E-409C-BE32-E72D297353CC}">
              <c16:uniqueId val="{00000001-C18A-4FA0-B364-5978A85F6CCC}"/>
            </c:ext>
          </c:extLst>
        </c:ser>
        <c:ser>
          <c:idx val="2"/>
          <c:order val="2"/>
          <c:spPr>
            <a:ln w="38100">
              <a:solidFill>
                <a:srgbClr val="000080"/>
              </a:solidFill>
              <a:prstDash val="solid"/>
            </a:ln>
          </c:spPr>
          <c:marker>
            <c:symbol val="none"/>
          </c:marker>
          <c:xVal>
            <c:numLit>
              <c:formatCode>General</c:formatCode>
              <c:ptCount val="2"/>
              <c:pt idx="0">
                <c:v>2</c:v>
              </c:pt>
              <c:pt idx="1">
                <c:v>2.9990000000000001</c:v>
              </c:pt>
            </c:numLit>
          </c:xVal>
          <c:yVal>
            <c:numLit>
              <c:formatCode>General</c:formatCode>
              <c:ptCount val="2"/>
              <c:pt idx="0">
                <c:v>5.46875E-2</c:v>
              </c:pt>
              <c:pt idx="1">
                <c:v>5.46875E-2</c:v>
              </c:pt>
            </c:numLit>
          </c:yVal>
          <c:smooth val="0"/>
          <c:extLst>
            <c:ext xmlns:c16="http://schemas.microsoft.com/office/drawing/2014/chart" uri="{C3380CC4-5D6E-409C-BE32-E72D297353CC}">
              <c16:uniqueId val="{00000002-C18A-4FA0-B364-5978A85F6CCC}"/>
            </c:ext>
          </c:extLst>
        </c:ser>
        <c:ser>
          <c:idx val="3"/>
          <c:order val="3"/>
          <c:tx>
            <c:v>f(x)</c:v>
          </c:tx>
          <c:spPr>
            <a:ln w="38100">
              <a:solidFill>
                <a:srgbClr val="00FFFF"/>
              </a:solidFill>
              <a:prstDash val="solid"/>
            </a:ln>
          </c:spPr>
          <c:marker>
            <c:symbol val="none"/>
          </c:marker>
          <c:xVal>
            <c:numLit>
              <c:formatCode>General</c:formatCode>
              <c:ptCount val="2"/>
              <c:pt idx="0">
                <c:v>2</c:v>
              </c:pt>
              <c:pt idx="1">
                <c:v>2</c:v>
              </c:pt>
            </c:numLit>
          </c:xVal>
          <c:yVal>
            <c:numLit>
              <c:formatCode>General</c:formatCode>
              <c:ptCount val="2"/>
              <c:pt idx="0">
                <c:v>1.0742187500000003E-2</c:v>
              </c:pt>
              <c:pt idx="1">
                <c:v>5.46875E-2</c:v>
              </c:pt>
            </c:numLit>
          </c:yVal>
          <c:smooth val="0"/>
          <c:extLst>
            <c:ext xmlns:c16="http://schemas.microsoft.com/office/drawing/2014/chart" uri="{C3380CC4-5D6E-409C-BE32-E72D297353CC}">
              <c16:uniqueId val="{00000003-C18A-4FA0-B364-5978A85F6CCC}"/>
            </c:ext>
          </c:extLst>
        </c:ser>
        <c:ser>
          <c:idx val="5"/>
          <c:order val="4"/>
          <c:spPr>
            <a:ln w="38100">
              <a:solidFill>
                <a:srgbClr val="00FFFF"/>
              </a:solidFill>
              <a:prstDash val="solid"/>
            </a:ln>
          </c:spPr>
          <c:marker>
            <c:symbol val="none"/>
          </c:marker>
          <c:xVal>
            <c:numLit>
              <c:formatCode>General</c:formatCode>
              <c:ptCount val="2"/>
              <c:pt idx="0">
                <c:v>0</c:v>
              </c:pt>
              <c:pt idx="1">
                <c:v>0</c:v>
              </c:pt>
            </c:numLit>
          </c:xVal>
          <c:yVal>
            <c:numLit>
              <c:formatCode>General</c:formatCode>
              <c:ptCount val="2"/>
              <c:pt idx="0">
                <c:v>9.765625E-4</c:v>
              </c:pt>
              <c:pt idx="1">
                <c:v>0</c:v>
              </c:pt>
            </c:numLit>
          </c:yVal>
          <c:smooth val="0"/>
          <c:extLst>
            <c:ext xmlns:c16="http://schemas.microsoft.com/office/drawing/2014/chart" uri="{C3380CC4-5D6E-409C-BE32-E72D297353CC}">
              <c16:uniqueId val="{00000004-C18A-4FA0-B364-5978A85F6CCC}"/>
            </c:ext>
          </c:extLst>
        </c:ser>
        <c:ser>
          <c:idx val="4"/>
          <c:order val="5"/>
          <c:spPr>
            <a:ln w="38100">
              <a:solidFill>
                <a:srgbClr val="00FFFF"/>
              </a:solidFill>
              <a:prstDash val="solid"/>
            </a:ln>
          </c:spPr>
          <c:marker>
            <c:symbol val="none"/>
          </c:marker>
          <c:xVal>
            <c:numLit>
              <c:formatCode>General</c:formatCode>
              <c:ptCount val="2"/>
              <c:pt idx="0">
                <c:v>1</c:v>
              </c:pt>
              <c:pt idx="1">
                <c:v>1</c:v>
              </c:pt>
            </c:numLit>
          </c:xVal>
          <c:yVal>
            <c:numLit>
              <c:formatCode>General</c:formatCode>
              <c:ptCount val="2"/>
              <c:pt idx="0">
                <c:v>9.7656250000000017E-3</c:v>
              </c:pt>
              <c:pt idx="1">
                <c:v>0</c:v>
              </c:pt>
            </c:numLit>
          </c:yVal>
          <c:smooth val="0"/>
          <c:extLst>
            <c:ext xmlns:c16="http://schemas.microsoft.com/office/drawing/2014/chart" uri="{C3380CC4-5D6E-409C-BE32-E72D297353CC}">
              <c16:uniqueId val="{00000005-C18A-4FA0-B364-5978A85F6CCC}"/>
            </c:ext>
          </c:extLst>
        </c:ser>
        <c:ser>
          <c:idx val="6"/>
          <c:order val="6"/>
          <c:spPr>
            <a:ln w="38100">
              <a:solidFill>
                <a:srgbClr val="00FFFF"/>
              </a:solidFill>
              <a:prstDash val="solid"/>
            </a:ln>
          </c:spPr>
          <c:marker>
            <c:symbol val="none"/>
          </c:marker>
          <c:xVal>
            <c:numLit>
              <c:formatCode>General</c:formatCode>
              <c:ptCount val="2"/>
              <c:pt idx="0">
                <c:v>3</c:v>
              </c:pt>
              <c:pt idx="1">
                <c:v>3</c:v>
              </c:pt>
            </c:numLit>
          </c:xVal>
          <c:yVal>
            <c:numLit>
              <c:formatCode>General</c:formatCode>
              <c:ptCount val="2"/>
              <c:pt idx="0">
                <c:v>5.46875E-2</c:v>
              </c:pt>
              <c:pt idx="1">
                <c:v>0.17187500000000006</c:v>
              </c:pt>
            </c:numLit>
          </c:yVal>
          <c:smooth val="0"/>
          <c:extLst>
            <c:ext xmlns:c16="http://schemas.microsoft.com/office/drawing/2014/chart" uri="{C3380CC4-5D6E-409C-BE32-E72D297353CC}">
              <c16:uniqueId val="{00000006-C18A-4FA0-B364-5978A85F6CCC}"/>
            </c:ext>
          </c:extLst>
        </c:ser>
        <c:ser>
          <c:idx val="7"/>
          <c:order val="7"/>
          <c:spPr>
            <a:ln w="38100">
              <a:solidFill>
                <a:srgbClr val="00FFFF"/>
              </a:solidFill>
              <a:prstDash val="solid"/>
            </a:ln>
          </c:spPr>
          <c:marker>
            <c:symbol val="none"/>
          </c:marker>
          <c:xVal>
            <c:numLit>
              <c:formatCode>General</c:formatCode>
              <c:ptCount val="2"/>
              <c:pt idx="0">
                <c:v>4</c:v>
              </c:pt>
              <c:pt idx="1">
                <c:v>4</c:v>
              </c:pt>
            </c:numLit>
          </c:xVal>
          <c:yVal>
            <c:numLit>
              <c:formatCode>General</c:formatCode>
              <c:ptCount val="2"/>
              <c:pt idx="0">
                <c:v>0.17187500000000006</c:v>
              </c:pt>
              <c:pt idx="1">
                <c:v>0.376953125</c:v>
              </c:pt>
            </c:numLit>
          </c:yVal>
          <c:smooth val="0"/>
          <c:extLst>
            <c:ext xmlns:c16="http://schemas.microsoft.com/office/drawing/2014/chart" uri="{C3380CC4-5D6E-409C-BE32-E72D297353CC}">
              <c16:uniqueId val="{00000007-C18A-4FA0-B364-5978A85F6CCC}"/>
            </c:ext>
          </c:extLst>
        </c:ser>
        <c:ser>
          <c:idx val="8"/>
          <c:order val="8"/>
          <c:spPr>
            <a:ln w="38100">
              <a:solidFill>
                <a:srgbClr val="00FFFF"/>
              </a:solidFill>
              <a:prstDash val="solid"/>
            </a:ln>
          </c:spPr>
          <c:marker>
            <c:symbol val="none"/>
          </c:marker>
          <c:xVal>
            <c:numLit>
              <c:formatCode>General</c:formatCode>
              <c:ptCount val="2"/>
              <c:pt idx="0">
                <c:v>5</c:v>
              </c:pt>
              <c:pt idx="1">
                <c:v>5</c:v>
              </c:pt>
            </c:numLit>
          </c:xVal>
          <c:yVal>
            <c:numLit>
              <c:formatCode>General</c:formatCode>
              <c:ptCount val="2"/>
              <c:pt idx="0">
                <c:v>0.377</c:v>
              </c:pt>
              <c:pt idx="1">
                <c:v>0.623</c:v>
              </c:pt>
            </c:numLit>
          </c:yVal>
          <c:smooth val="0"/>
          <c:extLst>
            <c:ext xmlns:c16="http://schemas.microsoft.com/office/drawing/2014/chart" uri="{C3380CC4-5D6E-409C-BE32-E72D297353CC}">
              <c16:uniqueId val="{00000008-C18A-4FA0-B364-5978A85F6CCC}"/>
            </c:ext>
          </c:extLst>
        </c:ser>
        <c:ser>
          <c:idx val="10"/>
          <c:order val="9"/>
          <c:spPr>
            <a:ln w="38100">
              <a:solidFill>
                <a:srgbClr val="00FFFF"/>
              </a:solidFill>
              <a:prstDash val="solid"/>
            </a:ln>
          </c:spPr>
          <c:marker>
            <c:symbol val="none"/>
          </c:marker>
          <c:xVal>
            <c:numLit>
              <c:formatCode>General</c:formatCode>
              <c:ptCount val="2"/>
              <c:pt idx="0">
                <c:v>7</c:v>
              </c:pt>
              <c:pt idx="1">
                <c:v>7</c:v>
              </c:pt>
            </c:numLit>
          </c:xVal>
          <c:yVal>
            <c:numLit>
              <c:formatCode>General</c:formatCode>
              <c:ptCount val="2"/>
              <c:pt idx="0">
                <c:v>0.828125</c:v>
              </c:pt>
              <c:pt idx="1">
                <c:v>0.9453125</c:v>
              </c:pt>
            </c:numLit>
          </c:yVal>
          <c:smooth val="0"/>
          <c:extLst>
            <c:ext xmlns:c16="http://schemas.microsoft.com/office/drawing/2014/chart" uri="{C3380CC4-5D6E-409C-BE32-E72D297353CC}">
              <c16:uniqueId val="{00000009-C18A-4FA0-B364-5978A85F6CCC}"/>
            </c:ext>
          </c:extLst>
        </c:ser>
        <c:ser>
          <c:idx val="11"/>
          <c:order val="10"/>
          <c:spPr>
            <a:ln w="38100">
              <a:solidFill>
                <a:srgbClr val="00FFFF"/>
              </a:solidFill>
              <a:prstDash val="solid"/>
            </a:ln>
          </c:spPr>
          <c:marker>
            <c:symbol val="none"/>
          </c:marker>
          <c:xVal>
            <c:numLit>
              <c:formatCode>General</c:formatCode>
              <c:ptCount val="2"/>
              <c:pt idx="0">
                <c:v>8</c:v>
              </c:pt>
              <c:pt idx="1">
                <c:v>8</c:v>
              </c:pt>
            </c:numLit>
          </c:xVal>
          <c:yVal>
            <c:numLit>
              <c:formatCode>General</c:formatCode>
              <c:ptCount val="2"/>
              <c:pt idx="0">
                <c:v>0.9453125</c:v>
              </c:pt>
              <c:pt idx="1">
                <c:v>0.9892578125</c:v>
              </c:pt>
            </c:numLit>
          </c:yVal>
          <c:smooth val="0"/>
          <c:extLst>
            <c:ext xmlns:c16="http://schemas.microsoft.com/office/drawing/2014/chart" uri="{C3380CC4-5D6E-409C-BE32-E72D297353CC}">
              <c16:uniqueId val="{0000000A-C18A-4FA0-B364-5978A85F6CCC}"/>
            </c:ext>
          </c:extLst>
        </c:ser>
        <c:ser>
          <c:idx val="12"/>
          <c:order val="11"/>
          <c:spPr>
            <a:ln w="38100">
              <a:solidFill>
                <a:srgbClr val="00FFFF"/>
              </a:solidFill>
              <a:prstDash val="solid"/>
            </a:ln>
          </c:spPr>
          <c:marker>
            <c:symbol val="none"/>
          </c:marker>
          <c:xVal>
            <c:numLit>
              <c:formatCode>General</c:formatCode>
              <c:ptCount val="2"/>
              <c:pt idx="0">
                <c:v>9</c:v>
              </c:pt>
              <c:pt idx="1">
                <c:v>9</c:v>
              </c:pt>
            </c:numLit>
          </c:xVal>
          <c:yVal>
            <c:numLit>
              <c:formatCode>General</c:formatCode>
              <c:ptCount val="2"/>
              <c:pt idx="0">
                <c:v>0.9892578125</c:v>
              </c:pt>
              <c:pt idx="1">
                <c:v>0.9990234375</c:v>
              </c:pt>
            </c:numLit>
          </c:yVal>
          <c:smooth val="0"/>
          <c:extLst>
            <c:ext xmlns:c16="http://schemas.microsoft.com/office/drawing/2014/chart" uri="{C3380CC4-5D6E-409C-BE32-E72D297353CC}">
              <c16:uniqueId val="{0000000B-C18A-4FA0-B364-5978A85F6CCC}"/>
            </c:ext>
          </c:extLst>
        </c:ser>
        <c:ser>
          <c:idx val="13"/>
          <c:order val="12"/>
          <c:spPr>
            <a:ln w="38100">
              <a:solidFill>
                <a:srgbClr val="00FFFF"/>
              </a:solidFill>
              <a:prstDash val="solid"/>
            </a:ln>
          </c:spPr>
          <c:marker>
            <c:symbol val="none"/>
          </c:marker>
          <c:xVal>
            <c:numLit>
              <c:formatCode>General</c:formatCode>
              <c:ptCount val="2"/>
              <c:pt idx="0">
                <c:v>10</c:v>
              </c:pt>
              <c:pt idx="1">
                <c:v>10</c:v>
              </c:pt>
            </c:numLit>
          </c:xVal>
          <c:yVal>
            <c:numLit>
              <c:formatCode>General</c:formatCode>
              <c:ptCount val="2"/>
              <c:pt idx="0">
                <c:v>0.9990234375</c:v>
              </c:pt>
              <c:pt idx="1">
                <c:v>1</c:v>
              </c:pt>
            </c:numLit>
          </c:yVal>
          <c:smooth val="0"/>
          <c:extLst>
            <c:ext xmlns:c16="http://schemas.microsoft.com/office/drawing/2014/chart" uri="{C3380CC4-5D6E-409C-BE32-E72D297353CC}">
              <c16:uniqueId val="{0000000C-C18A-4FA0-B364-5978A85F6CCC}"/>
            </c:ext>
          </c:extLst>
        </c:ser>
        <c:ser>
          <c:idx val="14"/>
          <c:order val="13"/>
          <c:spPr>
            <a:ln w="38100">
              <a:solidFill>
                <a:srgbClr val="000080"/>
              </a:solidFill>
              <a:prstDash val="solid"/>
            </a:ln>
          </c:spPr>
          <c:marker>
            <c:symbol val="none"/>
          </c:marker>
          <c:xVal>
            <c:numLit>
              <c:formatCode>General</c:formatCode>
              <c:ptCount val="2"/>
              <c:pt idx="0">
                <c:v>3</c:v>
              </c:pt>
              <c:pt idx="1">
                <c:v>3.9990000000000001</c:v>
              </c:pt>
            </c:numLit>
          </c:xVal>
          <c:yVal>
            <c:numLit>
              <c:formatCode>General</c:formatCode>
              <c:ptCount val="2"/>
              <c:pt idx="0">
                <c:v>0.17187500000000006</c:v>
              </c:pt>
              <c:pt idx="1">
                <c:v>0.17187500000000006</c:v>
              </c:pt>
            </c:numLit>
          </c:yVal>
          <c:smooth val="0"/>
          <c:extLst>
            <c:ext xmlns:c16="http://schemas.microsoft.com/office/drawing/2014/chart" uri="{C3380CC4-5D6E-409C-BE32-E72D297353CC}">
              <c16:uniqueId val="{0000000D-C18A-4FA0-B364-5978A85F6CCC}"/>
            </c:ext>
          </c:extLst>
        </c:ser>
        <c:ser>
          <c:idx val="15"/>
          <c:order val="14"/>
          <c:spPr>
            <a:ln w="38100">
              <a:solidFill>
                <a:srgbClr val="000080"/>
              </a:solidFill>
              <a:prstDash val="solid"/>
            </a:ln>
          </c:spPr>
          <c:marker>
            <c:symbol val="none"/>
          </c:marker>
          <c:xVal>
            <c:numLit>
              <c:formatCode>General</c:formatCode>
              <c:ptCount val="2"/>
              <c:pt idx="0">
                <c:v>4</c:v>
              </c:pt>
              <c:pt idx="1">
                <c:v>4.9989999999999997</c:v>
              </c:pt>
            </c:numLit>
          </c:xVal>
          <c:yVal>
            <c:numLit>
              <c:formatCode>General</c:formatCode>
              <c:ptCount val="2"/>
              <c:pt idx="0">
                <c:v>0.376953125</c:v>
              </c:pt>
              <c:pt idx="1">
                <c:v>0.376953125</c:v>
              </c:pt>
            </c:numLit>
          </c:yVal>
          <c:smooth val="0"/>
          <c:extLst>
            <c:ext xmlns:c16="http://schemas.microsoft.com/office/drawing/2014/chart" uri="{C3380CC4-5D6E-409C-BE32-E72D297353CC}">
              <c16:uniqueId val="{0000000E-C18A-4FA0-B364-5978A85F6CCC}"/>
            </c:ext>
          </c:extLst>
        </c:ser>
        <c:ser>
          <c:idx val="16"/>
          <c:order val="15"/>
          <c:spPr>
            <a:ln w="38100">
              <a:solidFill>
                <a:srgbClr val="000080"/>
              </a:solidFill>
              <a:prstDash val="solid"/>
            </a:ln>
          </c:spPr>
          <c:marker>
            <c:symbol val="none"/>
          </c:marker>
          <c:xVal>
            <c:numLit>
              <c:formatCode>General</c:formatCode>
              <c:ptCount val="2"/>
              <c:pt idx="0">
                <c:v>5</c:v>
              </c:pt>
              <c:pt idx="1">
                <c:v>5.9989999999999997</c:v>
              </c:pt>
            </c:numLit>
          </c:xVal>
          <c:yVal>
            <c:numLit>
              <c:formatCode>General</c:formatCode>
              <c:ptCount val="2"/>
              <c:pt idx="0">
                <c:v>0.623046875</c:v>
              </c:pt>
              <c:pt idx="1">
                <c:v>0.623046875</c:v>
              </c:pt>
            </c:numLit>
          </c:yVal>
          <c:smooth val="0"/>
          <c:extLst>
            <c:ext xmlns:c16="http://schemas.microsoft.com/office/drawing/2014/chart" uri="{C3380CC4-5D6E-409C-BE32-E72D297353CC}">
              <c16:uniqueId val="{0000000F-C18A-4FA0-B364-5978A85F6CCC}"/>
            </c:ext>
          </c:extLst>
        </c:ser>
        <c:ser>
          <c:idx val="17"/>
          <c:order val="16"/>
          <c:spPr>
            <a:ln w="38100">
              <a:solidFill>
                <a:srgbClr val="000080"/>
              </a:solidFill>
              <a:prstDash val="solid"/>
            </a:ln>
          </c:spPr>
          <c:marker>
            <c:symbol val="none"/>
          </c:marker>
          <c:xVal>
            <c:numLit>
              <c:formatCode>General</c:formatCode>
              <c:ptCount val="2"/>
              <c:pt idx="0">
                <c:v>6</c:v>
              </c:pt>
              <c:pt idx="1">
                <c:v>6.9989999999999997</c:v>
              </c:pt>
            </c:numLit>
          </c:xVal>
          <c:yVal>
            <c:numLit>
              <c:formatCode>General</c:formatCode>
              <c:ptCount val="2"/>
              <c:pt idx="0">
                <c:v>0.828125</c:v>
              </c:pt>
              <c:pt idx="1">
                <c:v>0.828125</c:v>
              </c:pt>
            </c:numLit>
          </c:yVal>
          <c:smooth val="0"/>
          <c:extLst>
            <c:ext xmlns:c16="http://schemas.microsoft.com/office/drawing/2014/chart" uri="{C3380CC4-5D6E-409C-BE32-E72D297353CC}">
              <c16:uniqueId val="{00000010-C18A-4FA0-B364-5978A85F6CCC}"/>
            </c:ext>
          </c:extLst>
        </c:ser>
        <c:ser>
          <c:idx val="18"/>
          <c:order val="17"/>
          <c:spPr>
            <a:ln w="38100">
              <a:solidFill>
                <a:srgbClr val="000080"/>
              </a:solidFill>
              <a:prstDash val="solid"/>
            </a:ln>
          </c:spPr>
          <c:marker>
            <c:symbol val="none"/>
          </c:marker>
          <c:xVal>
            <c:numLit>
              <c:formatCode>General</c:formatCode>
              <c:ptCount val="2"/>
              <c:pt idx="0">
                <c:v>7</c:v>
              </c:pt>
              <c:pt idx="1">
                <c:v>7.9989999999999997</c:v>
              </c:pt>
            </c:numLit>
          </c:xVal>
          <c:yVal>
            <c:numLit>
              <c:formatCode>General</c:formatCode>
              <c:ptCount val="2"/>
              <c:pt idx="0">
                <c:v>0.9453125</c:v>
              </c:pt>
              <c:pt idx="1">
                <c:v>0.9453125</c:v>
              </c:pt>
            </c:numLit>
          </c:yVal>
          <c:smooth val="0"/>
          <c:extLst>
            <c:ext xmlns:c16="http://schemas.microsoft.com/office/drawing/2014/chart" uri="{C3380CC4-5D6E-409C-BE32-E72D297353CC}">
              <c16:uniqueId val="{00000011-C18A-4FA0-B364-5978A85F6CCC}"/>
            </c:ext>
          </c:extLst>
        </c:ser>
        <c:ser>
          <c:idx val="19"/>
          <c:order val="18"/>
          <c:spPr>
            <a:ln w="38100">
              <a:solidFill>
                <a:srgbClr val="000080"/>
              </a:solidFill>
              <a:prstDash val="solid"/>
            </a:ln>
          </c:spPr>
          <c:marker>
            <c:symbol val="none"/>
          </c:marker>
          <c:xVal>
            <c:numLit>
              <c:formatCode>General</c:formatCode>
              <c:ptCount val="2"/>
              <c:pt idx="0">
                <c:v>8</c:v>
              </c:pt>
              <c:pt idx="1">
                <c:v>8.9990000000000006</c:v>
              </c:pt>
            </c:numLit>
          </c:xVal>
          <c:yVal>
            <c:numLit>
              <c:formatCode>General</c:formatCode>
              <c:ptCount val="2"/>
              <c:pt idx="0">
                <c:v>0.9892578125</c:v>
              </c:pt>
              <c:pt idx="1">
                <c:v>0.9892578125</c:v>
              </c:pt>
            </c:numLit>
          </c:yVal>
          <c:smooth val="0"/>
          <c:extLst>
            <c:ext xmlns:c16="http://schemas.microsoft.com/office/drawing/2014/chart" uri="{C3380CC4-5D6E-409C-BE32-E72D297353CC}">
              <c16:uniqueId val="{00000012-C18A-4FA0-B364-5978A85F6CCC}"/>
            </c:ext>
          </c:extLst>
        </c:ser>
        <c:ser>
          <c:idx val="20"/>
          <c:order val="19"/>
          <c:spPr>
            <a:ln w="38100">
              <a:solidFill>
                <a:srgbClr val="000080"/>
              </a:solidFill>
              <a:prstDash val="solid"/>
            </a:ln>
          </c:spPr>
          <c:marker>
            <c:symbol val="none"/>
          </c:marker>
          <c:xVal>
            <c:numLit>
              <c:formatCode>General</c:formatCode>
              <c:ptCount val="2"/>
              <c:pt idx="0">
                <c:v>9</c:v>
              </c:pt>
              <c:pt idx="1">
                <c:v>9.99</c:v>
              </c:pt>
            </c:numLit>
          </c:xVal>
          <c:yVal>
            <c:numLit>
              <c:formatCode>General</c:formatCode>
              <c:ptCount val="2"/>
              <c:pt idx="0">
                <c:v>0.9990234375</c:v>
              </c:pt>
              <c:pt idx="1">
                <c:v>0.9990234375</c:v>
              </c:pt>
            </c:numLit>
          </c:yVal>
          <c:smooth val="0"/>
          <c:extLst>
            <c:ext xmlns:c16="http://schemas.microsoft.com/office/drawing/2014/chart" uri="{C3380CC4-5D6E-409C-BE32-E72D297353CC}">
              <c16:uniqueId val="{00000013-C18A-4FA0-B364-5978A85F6CCC}"/>
            </c:ext>
          </c:extLst>
        </c:ser>
        <c:ser>
          <c:idx val="21"/>
          <c:order val="20"/>
          <c:spPr>
            <a:ln w="38100">
              <a:solidFill>
                <a:srgbClr val="000080"/>
              </a:solidFill>
              <a:prstDash val="solid"/>
            </a:ln>
          </c:spPr>
          <c:marker>
            <c:symbol val="none"/>
          </c:marker>
          <c:xVal>
            <c:numLit>
              <c:formatCode>General</c:formatCode>
              <c:ptCount val="1"/>
              <c:pt idx="0">
                <c:v>10</c:v>
              </c:pt>
            </c:numLit>
          </c:xVal>
          <c:yVal>
            <c:numLit>
              <c:formatCode>General</c:formatCode>
              <c:ptCount val="1"/>
              <c:pt idx="0">
                <c:v>1</c:v>
              </c:pt>
            </c:numLit>
          </c:yVal>
          <c:smooth val="0"/>
          <c:extLst>
            <c:ext xmlns:c16="http://schemas.microsoft.com/office/drawing/2014/chart" uri="{C3380CC4-5D6E-409C-BE32-E72D297353CC}">
              <c16:uniqueId val="{00000014-C18A-4FA0-B364-5978A85F6CCC}"/>
            </c:ext>
          </c:extLst>
        </c:ser>
        <c:ser>
          <c:idx val="9"/>
          <c:order val="21"/>
          <c:spPr>
            <a:ln w="38100">
              <a:solidFill>
                <a:srgbClr val="00FFFF"/>
              </a:solidFill>
              <a:prstDash val="solid"/>
            </a:ln>
          </c:spPr>
          <c:marker>
            <c:symbol val="none"/>
          </c:marker>
          <c:xVal>
            <c:numLit>
              <c:formatCode>General</c:formatCode>
              <c:ptCount val="2"/>
              <c:pt idx="0">
                <c:v>6</c:v>
              </c:pt>
              <c:pt idx="1">
                <c:v>6</c:v>
              </c:pt>
            </c:numLit>
          </c:xVal>
          <c:yVal>
            <c:numLit>
              <c:formatCode>General</c:formatCode>
              <c:ptCount val="2"/>
              <c:pt idx="0">
                <c:v>0.623</c:v>
              </c:pt>
              <c:pt idx="1">
                <c:v>0.828125</c:v>
              </c:pt>
            </c:numLit>
          </c:yVal>
          <c:smooth val="0"/>
          <c:extLst>
            <c:ext xmlns:c16="http://schemas.microsoft.com/office/drawing/2014/chart" uri="{C3380CC4-5D6E-409C-BE32-E72D297353CC}">
              <c16:uniqueId val="{00000015-C18A-4FA0-B364-5978A85F6CCC}"/>
            </c:ext>
          </c:extLst>
        </c:ser>
        <c:ser>
          <c:idx val="22"/>
          <c:order val="22"/>
          <c:spPr>
            <a:ln w="28575">
              <a:noFill/>
            </a:ln>
          </c:spPr>
          <c:marker>
            <c:symbol val="square"/>
            <c:size val="5"/>
            <c:spPr>
              <a:solidFill>
                <a:srgbClr val="000080"/>
              </a:solidFill>
              <a:ln>
                <a:solidFill>
                  <a:srgbClr val="666699"/>
                </a:solidFill>
                <a:prstDash val="solid"/>
              </a:ln>
            </c:spPr>
          </c:marker>
          <c:xVal>
            <c:numLit>
              <c:formatCode>General</c:formatCode>
              <c:ptCount val="11"/>
              <c:pt idx="0">
                <c:v>0</c:v>
              </c:pt>
              <c:pt idx="1">
                <c:v>1</c:v>
              </c:pt>
              <c:pt idx="2">
                <c:v>2</c:v>
              </c:pt>
              <c:pt idx="3">
                <c:v>3</c:v>
              </c:pt>
              <c:pt idx="4">
                <c:v>4</c:v>
              </c:pt>
              <c:pt idx="5">
                <c:v>5</c:v>
              </c:pt>
              <c:pt idx="6">
                <c:v>6</c:v>
              </c:pt>
              <c:pt idx="7">
                <c:v>7</c:v>
              </c:pt>
              <c:pt idx="8">
                <c:v>8</c:v>
              </c:pt>
              <c:pt idx="9">
                <c:v>9</c:v>
              </c:pt>
              <c:pt idx="10">
                <c:v>10</c:v>
              </c:pt>
            </c:numLit>
          </c:xVal>
          <c:yVal>
            <c:numLit>
              <c:formatCode>General</c:formatCode>
              <c:ptCount val="11"/>
              <c:pt idx="0">
                <c:v>9.765625E-4</c:v>
              </c:pt>
              <c:pt idx="1">
                <c:v>1.0742187500000003E-2</c:v>
              </c:pt>
              <c:pt idx="2">
                <c:v>5.46875E-2</c:v>
              </c:pt>
              <c:pt idx="3">
                <c:v>0.17187500000000006</c:v>
              </c:pt>
              <c:pt idx="4">
                <c:v>0.376953125</c:v>
              </c:pt>
              <c:pt idx="5">
                <c:v>0.623046875</c:v>
              </c:pt>
              <c:pt idx="6">
                <c:v>0.828125</c:v>
              </c:pt>
              <c:pt idx="7">
                <c:v>0.9453125</c:v>
              </c:pt>
              <c:pt idx="8">
                <c:v>0.9892578125</c:v>
              </c:pt>
              <c:pt idx="9">
                <c:v>0.9990234375</c:v>
              </c:pt>
              <c:pt idx="10">
                <c:v>1</c:v>
              </c:pt>
            </c:numLit>
          </c:yVal>
          <c:smooth val="0"/>
          <c:extLst>
            <c:ext xmlns:c16="http://schemas.microsoft.com/office/drawing/2014/chart" uri="{C3380CC4-5D6E-409C-BE32-E72D297353CC}">
              <c16:uniqueId val="{00000016-C18A-4FA0-B364-5978A85F6CCC}"/>
            </c:ext>
          </c:extLst>
        </c:ser>
        <c:dLbls>
          <c:showLegendKey val="0"/>
          <c:showVal val="0"/>
          <c:showCatName val="0"/>
          <c:showSerName val="0"/>
          <c:showPercent val="0"/>
          <c:showBubbleSize val="0"/>
        </c:dLbls>
        <c:axId val="181511296"/>
        <c:axId val="181513216"/>
      </c:scatterChart>
      <c:valAx>
        <c:axId val="181511296"/>
        <c:scaling>
          <c:orientation val="minMax"/>
          <c:max val="10"/>
        </c:scaling>
        <c:delete val="0"/>
        <c:axPos val="b"/>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81513216"/>
        <c:crosses val="autoZero"/>
        <c:crossBetween val="midCat"/>
      </c:valAx>
      <c:valAx>
        <c:axId val="181513216"/>
        <c:scaling>
          <c:orientation val="minMax"/>
          <c:max val="1"/>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de-DE"/>
          </a:p>
        </c:txPr>
        <c:crossAx val="181511296"/>
        <c:crosses val="autoZero"/>
        <c:crossBetween val="midCat"/>
      </c:valAx>
      <c:spPr>
        <a:solidFill>
          <a:srgbClr val="FFFFFF"/>
        </a:solidFill>
        <a:ln w="12700">
          <a:solidFill>
            <a:srgbClr val="000000"/>
          </a:solidFill>
          <a:prstDash val="solid"/>
        </a:ln>
      </c:spPr>
    </c:plotArea>
    <c:legend>
      <c:legendPos val="r"/>
      <c:legendEntry>
        <c:idx val="1"/>
        <c:delete val="1"/>
      </c:legendEntry>
      <c:legendEntry>
        <c:idx val="2"/>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18"/>
        <c:delete val="1"/>
      </c:legendEntry>
      <c:legendEntry>
        <c:idx val="19"/>
        <c:delete val="1"/>
      </c:legendEntry>
      <c:legendEntry>
        <c:idx val="20"/>
        <c:delete val="1"/>
      </c:legendEntry>
      <c:legendEntry>
        <c:idx val="21"/>
        <c:delete val="1"/>
      </c:legendEntry>
      <c:legendEntry>
        <c:idx val="22"/>
        <c:delete val="1"/>
      </c:legendEntry>
      <c:layout>
        <c:manualLayout>
          <c:xMode val="edge"/>
          <c:yMode val="edge"/>
          <c:x val="0.88117929118994764"/>
          <c:y val="0.48916556563698976"/>
          <c:w val="0.10515266004653313"/>
          <c:h val="0.10371548385341238"/>
        </c:manualLayout>
      </c:layout>
      <c:overlay val="0"/>
      <c:spPr>
        <a:solidFill>
          <a:srgbClr val="FFFFFF"/>
        </a:solidFill>
        <a:ln w="3175">
          <a:solidFill>
            <a:srgbClr val="000000"/>
          </a:solidFill>
          <a:prstDash val="solid"/>
        </a:ln>
      </c:spPr>
      <c:txPr>
        <a:bodyPr/>
        <a:lstStyle/>
        <a:p>
          <a:pPr>
            <a:defRPr sz="94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25"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4921259845" footer="0.492125984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Balkendiagramm</a:t>
            </a:r>
            <a:r>
              <a:rPr lang="de-DE" baseline="0"/>
              <a:t> Beispiel 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f(x)</c:v>
          </c:tx>
          <c:spPr>
            <a:solidFill>
              <a:schemeClr val="accent1"/>
            </a:solidFill>
            <a:ln>
              <a:noFill/>
            </a:ln>
            <a:effectLst/>
            <a:sp3d/>
          </c:spPr>
          <c:invertIfNegative val="0"/>
          <c:val>
            <c:numRef>
              <c:f>'X ~ B'!$G$80:$G$84</c:f>
              <c:numCache>
                <c:formatCode>General</c:formatCode>
                <c:ptCount val="5"/>
                <c:pt idx="0">
                  <c:v>7.8904810000000006E-2</c:v>
                </c:pt>
                <c:pt idx="1">
                  <c:v>0.27988876000000001</c:v>
                </c:pt>
                <c:pt idx="2">
                  <c:v>0.37230486000000002</c:v>
                </c:pt>
                <c:pt idx="3">
                  <c:v>0.22010475999999987</c:v>
                </c:pt>
                <c:pt idx="4">
                  <c:v>4.8796809999999996E-2</c:v>
                </c:pt>
              </c:numCache>
            </c:numRef>
          </c:val>
          <c:extLst>
            <c:ext xmlns:c16="http://schemas.microsoft.com/office/drawing/2014/chart" uri="{C3380CC4-5D6E-409C-BE32-E72D297353CC}">
              <c16:uniqueId val="{00000002-BA38-4A9A-99F1-A89A3F3A06B4}"/>
            </c:ext>
          </c:extLst>
        </c:ser>
        <c:ser>
          <c:idx val="1"/>
          <c:order val="1"/>
          <c:tx>
            <c:v>F(x)</c:v>
          </c:tx>
          <c:spPr>
            <a:solidFill>
              <a:schemeClr val="accent2"/>
            </a:solidFill>
            <a:ln>
              <a:noFill/>
            </a:ln>
            <a:effectLst/>
            <a:sp3d/>
          </c:spPr>
          <c:invertIfNegative val="0"/>
          <c:val>
            <c:numRef>
              <c:f>'X ~ B'!$H$80:$H$84</c:f>
              <c:numCache>
                <c:formatCode>General</c:formatCode>
                <c:ptCount val="5"/>
                <c:pt idx="0">
                  <c:v>7.8904810000000006E-2</c:v>
                </c:pt>
                <c:pt idx="1">
                  <c:v>0.35879357000000001</c:v>
                </c:pt>
                <c:pt idx="2">
                  <c:v>0.73109843000000008</c:v>
                </c:pt>
                <c:pt idx="3">
                  <c:v>0.95120318999999998</c:v>
                </c:pt>
                <c:pt idx="4">
                  <c:v>1</c:v>
                </c:pt>
              </c:numCache>
            </c:numRef>
          </c:val>
          <c:extLst>
            <c:ext xmlns:c16="http://schemas.microsoft.com/office/drawing/2014/chart" uri="{C3380CC4-5D6E-409C-BE32-E72D297353CC}">
              <c16:uniqueId val="{00000003-BA38-4A9A-99F1-A89A3F3A06B4}"/>
            </c:ext>
          </c:extLst>
        </c:ser>
        <c:dLbls>
          <c:showLegendKey val="0"/>
          <c:showVal val="0"/>
          <c:showCatName val="0"/>
          <c:showSerName val="0"/>
          <c:showPercent val="0"/>
          <c:showBubbleSize val="0"/>
        </c:dLbls>
        <c:gapWidth val="150"/>
        <c:shape val="box"/>
        <c:axId val="31654160"/>
        <c:axId val="31655120"/>
        <c:axId val="0"/>
      </c:bar3DChart>
      <c:catAx>
        <c:axId val="316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x</a:t>
                </a:r>
              </a:p>
              <a:p>
                <a:pPr>
                  <a:defRPr/>
                </a:pP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1655120"/>
        <c:crosses val="autoZero"/>
        <c:auto val="1"/>
        <c:lblAlgn val="ctr"/>
        <c:lblOffset val="100"/>
        <c:noMultiLvlLbl val="0"/>
      </c:catAx>
      <c:valAx>
        <c:axId val="31655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f(x),</a:t>
                </a:r>
                <a:r>
                  <a:rPr lang="de-DE" baseline="0"/>
                  <a:t> F(x)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3165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132159</xdr:colOff>
      <xdr:row>21</xdr:row>
      <xdr:rowOff>101600</xdr:rowOff>
    </xdr:from>
    <xdr:to>
      <xdr:col>9</xdr:col>
      <xdr:colOff>581422</xdr:colOff>
      <xdr:row>41</xdr:row>
      <xdr:rowOff>190500</xdr:rowOff>
    </xdr:to>
    <xdr:graphicFrame macro="">
      <xdr:nvGraphicFramePr>
        <xdr:cNvPr id="1034" name="Diagramm 1">
          <a:extLst>
            <a:ext uri="{FF2B5EF4-FFF2-40B4-BE49-F238E27FC236}">
              <a16:creationId xmlns:a16="http://schemas.microsoft.com/office/drawing/2014/main" id="{00000000-0008-0000-0100-00000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188515</xdr:colOff>
      <xdr:row>44</xdr:row>
      <xdr:rowOff>1587</xdr:rowOff>
    </xdr:from>
    <xdr:to>
      <xdr:col>9</xdr:col>
      <xdr:colOff>525066</xdr:colOff>
      <xdr:row>72</xdr:row>
      <xdr:rowOff>79374</xdr:rowOff>
    </xdr:to>
    <xdr:graphicFrame macro="">
      <xdr:nvGraphicFramePr>
        <xdr:cNvPr id="6" name="Diagramm 3">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404813</xdr:colOff>
      <xdr:row>68</xdr:row>
      <xdr:rowOff>45244</xdr:rowOff>
    </xdr:from>
    <xdr:to>
      <xdr:col>22</xdr:col>
      <xdr:colOff>250030</xdr:colOff>
      <xdr:row>86</xdr:row>
      <xdr:rowOff>47625</xdr:rowOff>
    </xdr:to>
    <xdr:graphicFrame macro="">
      <xdr:nvGraphicFramePr>
        <xdr:cNvPr id="2" name="Diagramm 1">
          <a:extLst>
            <a:ext uri="{FF2B5EF4-FFF2-40B4-BE49-F238E27FC236}">
              <a16:creationId xmlns:a16="http://schemas.microsoft.com/office/drawing/2014/main" id="{8B1D9AB8-699C-7694-C5EE-0A233F1B9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1"/>
  <sheetViews>
    <sheetView zoomScale="80" zoomScaleNormal="80" workbookViewId="0">
      <selection activeCell="B1" sqref="B1"/>
    </sheetView>
  </sheetViews>
  <sheetFormatPr baseColWidth="10" defaultRowHeight="12.75" x14ac:dyDescent="0.2"/>
  <cols>
    <col min="2" max="2" width="5.5703125" customWidth="1"/>
  </cols>
  <sheetData>
    <row r="1" spans="1:21" x14ac:dyDescent="0.2">
      <c r="A1" s="2"/>
      <c r="B1" s="2"/>
      <c r="C1" s="2"/>
      <c r="D1" s="2"/>
      <c r="E1" s="2"/>
      <c r="F1" s="2"/>
      <c r="G1" s="2"/>
      <c r="H1" s="2"/>
      <c r="I1" s="2"/>
      <c r="J1" s="2"/>
      <c r="K1" s="2"/>
    </row>
    <row r="2" spans="1:21" ht="18" x14ac:dyDescent="0.2">
      <c r="A2" s="2"/>
      <c r="B2" s="3" t="s">
        <v>44</v>
      </c>
      <c r="C2" s="4"/>
      <c r="D2" s="4"/>
      <c r="E2" s="4"/>
      <c r="F2" s="4"/>
      <c r="G2" s="4"/>
      <c r="H2" s="4"/>
      <c r="I2" s="4"/>
      <c r="J2" s="5"/>
      <c r="K2" s="2"/>
    </row>
    <row r="3" spans="1:21" ht="20.25" x14ac:dyDescent="0.2">
      <c r="A3" s="2"/>
      <c r="B3" s="6"/>
      <c r="C3" s="7"/>
      <c r="D3" s="7"/>
      <c r="E3" s="7"/>
      <c r="F3" s="7"/>
      <c r="G3" s="7"/>
      <c r="H3" s="7"/>
      <c r="I3" s="7"/>
      <c r="J3" s="8"/>
      <c r="K3" s="2"/>
      <c r="L3" s="158" t="s">
        <v>145</v>
      </c>
      <c r="M3" s="158"/>
      <c r="N3" s="158"/>
      <c r="O3" s="158"/>
      <c r="P3" s="158"/>
      <c r="Q3" s="158"/>
      <c r="R3" s="158"/>
      <c r="S3" s="158"/>
      <c r="T3" s="158"/>
      <c r="U3" s="158"/>
    </row>
    <row r="4" spans="1:21" ht="15.75" x14ac:dyDescent="0.2">
      <c r="A4" s="2"/>
      <c r="B4" s="9" t="s">
        <v>48</v>
      </c>
      <c r="C4" s="10"/>
      <c r="D4" s="10"/>
      <c r="E4" s="10"/>
      <c r="F4" s="10"/>
      <c r="G4" s="10"/>
      <c r="H4" s="10"/>
      <c r="I4" s="7"/>
      <c r="J4" s="8"/>
      <c r="K4" s="2"/>
      <c r="L4" s="158"/>
      <c r="M4" s="158"/>
      <c r="N4" s="158"/>
      <c r="O4" s="158"/>
      <c r="P4" s="158"/>
      <c r="Q4" s="158"/>
      <c r="R4" s="158"/>
      <c r="S4" s="158"/>
      <c r="T4" s="158"/>
      <c r="U4" s="158"/>
    </row>
    <row r="5" spans="1:21" ht="15.75" x14ac:dyDescent="0.25">
      <c r="A5" s="2"/>
      <c r="B5" s="11"/>
      <c r="C5" s="10" t="s">
        <v>56</v>
      </c>
      <c r="D5" s="10"/>
      <c r="E5" s="10"/>
      <c r="F5" s="10"/>
      <c r="G5" s="10"/>
      <c r="H5" s="10"/>
      <c r="I5" s="7"/>
      <c r="J5" s="8"/>
      <c r="K5" s="2"/>
      <c r="L5" s="158"/>
      <c r="M5" s="158"/>
      <c r="N5" s="158"/>
      <c r="O5" s="158"/>
      <c r="P5" s="158"/>
      <c r="Q5" s="158"/>
      <c r="R5" s="158"/>
      <c r="S5" s="158"/>
      <c r="T5" s="158"/>
      <c r="U5" s="158"/>
    </row>
    <row r="6" spans="1:21" ht="15.75" x14ac:dyDescent="0.2">
      <c r="A6" s="2"/>
      <c r="B6" s="9"/>
      <c r="C6" s="10" t="s">
        <v>57</v>
      </c>
      <c r="D6" s="10"/>
      <c r="E6" s="10"/>
      <c r="F6" s="10"/>
      <c r="G6" s="10"/>
      <c r="H6" s="10"/>
      <c r="I6" s="7"/>
      <c r="J6" s="8"/>
      <c r="K6" s="2"/>
      <c r="L6" s="158"/>
      <c r="M6" s="158"/>
      <c r="N6" s="158"/>
      <c r="O6" s="158"/>
      <c r="P6" s="158"/>
      <c r="Q6" s="158"/>
      <c r="R6" s="158"/>
      <c r="S6" s="158"/>
      <c r="T6" s="158"/>
      <c r="U6" s="158"/>
    </row>
    <row r="7" spans="1:21" ht="15.75" x14ac:dyDescent="0.25">
      <c r="A7" s="2"/>
      <c r="B7" s="11"/>
      <c r="C7" s="10" t="s">
        <v>58</v>
      </c>
      <c r="D7" s="10"/>
      <c r="E7" s="10"/>
      <c r="F7" s="10"/>
      <c r="G7" s="10"/>
      <c r="H7" s="10"/>
      <c r="I7" s="7"/>
      <c r="J7" s="8"/>
      <c r="K7" s="2"/>
      <c r="L7" s="158"/>
      <c r="M7" s="158"/>
      <c r="N7" s="158"/>
      <c r="O7" s="158"/>
      <c r="P7" s="158"/>
      <c r="Q7" s="158"/>
      <c r="R7" s="158"/>
      <c r="S7" s="158"/>
      <c r="T7" s="158"/>
      <c r="U7" s="158"/>
    </row>
    <row r="8" spans="1:21" ht="15.75" x14ac:dyDescent="0.25">
      <c r="A8" s="2"/>
      <c r="B8" s="11"/>
      <c r="C8" s="10"/>
      <c r="D8" s="10"/>
      <c r="E8" s="10"/>
      <c r="F8" s="10"/>
      <c r="G8" s="10"/>
      <c r="H8" s="10"/>
      <c r="I8" s="7"/>
      <c r="J8" s="8"/>
      <c r="K8" s="2"/>
      <c r="L8" s="158"/>
      <c r="M8" s="158"/>
      <c r="N8" s="158"/>
      <c r="O8" s="158"/>
      <c r="P8" s="158"/>
      <c r="Q8" s="158"/>
      <c r="R8" s="158"/>
      <c r="S8" s="158"/>
      <c r="T8" s="158"/>
      <c r="U8" s="158"/>
    </row>
    <row r="9" spans="1:21" ht="15.75" x14ac:dyDescent="0.25">
      <c r="A9" s="2"/>
      <c r="B9" s="11" t="s">
        <v>47</v>
      </c>
      <c r="C9" s="10"/>
      <c r="D9" s="10"/>
      <c r="E9" s="10"/>
      <c r="F9" s="10"/>
      <c r="G9" s="10"/>
      <c r="H9" s="10"/>
      <c r="I9" s="7"/>
      <c r="J9" s="8"/>
      <c r="K9" s="2"/>
      <c r="L9" s="158"/>
      <c r="M9" s="158"/>
      <c r="N9" s="158"/>
      <c r="O9" s="158"/>
      <c r="P9" s="158"/>
      <c r="Q9" s="158"/>
      <c r="R9" s="158"/>
      <c r="S9" s="158"/>
      <c r="T9" s="158"/>
      <c r="U9" s="158"/>
    </row>
    <row r="10" spans="1:21" ht="15.75" x14ac:dyDescent="0.25">
      <c r="A10" s="2"/>
      <c r="B10" s="11"/>
      <c r="C10" s="10"/>
      <c r="D10" s="10"/>
      <c r="E10" s="10"/>
      <c r="F10" s="10"/>
      <c r="G10" s="10"/>
      <c r="H10" s="10"/>
      <c r="I10" s="7"/>
      <c r="J10" s="8"/>
      <c r="K10" s="2"/>
      <c r="L10" s="158"/>
      <c r="M10" s="158"/>
      <c r="N10" s="158"/>
      <c r="O10" s="158"/>
      <c r="P10" s="158"/>
      <c r="Q10" s="158"/>
      <c r="R10" s="158"/>
      <c r="S10" s="158"/>
      <c r="T10" s="158"/>
      <c r="U10" s="158"/>
    </row>
    <row r="11" spans="1:21" ht="15.75" x14ac:dyDescent="0.25">
      <c r="A11" s="2"/>
      <c r="B11" s="11"/>
      <c r="C11" s="10"/>
      <c r="D11" s="10"/>
      <c r="E11" s="10"/>
      <c r="F11" s="10"/>
      <c r="G11" s="10"/>
      <c r="H11" s="10"/>
      <c r="I11" s="7"/>
      <c r="J11" s="8"/>
      <c r="K11" s="2"/>
      <c r="L11" s="158"/>
      <c r="M11" s="158"/>
      <c r="N11" s="158"/>
      <c r="O11" s="158"/>
      <c r="P11" s="158"/>
      <c r="Q11" s="158"/>
      <c r="R11" s="158"/>
      <c r="S11" s="158"/>
      <c r="T11" s="158"/>
      <c r="U11" s="158"/>
    </row>
    <row r="12" spans="1:21" ht="15.75" x14ac:dyDescent="0.25">
      <c r="A12" s="2"/>
      <c r="B12" s="11"/>
      <c r="C12" s="10"/>
      <c r="D12" s="10"/>
      <c r="E12" s="10"/>
      <c r="F12" s="10"/>
      <c r="G12" s="10"/>
      <c r="H12" s="10"/>
      <c r="I12" s="7"/>
      <c r="J12" s="8"/>
      <c r="K12" s="2"/>
      <c r="L12" s="158"/>
      <c r="M12" s="158"/>
      <c r="N12" s="158"/>
      <c r="O12" s="158"/>
      <c r="P12" s="158"/>
      <c r="Q12" s="158"/>
      <c r="R12" s="158"/>
      <c r="S12" s="158"/>
      <c r="T12" s="158"/>
      <c r="U12" s="158"/>
    </row>
    <row r="13" spans="1:21" ht="15.75" x14ac:dyDescent="0.25">
      <c r="A13" s="2"/>
      <c r="B13" s="11"/>
      <c r="C13" s="10"/>
      <c r="D13" s="10"/>
      <c r="E13" s="10"/>
      <c r="F13" s="10"/>
      <c r="G13" s="10"/>
      <c r="H13" s="10"/>
      <c r="I13" s="7"/>
      <c r="J13" s="8"/>
      <c r="K13" s="2"/>
      <c r="L13" s="158"/>
      <c r="M13" s="158"/>
      <c r="N13" s="158"/>
      <c r="O13" s="158"/>
      <c r="P13" s="158"/>
      <c r="Q13" s="158"/>
      <c r="R13" s="158"/>
      <c r="S13" s="158"/>
      <c r="T13" s="158"/>
      <c r="U13" s="158"/>
    </row>
    <row r="14" spans="1:21" ht="15.75" x14ac:dyDescent="0.25">
      <c r="A14" s="2"/>
      <c r="B14" s="11"/>
      <c r="C14" s="10"/>
      <c r="D14" s="10"/>
      <c r="E14" s="10"/>
      <c r="F14" s="10"/>
      <c r="G14" s="10"/>
      <c r="H14" s="10"/>
      <c r="I14" s="7"/>
      <c r="J14" s="8"/>
      <c r="K14" s="2"/>
      <c r="L14" s="158"/>
      <c r="M14" s="158"/>
      <c r="N14" s="158"/>
      <c r="O14" s="158"/>
      <c r="P14" s="158"/>
      <c r="Q14" s="158"/>
      <c r="R14" s="158"/>
      <c r="S14" s="158"/>
      <c r="T14" s="158"/>
      <c r="U14" s="158"/>
    </row>
    <row r="15" spans="1:21" ht="15.75" x14ac:dyDescent="0.25">
      <c r="A15" s="2"/>
      <c r="B15" s="11"/>
      <c r="C15" s="10"/>
      <c r="D15" s="10"/>
      <c r="E15" s="10"/>
      <c r="F15" s="10"/>
      <c r="G15" s="10"/>
      <c r="H15" s="10"/>
      <c r="I15" s="7"/>
      <c r="J15" s="8"/>
      <c r="K15" s="2"/>
      <c r="L15" s="158"/>
      <c r="M15" s="158"/>
      <c r="N15" s="158"/>
      <c r="O15" s="158"/>
      <c r="P15" s="158"/>
      <c r="Q15" s="158"/>
      <c r="R15" s="158"/>
      <c r="S15" s="158"/>
      <c r="T15" s="158"/>
      <c r="U15" s="158"/>
    </row>
    <row r="16" spans="1:21" x14ac:dyDescent="0.2">
      <c r="A16" s="2"/>
      <c r="B16" s="12"/>
      <c r="C16" s="7"/>
      <c r="D16" s="7"/>
      <c r="E16" s="7"/>
      <c r="F16" s="7"/>
      <c r="G16" s="7"/>
      <c r="H16" s="7"/>
      <c r="I16" s="7"/>
      <c r="J16" s="8"/>
      <c r="K16" s="2"/>
      <c r="L16" s="158"/>
      <c r="M16" s="158"/>
      <c r="N16" s="158"/>
      <c r="O16" s="158"/>
      <c r="P16" s="158"/>
      <c r="Q16" s="158"/>
      <c r="R16" s="158"/>
      <c r="S16" s="158"/>
      <c r="T16" s="158"/>
      <c r="U16" s="158"/>
    </row>
    <row r="17" spans="1:21" x14ac:dyDescent="0.2">
      <c r="A17" s="2"/>
      <c r="B17" s="12"/>
      <c r="C17" s="7"/>
      <c r="D17" s="7"/>
      <c r="E17" s="7"/>
      <c r="F17" s="7"/>
      <c r="G17" s="7"/>
      <c r="H17" s="7"/>
      <c r="I17" s="7"/>
      <c r="J17" s="8"/>
      <c r="K17" s="2"/>
      <c r="L17" s="158"/>
      <c r="M17" s="158"/>
      <c r="N17" s="158"/>
      <c r="O17" s="158"/>
      <c r="P17" s="158"/>
      <c r="Q17" s="158"/>
      <c r="R17" s="158"/>
      <c r="S17" s="158"/>
      <c r="T17" s="158"/>
      <c r="U17" s="158"/>
    </row>
    <row r="18" spans="1:21" ht="18" x14ac:dyDescent="0.2">
      <c r="A18" s="2"/>
      <c r="B18" s="13" t="s">
        <v>45</v>
      </c>
      <c r="C18" s="14"/>
      <c r="D18" s="14"/>
      <c r="E18" s="14"/>
      <c r="F18" s="14"/>
      <c r="G18" s="14"/>
      <c r="H18" s="14"/>
      <c r="I18" s="14"/>
      <c r="J18" s="15"/>
      <c r="K18" s="2"/>
      <c r="L18" s="158"/>
      <c r="M18" s="158"/>
      <c r="N18" s="158"/>
      <c r="O18" s="158"/>
      <c r="P18" s="158"/>
      <c r="Q18" s="158"/>
      <c r="R18" s="158"/>
      <c r="S18" s="158"/>
      <c r="T18" s="158"/>
      <c r="U18" s="158"/>
    </row>
    <row r="19" spans="1:21" ht="15.75" x14ac:dyDescent="0.2">
      <c r="A19" s="2"/>
      <c r="B19" s="12"/>
      <c r="C19" s="16" t="s">
        <v>46</v>
      </c>
      <c r="D19" s="7"/>
      <c r="E19" s="7"/>
      <c r="F19" s="7"/>
      <c r="G19" s="7"/>
      <c r="H19" s="7"/>
      <c r="I19" s="7"/>
      <c r="J19" s="8"/>
      <c r="K19" s="2"/>
    </row>
    <row r="20" spans="1:21" ht="15.75" x14ac:dyDescent="0.2">
      <c r="A20" s="2"/>
      <c r="B20" s="12"/>
      <c r="C20" s="16" t="s">
        <v>52</v>
      </c>
      <c r="D20" s="7"/>
      <c r="E20" s="7"/>
      <c r="F20" s="7"/>
      <c r="G20" s="7"/>
      <c r="H20" s="7"/>
      <c r="I20" s="7"/>
      <c r="J20" s="8"/>
      <c r="K20" s="2"/>
    </row>
    <row r="21" spans="1:21" ht="15.75" x14ac:dyDescent="0.2">
      <c r="A21" s="2"/>
      <c r="B21" s="12"/>
      <c r="C21" s="16" t="s">
        <v>53</v>
      </c>
      <c r="D21" s="7"/>
      <c r="E21" s="7"/>
      <c r="F21" s="7"/>
      <c r="G21" s="7"/>
      <c r="H21" s="7"/>
      <c r="I21" s="7"/>
      <c r="J21" s="8"/>
      <c r="K21" s="2"/>
    </row>
    <row r="22" spans="1:21" ht="15.75" x14ac:dyDescent="0.2">
      <c r="A22" s="2"/>
      <c r="B22" s="12"/>
      <c r="C22" s="16" t="s">
        <v>54</v>
      </c>
      <c r="D22" s="7"/>
      <c r="E22" s="7"/>
      <c r="F22" s="7"/>
      <c r="G22" s="7"/>
      <c r="H22" s="7"/>
      <c r="I22" s="7"/>
      <c r="J22" s="8"/>
      <c r="K22" s="2"/>
    </row>
    <row r="23" spans="1:21" ht="15.75" x14ac:dyDescent="0.2">
      <c r="A23" s="2"/>
      <c r="B23" s="12"/>
      <c r="C23" s="16" t="s">
        <v>55</v>
      </c>
      <c r="D23" s="7"/>
      <c r="E23" s="7"/>
      <c r="F23" s="7"/>
      <c r="G23" s="7"/>
      <c r="H23" s="7"/>
      <c r="I23" s="7"/>
      <c r="J23" s="8"/>
      <c r="K23" s="2"/>
    </row>
    <row r="24" spans="1:21" ht="15.75" x14ac:dyDescent="0.2">
      <c r="A24" s="2"/>
      <c r="B24" s="12"/>
      <c r="C24" s="16"/>
      <c r="D24" s="7"/>
      <c r="E24" s="7"/>
      <c r="F24" s="7"/>
      <c r="G24" s="7"/>
      <c r="H24" s="7"/>
      <c r="I24" s="7"/>
      <c r="J24" s="8"/>
      <c r="K24" s="2"/>
    </row>
    <row r="25" spans="1:21" ht="15.75" x14ac:dyDescent="0.2">
      <c r="A25" s="2"/>
      <c r="B25" s="12"/>
      <c r="C25" s="16"/>
      <c r="D25" s="7"/>
      <c r="E25" s="7"/>
      <c r="F25" s="7"/>
      <c r="G25" s="7"/>
      <c r="H25" s="7"/>
      <c r="I25" s="7"/>
      <c r="J25" s="8"/>
      <c r="K25" s="2"/>
    </row>
    <row r="26" spans="1:21" ht="15.75" x14ac:dyDescent="0.2">
      <c r="A26" s="2"/>
      <c r="B26" s="12"/>
      <c r="C26" s="16"/>
      <c r="D26" s="7"/>
      <c r="E26" s="7"/>
      <c r="F26" s="7"/>
      <c r="G26" s="7"/>
      <c r="H26" s="7"/>
      <c r="I26" s="7"/>
      <c r="J26" s="8"/>
      <c r="K26" s="2"/>
    </row>
    <row r="27" spans="1:21" ht="15.75" x14ac:dyDescent="0.2">
      <c r="A27" s="2"/>
      <c r="B27" s="12"/>
      <c r="C27" s="16"/>
      <c r="D27" s="7"/>
      <c r="E27" s="7"/>
      <c r="F27" s="7"/>
      <c r="G27" s="7"/>
      <c r="H27" s="7"/>
      <c r="I27" s="7"/>
      <c r="J27" s="8"/>
      <c r="K27" s="2"/>
    </row>
    <row r="28" spans="1:21" ht="15.75" x14ac:dyDescent="0.2">
      <c r="A28" s="2"/>
      <c r="B28" s="20"/>
      <c r="C28" s="17"/>
      <c r="D28" s="18"/>
      <c r="E28" s="18"/>
      <c r="F28" s="18"/>
      <c r="G28" s="18"/>
      <c r="H28" s="18"/>
      <c r="I28" s="18"/>
      <c r="J28" s="19"/>
      <c r="K28" s="2"/>
    </row>
    <row r="29" spans="1:21" x14ac:dyDescent="0.2">
      <c r="A29" s="2"/>
      <c r="B29" s="2"/>
      <c r="C29" s="2"/>
      <c r="D29" s="2"/>
      <c r="E29" s="2"/>
      <c r="F29" s="2"/>
      <c r="G29" s="2"/>
      <c r="H29" s="2"/>
      <c r="I29" s="2"/>
      <c r="J29" s="2"/>
      <c r="K29" s="2"/>
    </row>
    <row r="30" spans="1:21" x14ac:dyDescent="0.2">
      <c r="A30" s="2"/>
      <c r="B30" s="2"/>
      <c r="C30" s="2"/>
      <c r="D30" s="2"/>
      <c r="E30" s="2"/>
      <c r="F30" s="2"/>
      <c r="G30" s="2"/>
      <c r="H30" s="2"/>
      <c r="I30" s="2"/>
      <c r="J30" s="2"/>
      <c r="K30" s="2"/>
    </row>
    <row r="31" spans="1:21" x14ac:dyDescent="0.2">
      <c r="I31" s="157"/>
    </row>
  </sheetData>
  <mergeCells count="1">
    <mergeCell ref="L3:U18"/>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AD76"/>
  <sheetViews>
    <sheetView topLeftCell="A21" zoomScale="80" zoomScaleNormal="80" workbookViewId="0">
      <selection activeCell="B1" sqref="B1"/>
    </sheetView>
  </sheetViews>
  <sheetFormatPr baseColWidth="10" defaultColWidth="10.85546875" defaultRowHeight="15" x14ac:dyDescent="0.2"/>
  <cols>
    <col min="1" max="1" width="11" style="22" customWidth="1"/>
    <col min="2" max="2" width="10.7109375" style="21" customWidth="1"/>
    <col min="3" max="4" width="10.7109375" style="22" customWidth="1"/>
    <col min="5" max="6" width="13.5703125" style="22" customWidth="1"/>
    <col min="7" max="7" width="13.85546875" style="23" customWidth="1"/>
    <col min="8" max="8" width="10.85546875" style="22" customWidth="1"/>
    <col min="9" max="9" width="11" style="22" customWidth="1"/>
    <col min="10" max="10" width="11" style="21" customWidth="1"/>
    <col min="11" max="55" width="11" style="22" customWidth="1"/>
    <col min="56" max="16384" width="10.85546875" style="22"/>
  </cols>
  <sheetData>
    <row r="2" spans="2:22" ht="20.25" x14ac:dyDescent="0.3">
      <c r="B2" s="26" t="s">
        <v>59</v>
      </c>
      <c r="C2" s="27"/>
      <c r="D2" s="27"/>
      <c r="E2" s="27"/>
      <c r="F2" s="27"/>
      <c r="G2" s="28"/>
    </row>
    <row r="3" spans="2:22" ht="20.25" x14ac:dyDescent="0.3">
      <c r="B3" s="26" t="s">
        <v>60</v>
      </c>
      <c r="C3" s="27"/>
      <c r="D3" s="27"/>
      <c r="E3" s="27"/>
      <c r="F3" s="27"/>
      <c r="G3" s="28"/>
      <c r="H3" s="24"/>
      <c r="I3" s="1"/>
    </row>
    <row r="4" spans="2:22" ht="16.5" thickBot="1" x14ac:dyDescent="0.3">
      <c r="H4" s="24"/>
      <c r="I4" s="1"/>
    </row>
    <row r="5" spans="2:22" ht="15.75" x14ac:dyDescent="0.25">
      <c r="B5" s="61"/>
      <c r="C5" s="38"/>
      <c r="D5" s="38"/>
      <c r="E5" s="159" t="s">
        <v>61</v>
      </c>
      <c r="F5" s="160"/>
      <c r="G5" s="160"/>
      <c r="H5" s="39"/>
      <c r="I5" s="39"/>
      <c r="J5" s="40"/>
    </row>
    <row r="6" spans="2:22" ht="15.75" x14ac:dyDescent="0.25">
      <c r="B6" s="62"/>
      <c r="E6" s="41"/>
      <c r="F6" s="42" t="s">
        <v>4</v>
      </c>
      <c r="G6" s="43">
        <v>10</v>
      </c>
      <c r="J6" s="44"/>
    </row>
    <row r="7" spans="2:22" ht="15.75" x14ac:dyDescent="0.25">
      <c r="B7" s="62"/>
      <c r="E7" s="41"/>
      <c r="F7" s="42" t="s">
        <v>5</v>
      </c>
      <c r="G7" s="43">
        <v>0.5</v>
      </c>
      <c r="H7" s="24"/>
      <c r="I7" s="1"/>
      <c r="J7" s="44"/>
    </row>
    <row r="8" spans="2:22" ht="15.75" thickBot="1" x14ac:dyDescent="0.25">
      <c r="B8" s="62"/>
      <c r="E8" s="45"/>
      <c r="G8" s="22"/>
      <c r="J8" s="44"/>
    </row>
    <row r="9" spans="2:22" s="29" customFormat="1" ht="52.9" customHeight="1" thickBot="1" x14ac:dyDescent="0.25">
      <c r="B9" s="63"/>
      <c r="E9" s="30" t="s">
        <v>43</v>
      </c>
      <c r="F9" s="33" t="s">
        <v>62</v>
      </c>
      <c r="G9" s="36" t="s">
        <v>63</v>
      </c>
      <c r="J9" s="46"/>
    </row>
    <row r="10" spans="2:22" x14ac:dyDescent="0.2">
      <c r="B10" s="62"/>
      <c r="E10" s="31">
        <v>0</v>
      </c>
      <c r="F10" s="34">
        <f t="shared" ref="F10:F20" si="0">_xlfn.BINOM.DIST(E10,$G$6,$G$7,FALSE)</f>
        <v>9.765625E-4</v>
      </c>
      <c r="G10" s="34">
        <f t="shared" ref="G10:G20" si="1">_xlfn.BINOM.DIST(E10,$G$6,$G$7,TRUE)</f>
        <v>9.765625E-4</v>
      </c>
      <c r="J10" s="47"/>
      <c r="S10" s="21"/>
      <c r="T10" s="23"/>
    </row>
    <row r="11" spans="2:22" x14ac:dyDescent="0.2">
      <c r="B11" s="62"/>
      <c r="E11" s="31">
        <v>1</v>
      </c>
      <c r="F11" s="34">
        <f t="shared" si="0"/>
        <v>9.7656250000000017E-3</v>
      </c>
      <c r="G11" s="34">
        <f t="shared" si="1"/>
        <v>1.0742187500000003E-2</v>
      </c>
      <c r="J11" s="47"/>
      <c r="S11" s="23"/>
      <c r="T11" s="23"/>
      <c r="V11" s="23"/>
    </row>
    <row r="12" spans="2:22" x14ac:dyDescent="0.2">
      <c r="B12" s="62"/>
      <c r="E12" s="31">
        <v>2</v>
      </c>
      <c r="F12" s="34">
        <f t="shared" si="0"/>
        <v>4.3945312499999972E-2</v>
      </c>
      <c r="G12" s="34">
        <f t="shared" si="1"/>
        <v>5.46875E-2</v>
      </c>
      <c r="J12" s="47"/>
      <c r="S12" s="23"/>
      <c r="T12" s="23"/>
      <c r="V12" s="23"/>
    </row>
    <row r="13" spans="2:22" x14ac:dyDescent="0.2">
      <c r="B13" s="62"/>
      <c r="E13" s="31">
        <v>3</v>
      </c>
      <c r="F13" s="34">
        <f t="shared" si="0"/>
        <v>0.11718750000000003</v>
      </c>
      <c r="G13" s="34">
        <f t="shared" si="1"/>
        <v>0.17187500000000006</v>
      </c>
      <c r="J13" s="47"/>
      <c r="S13" s="23"/>
      <c r="T13" s="23"/>
      <c r="V13" s="23"/>
    </row>
    <row r="14" spans="2:22" x14ac:dyDescent="0.2">
      <c r="B14" s="62"/>
      <c r="E14" s="31">
        <v>4</v>
      </c>
      <c r="F14" s="34">
        <f t="shared" si="0"/>
        <v>0.20507812500000006</v>
      </c>
      <c r="G14" s="34">
        <f t="shared" si="1"/>
        <v>0.376953125</v>
      </c>
      <c r="J14" s="47"/>
      <c r="S14" s="23"/>
      <c r="T14" s="23"/>
      <c r="V14" s="23"/>
    </row>
    <row r="15" spans="2:22" x14ac:dyDescent="0.2">
      <c r="B15" s="62"/>
      <c r="E15" s="31">
        <v>5</v>
      </c>
      <c r="F15" s="34">
        <f t="shared" si="0"/>
        <v>0.24609375000000008</v>
      </c>
      <c r="G15" s="34">
        <f t="shared" si="1"/>
        <v>0.623046875</v>
      </c>
      <c r="J15" s="47"/>
      <c r="S15" s="23"/>
      <c r="T15" s="23"/>
      <c r="V15" s="23"/>
    </row>
    <row r="16" spans="2:22" x14ac:dyDescent="0.2">
      <c r="B16" s="62"/>
      <c r="E16" s="31">
        <v>6</v>
      </c>
      <c r="F16" s="34">
        <f t="shared" si="0"/>
        <v>0.20507812500000006</v>
      </c>
      <c r="G16" s="34">
        <f t="shared" si="1"/>
        <v>0.828125</v>
      </c>
      <c r="J16" s="47"/>
      <c r="S16" s="23"/>
      <c r="T16" s="23"/>
      <c r="V16" s="23"/>
    </row>
    <row r="17" spans="2:22" x14ac:dyDescent="0.2">
      <c r="B17" s="62"/>
      <c r="E17" s="31">
        <v>7</v>
      </c>
      <c r="F17" s="34">
        <f t="shared" si="0"/>
        <v>0.11718750000000003</v>
      </c>
      <c r="G17" s="34">
        <f t="shared" si="1"/>
        <v>0.9453125</v>
      </c>
      <c r="J17" s="47"/>
      <c r="S17" s="23"/>
      <c r="T17" s="23"/>
      <c r="V17" s="23"/>
    </row>
    <row r="18" spans="2:22" x14ac:dyDescent="0.2">
      <c r="B18" s="62"/>
      <c r="E18" s="31">
        <v>8</v>
      </c>
      <c r="F18" s="34">
        <f t="shared" si="0"/>
        <v>4.3945312499999986E-2</v>
      </c>
      <c r="G18" s="34">
        <f t="shared" si="1"/>
        <v>0.9892578125</v>
      </c>
      <c r="J18" s="47"/>
      <c r="S18" s="23"/>
      <c r="T18" s="23"/>
      <c r="V18" s="23"/>
    </row>
    <row r="19" spans="2:22" x14ac:dyDescent="0.2">
      <c r="B19" s="62"/>
      <c r="E19" s="31">
        <v>9</v>
      </c>
      <c r="F19" s="34">
        <f t="shared" si="0"/>
        <v>9.7656250000000017E-3</v>
      </c>
      <c r="G19" s="34">
        <f t="shared" si="1"/>
        <v>0.9990234375</v>
      </c>
      <c r="J19" s="47"/>
      <c r="S19" s="23"/>
      <c r="T19" s="23"/>
      <c r="V19" s="23"/>
    </row>
    <row r="20" spans="2:22" ht="15.75" thickBot="1" x14ac:dyDescent="0.25">
      <c r="B20" s="62"/>
      <c r="E20" s="32">
        <v>10</v>
      </c>
      <c r="F20" s="35">
        <f t="shared" si="0"/>
        <v>9.765625E-4</v>
      </c>
      <c r="G20" s="35">
        <f t="shared" si="1"/>
        <v>1</v>
      </c>
      <c r="J20" s="47"/>
      <c r="S20" s="23"/>
      <c r="T20" s="23"/>
      <c r="V20" s="23"/>
    </row>
    <row r="21" spans="2:22" x14ac:dyDescent="0.2">
      <c r="B21" s="45"/>
      <c r="C21" s="23"/>
      <c r="D21" s="23"/>
      <c r="E21" s="48"/>
      <c r="G21" s="22"/>
      <c r="J21" s="47"/>
      <c r="S21" s="23"/>
      <c r="T21" s="23"/>
      <c r="V21" s="23"/>
    </row>
    <row r="22" spans="2:22" x14ac:dyDescent="0.2">
      <c r="B22" s="45"/>
      <c r="G22" s="22"/>
      <c r="J22" s="47"/>
      <c r="S22" s="23"/>
      <c r="T22" s="23"/>
      <c r="V22" s="23"/>
    </row>
    <row r="23" spans="2:22" x14ac:dyDescent="0.2">
      <c r="B23" s="45"/>
      <c r="G23" s="22"/>
      <c r="J23" s="47"/>
      <c r="S23" s="23"/>
      <c r="T23" s="23"/>
      <c r="V23" s="23"/>
    </row>
    <row r="24" spans="2:22" x14ac:dyDescent="0.2">
      <c r="B24" s="45"/>
      <c r="G24" s="22"/>
      <c r="J24" s="47"/>
      <c r="S24" s="23"/>
      <c r="T24" s="23"/>
      <c r="V24" s="23"/>
    </row>
    <row r="25" spans="2:22" x14ac:dyDescent="0.2">
      <c r="B25" s="45"/>
      <c r="G25" s="22"/>
      <c r="J25" s="47"/>
      <c r="S25" s="23"/>
      <c r="T25" s="23"/>
      <c r="V25" s="23"/>
    </row>
    <row r="26" spans="2:22" x14ac:dyDescent="0.2">
      <c r="B26" s="45"/>
      <c r="G26" s="22"/>
      <c r="J26" s="47"/>
      <c r="S26" s="23"/>
      <c r="T26" s="23"/>
      <c r="V26" s="23"/>
    </row>
    <row r="27" spans="2:22" x14ac:dyDescent="0.2">
      <c r="B27" s="49"/>
      <c r="C27" s="50" t="s">
        <v>12</v>
      </c>
      <c r="D27" s="51"/>
      <c r="E27" s="50" t="s">
        <v>10</v>
      </c>
      <c r="G27" s="22"/>
      <c r="J27" s="47"/>
      <c r="S27" s="23"/>
      <c r="T27" s="23"/>
      <c r="V27" s="23"/>
    </row>
    <row r="28" spans="2:22" x14ac:dyDescent="0.2">
      <c r="B28" s="49">
        <v>0</v>
      </c>
      <c r="C28" s="52">
        <f t="shared" ref="C28:C48" si="2">_xlfn.BINOM.DIST(B28,$G$6,$G$7,1)</f>
        <v>9.765625E-4</v>
      </c>
      <c r="D28" s="51">
        <v>0</v>
      </c>
      <c r="E28" s="52">
        <f>_xlfn.BINOM.DIST(D28,$G$6,$G$7,)</f>
        <v>9.765625E-4</v>
      </c>
      <c r="G28" s="22"/>
      <c r="J28" s="47"/>
      <c r="V28" s="23"/>
    </row>
    <row r="29" spans="2:22" x14ac:dyDescent="0.2">
      <c r="B29" s="49">
        <v>0.999</v>
      </c>
      <c r="C29" s="52">
        <f t="shared" si="2"/>
        <v>9.765625E-4</v>
      </c>
      <c r="D29" s="51">
        <v>0</v>
      </c>
      <c r="E29" s="52">
        <v>0</v>
      </c>
      <c r="G29" s="22"/>
      <c r="J29" s="47"/>
    </row>
    <row r="30" spans="2:22" x14ac:dyDescent="0.2">
      <c r="B30" s="49">
        <v>1</v>
      </c>
      <c r="C30" s="52">
        <f t="shared" si="2"/>
        <v>1.0742187500000003E-2</v>
      </c>
      <c r="D30" s="51">
        <v>1</v>
      </c>
      <c r="E30" s="52">
        <f>_xlfn.BINOM.DIST(D30,$G$6,$G$7,)</f>
        <v>9.7656250000000017E-3</v>
      </c>
      <c r="G30" s="22"/>
      <c r="J30" s="47"/>
    </row>
    <row r="31" spans="2:22" x14ac:dyDescent="0.2">
      <c r="B31" s="49">
        <v>1.9990000000000001</v>
      </c>
      <c r="C31" s="52">
        <f t="shared" si="2"/>
        <v>1.0742187500000003E-2</v>
      </c>
      <c r="D31" s="51">
        <v>1</v>
      </c>
      <c r="E31" s="52">
        <v>0</v>
      </c>
      <c r="G31" s="22"/>
      <c r="J31" s="47"/>
    </row>
    <row r="32" spans="2:22" x14ac:dyDescent="0.2">
      <c r="B32" s="49">
        <v>2</v>
      </c>
      <c r="C32" s="52">
        <f t="shared" si="2"/>
        <v>5.46875E-2</v>
      </c>
      <c r="D32" s="51">
        <v>2</v>
      </c>
      <c r="E32" s="52">
        <f>_xlfn.BINOM.DIST(D32,$G$6,$G$7,)</f>
        <v>4.3945312499999972E-2</v>
      </c>
      <c r="G32" s="22"/>
      <c r="J32" s="47"/>
    </row>
    <row r="33" spans="2:30" x14ac:dyDescent="0.2">
      <c r="B33" s="49">
        <v>2.9990000000000001</v>
      </c>
      <c r="C33" s="52">
        <f t="shared" si="2"/>
        <v>5.46875E-2</v>
      </c>
      <c r="D33" s="51">
        <v>2</v>
      </c>
      <c r="E33" s="52">
        <v>0</v>
      </c>
      <c r="J33" s="44"/>
    </row>
    <row r="34" spans="2:30" x14ac:dyDescent="0.2">
      <c r="B34" s="49">
        <v>3</v>
      </c>
      <c r="C34" s="52">
        <f t="shared" si="2"/>
        <v>0.17187500000000006</v>
      </c>
      <c r="D34" s="51">
        <v>3</v>
      </c>
      <c r="E34" s="52">
        <f>_xlfn.BINOM.DIST(D34,$G$6,$G$7,)</f>
        <v>0.11718750000000003</v>
      </c>
      <c r="J34" s="44"/>
    </row>
    <row r="35" spans="2:30" x14ac:dyDescent="0.2">
      <c r="B35" s="49">
        <v>3.9990000000000001</v>
      </c>
      <c r="C35" s="52">
        <f t="shared" si="2"/>
        <v>0.17187500000000006</v>
      </c>
      <c r="D35" s="51">
        <v>3</v>
      </c>
      <c r="E35" s="52">
        <v>0</v>
      </c>
      <c r="J35" s="44"/>
    </row>
    <row r="36" spans="2:30" x14ac:dyDescent="0.2">
      <c r="B36" s="49">
        <v>4</v>
      </c>
      <c r="C36" s="52">
        <f t="shared" si="2"/>
        <v>0.376953125</v>
      </c>
      <c r="D36" s="51">
        <v>4</v>
      </c>
      <c r="E36" s="52">
        <f>_xlfn.BINOM.DIST(D36,$G$6,$G$7,)</f>
        <v>0.20507812500000006</v>
      </c>
      <c r="J36" s="44"/>
    </row>
    <row r="37" spans="2:30" x14ac:dyDescent="0.2">
      <c r="B37" s="49">
        <v>4.9989999999999997</v>
      </c>
      <c r="C37" s="52">
        <f t="shared" si="2"/>
        <v>0.376953125</v>
      </c>
      <c r="D37" s="51">
        <v>4</v>
      </c>
      <c r="E37" s="52">
        <v>0</v>
      </c>
      <c r="J37" s="44"/>
    </row>
    <row r="38" spans="2:30" x14ac:dyDescent="0.2">
      <c r="B38" s="49">
        <v>5</v>
      </c>
      <c r="C38" s="52">
        <f t="shared" si="2"/>
        <v>0.623046875</v>
      </c>
      <c r="D38" s="51">
        <v>5</v>
      </c>
      <c r="E38" s="52">
        <f>_xlfn.BINOM.DIST(D38,$G$6,$G$7,)</f>
        <v>0.24609375000000008</v>
      </c>
      <c r="J38" s="44"/>
    </row>
    <row r="39" spans="2:30" x14ac:dyDescent="0.2">
      <c r="B39" s="49">
        <v>5.9989999999999997</v>
      </c>
      <c r="C39" s="52">
        <f t="shared" si="2"/>
        <v>0.623046875</v>
      </c>
      <c r="D39" s="51">
        <v>5</v>
      </c>
      <c r="E39" s="52">
        <v>0</v>
      </c>
      <c r="J39" s="44"/>
    </row>
    <row r="40" spans="2:30" x14ac:dyDescent="0.2">
      <c r="B40" s="49">
        <v>6</v>
      </c>
      <c r="C40" s="52">
        <f t="shared" si="2"/>
        <v>0.828125</v>
      </c>
      <c r="D40" s="51">
        <v>6</v>
      </c>
      <c r="E40" s="52">
        <f>_xlfn.BINOM.DIST(D40,$G$6,$G$7,)</f>
        <v>0.20507812500000006</v>
      </c>
      <c r="J40" s="44"/>
    </row>
    <row r="41" spans="2:30" x14ac:dyDescent="0.2">
      <c r="B41" s="49">
        <v>6.9989999999999997</v>
      </c>
      <c r="C41" s="52">
        <f t="shared" si="2"/>
        <v>0.828125</v>
      </c>
      <c r="D41" s="51">
        <v>6</v>
      </c>
      <c r="E41" s="52">
        <v>0</v>
      </c>
      <c r="J41" s="44"/>
    </row>
    <row r="42" spans="2:30" x14ac:dyDescent="0.2">
      <c r="B42" s="49">
        <v>7</v>
      </c>
      <c r="C42" s="52">
        <f t="shared" si="2"/>
        <v>0.9453125</v>
      </c>
      <c r="D42" s="51">
        <v>7</v>
      </c>
      <c r="E42" s="52">
        <f>_xlfn.BINOM.DIST(D42,$G$6,$G$7,)</f>
        <v>0.11718750000000003</v>
      </c>
      <c r="J42" s="44"/>
    </row>
    <row r="43" spans="2:30" x14ac:dyDescent="0.2">
      <c r="B43" s="49">
        <v>7.9989999999999997</v>
      </c>
      <c r="C43" s="52">
        <f t="shared" si="2"/>
        <v>0.9453125</v>
      </c>
      <c r="D43" s="51">
        <v>7</v>
      </c>
      <c r="E43" s="52">
        <v>0</v>
      </c>
      <c r="J43" s="44"/>
    </row>
    <row r="44" spans="2:30" x14ac:dyDescent="0.2">
      <c r="B44" s="49">
        <v>8</v>
      </c>
      <c r="C44" s="52">
        <f t="shared" si="2"/>
        <v>0.9892578125</v>
      </c>
      <c r="D44" s="51">
        <v>8</v>
      </c>
      <c r="E44" s="52">
        <f>_xlfn.BINOM.DIST(D44,$G$6,$G$7,)</f>
        <v>4.3945312499999986E-2</v>
      </c>
      <c r="J44" s="44"/>
    </row>
    <row r="45" spans="2:30" x14ac:dyDescent="0.2">
      <c r="B45" s="49">
        <v>8.9990000000000006</v>
      </c>
      <c r="C45" s="52">
        <f t="shared" si="2"/>
        <v>0.9892578125</v>
      </c>
      <c r="D45" s="51">
        <v>8</v>
      </c>
      <c r="E45" s="52">
        <v>0</v>
      </c>
      <c r="J45" s="44"/>
      <c r="M45"/>
      <c r="N45"/>
      <c r="O45"/>
      <c r="P45"/>
      <c r="Q45"/>
      <c r="R45"/>
      <c r="S45"/>
      <c r="T45"/>
      <c r="U45"/>
      <c r="V45"/>
      <c r="W45"/>
      <c r="X45"/>
      <c r="Y45"/>
      <c r="Z45"/>
      <c r="AA45"/>
      <c r="AB45"/>
      <c r="AC45"/>
      <c r="AD45"/>
    </row>
    <row r="46" spans="2:30" x14ac:dyDescent="0.2">
      <c r="B46" s="49">
        <v>9</v>
      </c>
      <c r="C46" s="52">
        <f t="shared" si="2"/>
        <v>0.9990234375</v>
      </c>
      <c r="D46" s="51">
        <v>9</v>
      </c>
      <c r="E46" s="52">
        <f>_xlfn.BINOM.DIST(D46,$G$6,$G$7,)</f>
        <v>9.7656250000000017E-3</v>
      </c>
      <c r="J46" s="44"/>
      <c r="M46"/>
      <c r="R46"/>
      <c r="S46"/>
      <c r="T46"/>
      <c r="U46"/>
      <c r="V46"/>
      <c r="W46"/>
      <c r="X46"/>
      <c r="Y46"/>
      <c r="Z46"/>
      <c r="AA46"/>
      <c r="AB46"/>
      <c r="AC46"/>
      <c r="AD46"/>
    </row>
    <row r="47" spans="2:30" x14ac:dyDescent="0.2">
      <c r="B47" s="49">
        <v>9.99</v>
      </c>
      <c r="C47" s="52">
        <f t="shared" si="2"/>
        <v>0.9990234375</v>
      </c>
      <c r="D47" s="51">
        <v>9</v>
      </c>
      <c r="E47" s="52">
        <v>0</v>
      </c>
      <c r="J47" s="44"/>
      <c r="M47"/>
      <c r="R47"/>
      <c r="S47"/>
      <c r="T47"/>
      <c r="U47"/>
      <c r="V47"/>
      <c r="W47"/>
      <c r="X47"/>
      <c r="Y47"/>
      <c r="Z47"/>
      <c r="AA47"/>
      <c r="AB47"/>
      <c r="AC47"/>
      <c r="AD47"/>
    </row>
    <row r="48" spans="2:30" x14ac:dyDescent="0.2">
      <c r="B48" s="49">
        <v>10</v>
      </c>
      <c r="C48" s="52">
        <f t="shared" si="2"/>
        <v>1</v>
      </c>
      <c r="D48" s="51">
        <v>10</v>
      </c>
      <c r="E48" s="52">
        <f>_xlfn.BINOM.DIST(D48,$G$6,$G$7,)</f>
        <v>9.765625E-4</v>
      </c>
      <c r="J48" s="44"/>
      <c r="M48"/>
      <c r="R48"/>
      <c r="S48"/>
      <c r="T48"/>
      <c r="U48"/>
      <c r="V48"/>
      <c r="W48"/>
      <c r="X48"/>
      <c r="Y48"/>
      <c r="Z48"/>
      <c r="AA48"/>
      <c r="AB48"/>
      <c r="AC48"/>
      <c r="AD48"/>
    </row>
    <row r="49" spans="2:30" x14ac:dyDescent="0.2">
      <c r="B49" s="49"/>
      <c r="C49" s="52"/>
      <c r="D49" s="51">
        <v>10</v>
      </c>
      <c r="E49" s="52">
        <v>0</v>
      </c>
      <c r="J49" s="44"/>
      <c r="M49"/>
      <c r="R49"/>
      <c r="S49"/>
      <c r="T49"/>
      <c r="U49"/>
      <c r="V49"/>
      <c r="W49"/>
      <c r="X49"/>
      <c r="Y49"/>
      <c r="Z49"/>
      <c r="AA49"/>
      <c r="AB49"/>
      <c r="AC49"/>
      <c r="AD49"/>
    </row>
    <row r="50" spans="2:30" x14ac:dyDescent="0.2">
      <c r="B50" s="45"/>
      <c r="J50" s="44"/>
      <c r="M50"/>
      <c r="R50"/>
      <c r="S50"/>
      <c r="T50"/>
      <c r="U50"/>
      <c r="V50"/>
      <c r="W50"/>
      <c r="X50"/>
      <c r="Y50"/>
      <c r="Z50"/>
      <c r="AA50"/>
      <c r="AB50"/>
      <c r="AC50"/>
      <c r="AD50"/>
    </row>
    <row r="51" spans="2:30" x14ac:dyDescent="0.2">
      <c r="B51" s="53"/>
      <c r="C51" s="37"/>
      <c r="D51" s="37"/>
      <c r="E51" s="37"/>
      <c r="F51" s="37"/>
      <c r="G51" s="37"/>
      <c r="H51" s="37"/>
      <c r="I51" s="37"/>
      <c r="J51" s="54"/>
      <c r="K51" s="37"/>
      <c r="L51" s="37"/>
      <c r="M51"/>
      <c r="R51"/>
      <c r="S51"/>
      <c r="T51"/>
      <c r="U51"/>
      <c r="V51"/>
      <c r="W51"/>
      <c r="X51"/>
      <c r="Y51"/>
      <c r="Z51"/>
      <c r="AA51"/>
      <c r="AB51"/>
      <c r="AC51"/>
      <c r="AD51"/>
    </row>
    <row r="52" spans="2:30" x14ac:dyDescent="0.2">
      <c r="B52" s="55"/>
      <c r="C52" s="148">
        <v>1.9990000000000001</v>
      </c>
      <c r="D52" s="149">
        <f>BINOMDIST(C52,10,0.5,1)</f>
        <v>1.0742187500000003E-2</v>
      </c>
      <c r="E52" s="150"/>
      <c r="F52" s="150"/>
      <c r="G52" s="37"/>
      <c r="H52" s="37"/>
      <c r="I52" s="37"/>
      <c r="J52" s="54"/>
      <c r="K52" s="37"/>
      <c r="L52" s="37"/>
      <c r="M52"/>
      <c r="R52"/>
      <c r="S52"/>
      <c r="T52"/>
      <c r="U52"/>
      <c r="V52"/>
      <c r="W52"/>
      <c r="X52"/>
      <c r="Y52"/>
      <c r="Z52"/>
      <c r="AA52"/>
      <c r="AB52"/>
      <c r="AC52"/>
      <c r="AD52"/>
    </row>
    <row r="53" spans="2:30" x14ac:dyDescent="0.2">
      <c r="B53" s="56"/>
      <c r="C53" s="149">
        <v>2</v>
      </c>
      <c r="D53" s="149">
        <f t="shared" ref="D53:D69" si="3">BINOMDIST(C53,10,0.5,1)</f>
        <v>5.46875E-2</v>
      </c>
      <c r="E53" s="150">
        <v>2</v>
      </c>
      <c r="F53" s="149">
        <f>D52</f>
        <v>1.0742187500000003E-2</v>
      </c>
      <c r="G53" s="37"/>
      <c r="H53" s="37"/>
      <c r="I53" s="37"/>
      <c r="J53" s="54"/>
      <c r="K53" s="37"/>
      <c r="L53" s="37"/>
      <c r="M53"/>
      <c r="R53"/>
      <c r="S53"/>
      <c r="T53"/>
      <c r="U53"/>
      <c r="V53"/>
      <c r="W53"/>
      <c r="X53"/>
      <c r="Y53"/>
      <c r="Z53"/>
      <c r="AA53"/>
      <c r="AB53"/>
      <c r="AC53"/>
      <c r="AD53"/>
    </row>
    <row r="54" spans="2:30" x14ac:dyDescent="0.2">
      <c r="B54" s="56"/>
      <c r="C54" s="149">
        <v>2.9990000000000001</v>
      </c>
      <c r="D54" s="149">
        <f t="shared" si="3"/>
        <v>5.46875E-2</v>
      </c>
      <c r="E54" s="150">
        <v>2</v>
      </c>
      <c r="F54" s="149">
        <f>D53</f>
        <v>5.46875E-2</v>
      </c>
      <c r="G54" s="37"/>
      <c r="H54" s="37"/>
      <c r="I54" s="37"/>
      <c r="J54" s="54"/>
      <c r="K54" s="37"/>
      <c r="L54" s="37"/>
      <c r="M54"/>
      <c r="R54"/>
      <c r="S54"/>
      <c r="T54"/>
      <c r="U54"/>
      <c r="V54"/>
      <c r="W54"/>
      <c r="X54"/>
      <c r="Y54"/>
      <c r="Z54"/>
      <c r="AA54"/>
      <c r="AB54"/>
      <c r="AC54"/>
      <c r="AD54"/>
    </row>
    <row r="55" spans="2:30" x14ac:dyDescent="0.2">
      <c r="B55" s="56"/>
      <c r="C55" s="149">
        <v>3</v>
      </c>
      <c r="D55" s="149">
        <f t="shared" si="3"/>
        <v>0.17187500000000006</v>
      </c>
      <c r="E55" s="150">
        <v>3</v>
      </c>
      <c r="F55" s="149">
        <f>D54</f>
        <v>5.46875E-2</v>
      </c>
      <c r="G55" s="37"/>
      <c r="H55" s="37"/>
      <c r="I55" s="37"/>
      <c r="J55" s="54"/>
      <c r="K55" s="37"/>
      <c r="L55" s="37"/>
      <c r="M55"/>
      <c r="R55"/>
      <c r="S55"/>
      <c r="T55"/>
      <c r="U55"/>
      <c r="V55"/>
      <c r="W55"/>
      <c r="X55"/>
      <c r="Y55"/>
      <c r="Z55"/>
      <c r="AA55"/>
      <c r="AB55"/>
      <c r="AC55"/>
      <c r="AD55"/>
    </row>
    <row r="56" spans="2:30" x14ac:dyDescent="0.2">
      <c r="B56" s="56"/>
      <c r="C56" s="149">
        <v>3.9990000000000001</v>
      </c>
      <c r="D56" s="149">
        <f t="shared" si="3"/>
        <v>0.17187500000000006</v>
      </c>
      <c r="E56" s="150">
        <v>3</v>
      </c>
      <c r="F56" s="149">
        <f>D56</f>
        <v>0.17187500000000006</v>
      </c>
      <c r="G56" s="37"/>
      <c r="H56" s="37"/>
      <c r="I56" s="37"/>
      <c r="J56" s="54"/>
      <c r="K56" s="37"/>
      <c r="L56" s="37"/>
      <c r="M56"/>
      <c r="R56"/>
      <c r="S56"/>
      <c r="T56"/>
      <c r="U56"/>
      <c r="V56"/>
      <c r="W56"/>
      <c r="X56"/>
      <c r="Y56"/>
      <c r="Z56"/>
      <c r="AA56"/>
      <c r="AB56"/>
      <c r="AC56"/>
      <c r="AD56"/>
    </row>
    <row r="57" spans="2:30" x14ac:dyDescent="0.2">
      <c r="B57" s="56"/>
      <c r="C57" s="149">
        <v>4</v>
      </c>
      <c r="D57" s="149">
        <f t="shared" si="3"/>
        <v>0.376953125</v>
      </c>
      <c r="E57" s="150">
        <v>4</v>
      </c>
      <c r="F57" s="149">
        <f>D56</f>
        <v>0.17187500000000006</v>
      </c>
      <c r="G57" s="37"/>
      <c r="H57" s="37"/>
      <c r="I57" s="37"/>
      <c r="J57" s="54"/>
      <c r="K57" s="37"/>
      <c r="L57" s="37"/>
      <c r="M57"/>
      <c r="R57"/>
      <c r="S57"/>
      <c r="T57"/>
      <c r="U57"/>
      <c r="V57"/>
      <c r="W57"/>
      <c r="X57"/>
      <c r="Y57"/>
      <c r="Z57"/>
      <c r="AA57"/>
      <c r="AB57"/>
      <c r="AC57"/>
      <c r="AD57"/>
    </row>
    <row r="58" spans="2:30" x14ac:dyDescent="0.2">
      <c r="B58" s="56"/>
      <c r="C58" s="149">
        <v>4.9989999999999997</v>
      </c>
      <c r="D58" s="149">
        <f t="shared" si="3"/>
        <v>0.376953125</v>
      </c>
      <c r="E58" s="150">
        <v>4</v>
      </c>
      <c r="F58" s="149">
        <f>D58</f>
        <v>0.376953125</v>
      </c>
      <c r="G58" s="37"/>
      <c r="H58" s="37"/>
      <c r="I58" s="37"/>
      <c r="J58" s="54"/>
      <c r="K58" s="37"/>
      <c r="L58" s="37"/>
      <c r="M58"/>
      <c r="R58"/>
      <c r="S58"/>
      <c r="T58"/>
      <c r="U58"/>
      <c r="V58"/>
      <c r="W58"/>
      <c r="X58"/>
      <c r="Y58"/>
      <c r="Z58"/>
      <c r="AA58"/>
      <c r="AB58"/>
      <c r="AC58"/>
      <c r="AD58"/>
    </row>
    <row r="59" spans="2:30" x14ac:dyDescent="0.2">
      <c r="B59" s="56"/>
      <c r="C59" s="149">
        <v>5</v>
      </c>
      <c r="D59" s="149">
        <f t="shared" si="3"/>
        <v>0.623046875</v>
      </c>
      <c r="E59" s="150">
        <v>5</v>
      </c>
      <c r="F59" s="149">
        <v>0.377</v>
      </c>
      <c r="G59" s="37"/>
      <c r="H59" s="37"/>
      <c r="I59" s="37"/>
      <c r="J59" s="54"/>
      <c r="K59" s="37"/>
      <c r="L59" s="37"/>
      <c r="M59"/>
      <c r="R59"/>
      <c r="S59"/>
      <c r="T59"/>
      <c r="U59"/>
      <c r="V59"/>
      <c r="W59"/>
      <c r="X59"/>
      <c r="Y59"/>
      <c r="Z59"/>
      <c r="AA59"/>
      <c r="AB59"/>
      <c r="AC59"/>
      <c r="AD59"/>
    </row>
    <row r="60" spans="2:30" x14ac:dyDescent="0.2">
      <c r="B60" s="56"/>
      <c r="C60" s="149">
        <v>5.9989999999999997</v>
      </c>
      <c r="D60" s="149">
        <f t="shared" si="3"/>
        <v>0.623046875</v>
      </c>
      <c r="E60" s="150">
        <v>5</v>
      </c>
      <c r="F60" s="149">
        <v>0.623</v>
      </c>
      <c r="G60" s="37"/>
      <c r="H60" s="37"/>
      <c r="I60" s="37"/>
      <c r="J60" s="54"/>
      <c r="K60" s="37"/>
      <c r="L60" s="37"/>
      <c r="M60"/>
      <c r="R60"/>
      <c r="S60"/>
      <c r="T60"/>
      <c r="U60"/>
      <c r="V60"/>
      <c r="W60"/>
      <c r="X60"/>
      <c r="Y60"/>
      <c r="Z60"/>
      <c r="AA60"/>
      <c r="AB60"/>
      <c r="AC60"/>
      <c r="AD60"/>
    </row>
    <row r="61" spans="2:30" x14ac:dyDescent="0.2">
      <c r="B61" s="56"/>
      <c r="C61" s="149">
        <v>6</v>
      </c>
      <c r="D61" s="149">
        <f t="shared" si="3"/>
        <v>0.828125</v>
      </c>
      <c r="E61" s="150">
        <v>6</v>
      </c>
      <c r="F61" s="149">
        <f>F60</f>
        <v>0.623</v>
      </c>
      <c r="G61" s="37"/>
      <c r="H61" s="37"/>
      <c r="I61" s="37"/>
      <c r="J61" s="54"/>
      <c r="K61" s="37"/>
      <c r="L61" s="37"/>
      <c r="M61"/>
      <c r="R61"/>
      <c r="S61"/>
      <c r="T61"/>
      <c r="U61"/>
      <c r="V61"/>
      <c r="W61"/>
      <c r="X61"/>
      <c r="Y61"/>
      <c r="Z61"/>
      <c r="AA61"/>
      <c r="AB61"/>
      <c r="AC61"/>
      <c r="AD61"/>
    </row>
    <row r="62" spans="2:30" x14ac:dyDescent="0.2">
      <c r="B62" s="56"/>
      <c r="C62" s="149">
        <v>6.9989999999999997</v>
      </c>
      <c r="D62" s="149">
        <f t="shared" si="3"/>
        <v>0.828125</v>
      </c>
      <c r="E62" s="150">
        <v>6</v>
      </c>
      <c r="F62" s="149">
        <f>D62</f>
        <v>0.828125</v>
      </c>
      <c r="G62" s="37"/>
      <c r="H62" s="37"/>
      <c r="I62" s="37"/>
      <c r="J62" s="54"/>
      <c r="K62" s="37"/>
      <c r="L62" s="37"/>
      <c r="M62"/>
      <c r="R62"/>
      <c r="S62"/>
      <c r="T62"/>
      <c r="U62"/>
      <c r="V62"/>
      <c r="W62"/>
      <c r="X62"/>
      <c r="Y62"/>
      <c r="Z62"/>
      <c r="AA62"/>
      <c r="AB62"/>
      <c r="AC62"/>
      <c r="AD62"/>
    </row>
    <row r="63" spans="2:30" x14ac:dyDescent="0.2">
      <c r="B63" s="56"/>
      <c r="C63" s="149">
        <v>7</v>
      </c>
      <c r="D63" s="149">
        <f t="shared" si="3"/>
        <v>0.9453125</v>
      </c>
      <c r="E63" s="150">
        <v>7</v>
      </c>
      <c r="F63" s="149">
        <f>F62</f>
        <v>0.828125</v>
      </c>
      <c r="G63" s="37"/>
      <c r="H63" s="37"/>
      <c r="I63" s="37"/>
      <c r="J63" s="54"/>
      <c r="K63" s="37"/>
      <c r="L63" s="37"/>
      <c r="M63"/>
      <c r="R63"/>
      <c r="S63"/>
      <c r="T63"/>
      <c r="U63"/>
      <c r="V63"/>
      <c r="W63"/>
      <c r="X63"/>
      <c r="Y63"/>
      <c r="Z63"/>
      <c r="AA63"/>
      <c r="AB63"/>
      <c r="AC63"/>
      <c r="AD63"/>
    </row>
    <row r="64" spans="2:30" x14ac:dyDescent="0.2">
      <c r="B64" s="56"/>
      <c r="C64" s="149">
        <v>7.9989999999999997</v>
      </c>
      <c r="D64" s="149">
        <f t="shared" si="3"/>
        <v>0.9453125</v>
      </c>
      <c r="E64" s="150">
        <v>7</v>
      </c>
      <c r="F64" s="149">
        <f>D64</f>
        <v>0.9453125</v>
      </c>
      <c r="G64" s="37"/>
      <c r="H64" s="37"/>
      <c r="I64" s="37"/>
      <c r="J64" s="54"/>
      <c r="K64" s="37"/>
      <c r="L64" s="37"/>
      <c r="M64"/>
      <c r="R64"/>
      <c r="S64"/>
      <c r="T64"/>
      <c r="U64"/>
      <c r="V64"/>
      <c r="W64"/>
      <c r="X64"/>
      <c r="Y64"/>
      <c r="Z64"/>
      <c r="AA64"/>
      <c r="AB64"/>
      <c r="AC64"/>
      <c r="AD64"/>
    </row>
    <row r="65" spans="2:30" x14ac:dyDescent="0.2">
      <c r="B65" s="56"/>
      <c r="C65" s="149">
        <v>8</v>
      </c>
      <c r="D65" s="149">
        <f t="shared" si="3"/>
        <v>0.9892578125</v>
      </c>
      <c r="E65" s="150">
        <v>8</v>
      </c>
      <c r="F65" s="149">
        <f>F64</f>
        <v>0.9453125</v>
      </c>
      <c r="G65" s="37"/>
      <c r="H65" s="37"/>
      <c r="I65" s="37"/>
      <c r="J65" s="54"/>
      <c r="K65" s="37"/>
      <c r="L65" s="37"/>
      <c r="M65"/>
      <c r="N65"/>
      <c r="O65"/>
      <c r="P65"/>
      <c r="Q65"/>
      <c r="R65"/>
      <c r="S65"/>
      <c r="T65"/>
      <c r="U65"/>
      <c r="V65"/>
      <c r="W65"/>
      <c r="X65"/>
      <c r="Y65"/>
      <c r="Z65"/>
      <c r="AA65"/>
      <c r="AB65"/>
      <c r="AC65"/>
      <c r="AD65"/>
    </row>
    <row r="66" spans="2:30" x14ac:dyDescent="0.2">
      <c r="B66" s="56"/>
      <c r="C66" s="149">
        <v>8.9990000000000006</v>
      </c>
      <c r="D66" s="149">
        <f t="shared" si="3"/>
        <v>0.9892578125</v>
      </c>
      <c r="E66" s="150">
        <v>8</v>
      </c>
      <c r="F66" s="149">
        <f>D66</f>
        <v>0.9892578125</v>
      </c>
      <c r="G66" s="37"/>
      <c r="H66" s="37"/>
      <c r="I66" s="37"/>
      <c r="J66" s="54"/>
      <c r="K66" s="37"/>
      <c r="L66" s="37"/>
      <c r="M66"/>
      <c r="N66"/>
      <c r="O66"/>
      <c r="P66"/>
      <c r="Q66"/>
      <c r="R66"/>
      <c r="S66"/>
      <c r="T66"/>
      <c r="U66"/>
      <c r="V66"/>
      <c r="W66"/>
      <c r="X66"/>
      <c r="Y66"/>
      <c r="Z66"/>
      <c r="AA66"/>
      <c r="AB66"/>
      <c r="AC66"/>
      <c r="AD66"/>
    </row>
    <row r="67" spans="2:30" x14ac:dyDescent="0.2">
      <c r="B67" s="56"/>
      <c r="C67" s="149">
        <v>9</v>
      </c>
      <c r="D67" s="149">
        <f t="shared" si="3"/>
        <v>0.9990234375</v>
      </c>
      <c r="E67" s="150">
        <v>9</v>
      </c>
      <c r="F67" s="149">
        <f>F66</f>
        <v>0.9892578125</v>
      </c>
      <c r="G67" s="37"/>
      <c r="H67" s="37"/>
      <c r="I67" s="37"/>
      <c r="J67" s="54"/>
      <c r="K67" s="37"/>
      <c r="L67" s="37"/>
      <c r="M67"/>
      <c r="N67"/>
      <c r="O67"/>
      <c r="P67"/>
      <c r="Q67"/>
      <c r="R67"/>
      <c r="S67"/>
      <c r="T67"/>
      <c r="U67"/>
      <c r="V67"/>
      <c r="W67"/>
      <c r="X67"/>
      <c r="Y67"/>
      <c r="Z67"/>
      <c r="AA67"/>
      <c r="AB67"/>
      <c r="AC67"/>
      <c r="AD67"/>
    </row>
    <row r="68" spans="2:30" x14ac:dyDescent="0.2">
      <c r="B68" s="56"/>
      <c r="C68" s="149">
        <v>9.9990000000000006</v>
      </c>
      <c r="D68" s="149">
        <f t="shared" si="3"/>
        <v>0.9990234375</v>
      </c>
      <c r="E68" s="150">
        <v>9</v>
      </c>
      <c r="F68" s="149">
        <f>D68</f>
        <v>0.9990234375</v>
      </c>
      <c r="G68" s="37"/>
      <c r="H68" s="37"/>
      <c r="I68" s="37"/>
      <c r="J68" s="54"/>
      <c r="K68" s="37"/>
      <c r="L68" s="37"/>
      <c r="M68"/>
      <c r="N68"/>
      <c r="O68"/>
      <c r="P68"/>
      <c r="Q68"/>
      <c r="R68"/>
      <c r="S68"/>
      <c r="T68"/>
      <c r="U68"/>
      <c r="V68"/>
      <c r="W68"/>
      <c r="X68"/>
      <c r="Y68"/>
      <c r="Z68"/>
      <c r="AA68"/>
      <c r="AB68"/>
      <c r="AC68"/>
      <c r="AD68"/>
    </row>
    <row r="69" spans="2:30" x14ac:dyDescent="0.2">
      <c r="B69" s="56"/>
      <c r="C69" s="149">
        <v>10</v>
      </c>
      <c r="D69" s="149">
        <f t="shared" si="3"/>
        <v>1</v>
      </c>
      <c r="E69" s="150">
        <v>10</v>
      </c>
      <c r="F69" s="149">
        <f>F68</f>
        <v>0.9990234375</v>
      </c>
      <c r="G69" s="37"/>
      <c r="H69" s="37"/>
      <c r="I69" s="37"/>
      <c r="J69" s="54"/>
      <c r="K69" s="37"/>
      <c r="L69" s="37"/>
      <c r="M69"/>
      <c r="N69"/>
      <c r="O69"/>
      <c r="P69"/>
      <c r="Q69"/>
      <c r="R69"/>
      <c r="S69"/>
      <c r="T69"/>
      <c r="U69"/>
      <c r="V69"/>
      <c r="W69"/>
      <c r="X69"/>
      <c r="Y69"/>
      <c r="Z69"/>
      <c r="AA69"/>
      <c r="AB69"/>
      <c r="AC69"/>
      <c r="AD69"/>
    </row>
    <row r="70" spans="2:30" x14ac:dyDescent="0.2">
      <c r="B70" s="57"/>
      <c r="C70" s="150"/>
      <c r="D70" s="150"/>
      <c r="E70" s="150">
        <v>10</v>
      </c>
      <c r="F70" s="149">
        <f>D69</f>
        <v>1</v>
      </c>
      <c r="G70" s="37"/>
      <c r="H70" s="37"/>
      <c r="I70" s="37"/>
      <c r="J70" s="54"/>
      <c r="K70" s="37"/>
      <c r="L70" s="37"/>
      <c r="M70"/>
      <c r="N70"/>
      <c r="O70"/>
      <c r="P70"/>
      <c r="Q70"/>
      <c r="R70"/>
      <c r="S70"/>
      <c r="T70"/>
      <c r="U70"/>
      <c r="V70"/>
      <c r="W70"/>
      <c r="X70"/>
      <c r="Y70"/>
      <c r="Z70"/>
      <c r="AA70"/>
      <c r="AB70"/>
      <c r="AC70"/>
      <c r="AD70"/>
    </row>
    <row r="71" spans="2:30" x14ac:dyDescent="0.2">
      <c r="B71" s="53"/>
      <c r="C71" s="37"/>
      <c r="D71" s="37"/>
      <c r="E71" s="37"/>
      <c r="F71" s="37"/>
      <c r="G71" s="37"/>
      <c r="H71" s="37"/>
      <c r="I71" s="37"/>
      <c r="J71" s="54"/>
      <c r="K71" s="37"/>
      <c r="L71" s="37"/>
      <c r="M71" s="37"/>
      <c r="N71" s="37"/>
      <c r="O71" s="37"/>
    </row>
    <row r="72" spans="2:30" x14ac:dyDescent="0.2">
      <c r="B72" s="53"/>
      <c r="C72" s="37"/>
      <c r="D72" s="37"/>
      <c r="E72" s="37"/>
      <c r="F72" s="37"/>
      <c r="G72" s="37"/>
      <c r="H72" s="37"/>
      <c r="I72" s="37"/>
      <c r="J72" s="54"/>
      <c r="K72" s="37"/>
      <c r="L72" s="37"/>
      <c r="M72" s="37"/>
      <c r="N72" s="37"/>
      <c r="O72" s="37"/>
    </row>
    <row r="73" spans="2:30" ht="15.75" thickBot="1" x14ac:dyDescent="0.25">
      <c r="B73" s="58"/>
      <c r="C73" s="59"/>
      <c r="D73" s="59"/>
      <c r="E73" s="59"/>
      <c r="F73" s="59"/>
      <c r="G73" s="59"/>
      <c r="H73" s="59"/>
      <c r="I73" s="59"/>
      <c r="J73" s="60"/>
      <c r="K73" s="37"/>
      <c r="L73" s="37"/>
      <c r="M73" s="37"/>
      <c r="N73" s="37"/>
      <c r="O73" s="37"/>
    </row>
    <row r="74" spans="2:30" x14ac:dyDescent="0.2">
      <c r="B74" s="37"/>
      <c r="C74" s="37"/>
      <c r="D74" s="37"/>
      <c r="E74" s="37"/>
      <c r="F74" s="37"/>
      <c r="G74" s="37"/>
      <c r="H74" s="37"/>
      <c r="I74" s="37"/>
      <c r="J74" s="37"/>
      <c r="K74" s="37"/>
      <c r="L74" s="37"/>
      <c r="M74" s="37"/>
      <c r="N74" s="37"/>
      <c r="O74" s="37"/>
    </row>
    <row r="75" spans="2:30" x14ac:dyDescent="0.2">
      <c r="B75" s="37"/>
      <c r="C75" s="37"/>
      <c r="D75" s="37"/>
      <c r="E75" s="37"/>
      <c r="F75" s="37"/>
      <c r="G75" s="37"/>
      <c r="H75" s="37"/>
      <c r="I75" s="37"/>
      <c r="J75" s="37"/>
      <c r="K75" s="37"/>
      <c r="L75" s="37"/>
      <c r="M75" s="37"/>
      <c r="N75" s="37"/>
      <c r="O75" s="37"/>
    </row>
    <row r="76" spans="2:30" x14ac:dyDescent="0.2">
      <c r="B76" s="37"/>
      <c r="C76" s="37"/>
      <c r="D76" s="37"/>
      <c r="E76" s="37"/>
      <c r="F76" s="37"/>
      <c r="G76" s="37"/>
      <c r="H76" s="37"/>
      <c r="I76" s="37"/>
      <c r="J76" s="37"/>
      <c r="K76" s="37"/>
      <c r="L76" s="37"/>
      <c r="M76" s="37"/>
      <c r="N76" s="37"/>
      <c r="O76" s="37"/>
    </row>
  </sheetData>
  <mergeCells count="1">
    <mergeCell ref="E5:G5"/>
  </mergeCells>
  <phoneticPr fontId="4"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15"/>
  <sheetViews>
    <sheetView topLeftCell="A89" zoomScale="85" zoomScaleNormal="85" workbookViewId="0">
      <selection activeCell="I115" sqref="I115"/>
    </sheetView>
  </sheetViews>
  <sheetFormatPr baseColWidth="10" defaultColWidth="10.85546875" defaultRowHeight="15" x14ac:dyDescent="0.2"/>
  <cols>
    <col min="1" max="1" width="10.7109375" style="22" customWidth="1"/>
    <col min="2" max="10" width="11.42578125" style="22" customWidth="1"/>
    <col min="11" max="11" width="5.5703125" style="22" customWidth="1"/>
    <col min="12" max="14" width="10.7109375" style="22" customWidth="1"/>
    <col min="15" max="16384" width="10.85546875" style="22"/>
  </cols>
  <sheetData>
    <row r="2" spans="2:10" ht="20.25" x14ac:dyDescent="0.3">
      <c r="B2" s="71" t="s">
        <v>49</v>
      </c>
      <c r="C2" s="27"/>
      <c r="D2" s="27"/>
    </row>
    <row r="4" spans="2:10" ht="18.75" thickBot="1" x14ac:dyDescent="0.3">
      <c r="B4" s="85" t="s">
        <v>72</v>
      </c>
      <c r="C4" s="27"/>
      <c r="D4" s="27"/>
    </row>
    <row r="5" spans="2:10" ht="15.75" x14ac:dyDescent="0.25">
      <c r="B5" s="72" t="s">
        <v>64</v>
      </c>
      <c r="C5" s="73"/>
      <c r="D5" s="73"/>
      <c r="E5" s="73"/>
      <c r="F5" s="73"/>
      <c r="G5" s="73"/>
      <c r="H5" s="73"/>
      <c r="I5" s="73"/>
      <c r="J5" s="79"/>
    </row>
    <row r="6" spans="2:10" ht="19.5" x14ac:dyDescent="0.2">
      <c r="B6" s="184" t="s">
        <v>65</v>
      </c>
      <c r="C6" s="185"/>
      <c r="D6" s="185"/>
      <c r="E6" s="185"/>
      <c r="F6" s="185"/>
      <c r="G6" s="185"/>
      <c r="H6" s="185"/>
      <c r="I6" s="185"/>
      <c r="J6" s="186"/>
    </row>
    <row r="7" spans="2:10" x14ac:dyDescent="0.2">
      <c r="B7" s="62"/>
      <c r="J7" s="47"/>
    </row>
    <row r="8" spans="2:10" ht="15.75" x14ac:dyDescent="0.25">
      <c r="B8" s="80" t="s">
        <v>66</v>
      </c>
      <c r="C8" s="27"/>
      <c r="D8" s="27"/>
      <c r="E8" s="27"/>
      <c r="F8" s="27"/>
      <c r="G8" s="27"/>
      <c r="H8" s="27"/>
      <c r="I8" s="27"/>
      <c r="J8" s="81"/>
    </row>
    <row r="9" spans="2:10" x14ac:dyDescent="0.2">
      <c r="B9" s="62"/>
      <c r="C9" s="74" t="s">
        <v>4</v>
      </c>
      <c r="D9" s="64">
        <v>10</v>
      </c>
      <c r="J9" s="47"/>
    </row>
    <row r="10" spans="2:10" x14ac:dyDescent="0.2">
      <c r="B10" s="62"/>
      <c r="C10" s="74" t="s">
        <v>5</v>
      </c>
      <c r="D10" s="64">
        <v>0.4</v>
      </c>
      <c r="F10" s="64"/>
      <c r="J10" s="47"/>
    </row>
    <row r="11" spans="2:10" ht="15.75" thickBot="1" x14ac:dyDescent="0.25">
      <c r="B11" s="62"/>
      <c r="J11" s="47"/>
    </row>
    <row r="12" spans="2:10" ht="16.5" thickBot="1" x14ac:dyDescent="0.3">
      <c r="B12" s="62"/>
      <c r="C12" s="187" t="s">
        <v>1</v>
      </c>
      <c r="D12" s="188"/>
      <c r="E12" s="193" t="s">
        <v>2</v>
      </c>
      <c r="F12" s="194"/>
      <c r="G12" s="195"/>
      <c r="J12" s="47"/>
    </row>
    <row r="13" spans="2:10" ht="15.75" x14ac:dyDescent="0.25">
      <c r="B13" s="62"/>
      <c r="C13" s="189">
        <v>0</v>
      </c>
      <c r="D13" s="190"/>
      <c r="E13" s="196" t="s">
        <v>67</v>
      </c>
      <c r="F13" s="196"/>
      <c r="G13" s="197"/>
      <c r="I13" s="76" t="s">
        <v>6</v>
      </c>
      <c r="J13" s="82"/>
    </row>
    <row r="14" spans="2:10" ht="15.4" customHeight="1" x14ac:dyDescent="0.2">
      <c r="B14" s="62"/>
      <c r="C14" s="191">
        <v>1</v>
      </c>
      <c r="D14" s="192"/>
      <c r="E14" s="198" t="s">
        <v>68</v>
      </c>
      <c r="F14" s="198"/>
      <c r="G14" s="199"/>
      <c r="I14" s="168" t="s">
        <v>8</v>
      </c>
      <c r="J14" s="169"/>
    </row>
    <row r="15" spans="2:10" x14ac:dyDescent="0.2">
      <c r="B15" s="62"/>
      <c r="C15" s="191">
        <v>2</v>
      </c>
      <c r="D15" s="192"/>
      <c r="E15" s="198" t="s">
        <v>69</v>
      </c>
      <c r="F15" s="198"/>
      <c r="G15" s="199"/>
      <c r="I15" s="168"/>
      <c r="J15" s="169"/>
    </row>
    <row r="16" spans="2:10" x14ac:dyDescent="0.2">
      <c r="B16" s="62"/>
      <c r="C16" s="201" t="s">
        <v>3</v>
      </c>
      <c r="D16" s="202"/>
      <c r="E16" s="192" t="s">
        <v>3</v>
      </c>
      <c r="F16" s="192"/>
      <c r="G16" s="200"/>
      <c r="I16" s="168"/>
      <c r="J16" s="169"/>
    </row>
    <row r="17" spans="2:10" x14ac:dyDescent="0.2">
      <c r="B17" s="62"/>
      <c r="C17" s="191">
        <v>8</v>
      </c>
      <c r="D17" s="192"/>
      <c r="E17" s="198" t="s">
        <v>70</v>
      </c>
      <c r="F17" s="198"/>
      <c r="G17" s="199"/>
      <c r="I17" s="168"/>
      <c r="J17" s="169"/>
    </row>
    <row r="18" spans="2:10" x14ac:dyDescent="0.2">
      <c r="B18" s="62"/>
      <c r="C18" s="191" t="s">
        <v>3</v>
      </c>
      <c r="D18" s="192"/>
      <c r="E18" s="192" t="s">
        <v>3</v>
      </c>
      <c r="F18" s="192"/>
      <c r="G18" s="200"/>
      <c r="I18" s="168"/>
      <c r="J18" s="169"/>
    </row>
    <row r="19" spans="2:10" ht="15.75" thickBot="1" x14ac:dyDescent="0.25">
      <c r="B19" s="62"/>
      <c r="C19" s="214">
        <v>10</v>
      </c>
      <c r="D19" s="215"/>
      <c r="E19" s="212" t="s">
        <v>71</v>
      </c>
      <c r="F19" s="212"/>
      <c r="G19" s="213"/>
      <c r="J19" s="47"/>
    </row>
    <row r="20" spans="2:10" x14ac:dyDescent="0.2">
      <c r="B20" s="62"/>
      <c r="J20" s="47"/>
    </row>
    <row r="21" spans="2:10" ht="15.75" thickBot="1" x14ac:dyDescent="0.25">
      <c r="B21" s="62"/>
      <c r="J21" s="47"/>
    </row>
    <row r="22" spans="2:10" ht="14.65" customHeight="1" thickBot="1" x14ac:dyDescent="0.3">
      <c r="B22" s="62"/>
      <c r="C22" s="203" t="s">
        <v>1</v>
      </c>
      <c r="D22" s="204"/>
      <c r="E22" s="205" t="s">
        <v>7</v>
      </c>
      <c r="F22" s="206"/>
      <c r="G22" s="207"/>
      <c r="J22" s="47"/>
    </row>
    <row r="23" spans="2:10" ht="15.75" x14ac:dyDescent="0.25">
      <c r="B23" s="62"/>
      <c r="C23" s="208">
        <v>0</v>
      </c>
      <c r="D23" s="209"/>
      <c r="E23" s="210" t="s">
        <v>101</v>
      </c>
      <c r="F23" s="210"/>
      <c r="G23" s="211"/>
      <c r="I23" s="78" t="s">
        <v>6</v>
      </c>
      <c r="J23" s="83"/>
    </row>
    <row r="24" spans="2:10" ht="15.4" customHeight="1" x14ac:dyDescent="0.2">
      <c r="B24" s="62"/>
      <c r="C24" s="173">
        <v>1</v>
      </c>
      <c r="D24" s="174"/>
      <c r="E24" s="175" t="s">
        <v>102</v>
      </c>
      <c r="F24" s="175"/>
      <c r="G24" s="176"/>
      <c r="I24" s="168" t="s">
        <v>9</v>
      </c>
      <c r="J24" s="169"/>
    </row>
    <row r="25" spans="2:10" x14ac:dyDescent="0.2">
      <c r="B25" s="62"/>
      <c r="C25" s="173">
        <v>2</v>
      </c>
      <c r="D25" s="174"/>
      <c r="E25" s="175" t="s">
        <v>103</v>
      </c>
      <c r="F25" s="175"/>
      <c r="G25" s="176"/>
      <c r="I25" s="168"/>
      <c r="J25" s="169"/>
    </row>
    <row r="26" spans="2:10" x14ac:dyDescent="0.2">
      <c r="B26" s="62"/>
      <c r="C26" s="182" t="s">
        <v>3</v>
      </c>
      <c r="D26" s="183"/>
      <c r="E26" s="174" t="s">
        <v>3</v>
      </c>
      <c r="F26" s="174"/>
      <c r="G26" s="177"/>
      <c r="I26" s="168"/>
      <c r="J26" s="169"/>
    </row>
    <row r="27" spans="2:10" x14ac:dyDescent="0.2">
      <c r="B27" s="62"/>
      <c r="C27" s="173">
        <v>8</v>
      </c>
      <c r="D27" s="174"/>
      <c r="E27" s="175" t="s">
        <v>104</v>
      </c>
      <c r="F27" s="175"/>
      <c r="G27" s="176"/>
      <c r="I27" s="168"/>
      <c r="J27" s="169"/>
    </row>
    <row r="28" spans="2:10" x14ac:dyDescent="0.2">
      <c r="B28" s="62"/>
      <c r="C28" s="173" t="s">
        <v>3</v>
      </c>
      <c r="D28" s="174"/>
      <c r="E28" s="174" t="s">
        <v>3</v>
      </c>
      <c r="F28" s="174"/>
      <c r="G28" s="177"/>
      <c r="I28" s="168"/>
      <c r="J28" s="169"/>
    </row>
    <row r="29" spans="2:10" ht="15.75" thickBot="1" x14ac:dyDescent="0.25">
      <c r="B29" s="62"/>
      <c r="C29" s="178">
        <v>10</v>
      </c>
      <c r="D29" s="179"/>
      <c r="E29" s="180" t="s">
        <v>105</v>
      </c>
      <c r="F29" s="180"/>
      <c r="G29" s="181"/>
      <c r="J29" s="47"/>
    </row>
    <row r="30" spans="2:10" ht="15.75" thickBot="1" x14ac:dyDescent="0.25">
      <c r="B30" s="65"/>
      <c r="C30" s="84"/>
      <c r="D30" s="66"/>
      <c r="E30" s="66"/>
      <c r="F30" s="66"/>
      <c r="G30" s="66"/>
      <c r="H30" s="66"/>
      <c r="I30" s="66"/>
      <c r="J30" s="67"/>
    </row>
    <row r="31" spans="2:10" x14ac:dyDescent="0.2">
      <c r="D31" s="77"/>
    </row>
    <row r="32" spans="2:10" x14ac:dyDescent="0.2">
      <c r="C32" s="74"/>
    </row>
    <row r="33" spans="2:10" ht="18.75" thickBot="1" x14ac:dyDescent="0.3">
      <c r="B33" s="85" t="s">
        <v>73</v>
      </c>
      <c r="C33" s="27"/>
      <c r="D33" s="27"/>
    </row>
    <row r="34" spans="2:10" ht="15.75" x14ac:dyDescent="0.25">
      <c r="B34" s="87" t="s">
        <v>74</v>
      </c>
      <c r="C34" s="88"/>
      <c r="D34" s="88"/>
      <c r="E34" s="88"/>
      <c r="F34" s="88"/>
      <c r="G34" s="88"/>
      <c r="H34" s="88"/>
      <c r="I34" s="88"/>
      <c r="J34" s="89"/>
    </row>
    <row r="35" spans="2:10" ht="15.75" x14ac:dyDescent="0.25">
      <c r="B35" s="90" t="s">
        <v>91</v>
      </c>
      <c r="C35" s="91"/>
      <c r="D35" s="91"/>
      <c r="E35" s="91"/>
      <c r="F35" s="91"/>
      <c r="G35" s="91"/>
      <c r="H35" s="91"/>
      <c r="I35" s="91"/>
      <c r="J35" s="92"/>
    </row>
    <row r="36" spans="2:10" ht="15.75" thickBot="1" x14ac:dyDescent="0.25">
      <c r="B36" s="62"/>
      <c r="J36" s="47"/>
    </row>
    <row r="37" spans="2:10" ht="16.5" thickBot="1" x14ac:dyDescent="0.3">
      <c r="B37" s="62"/>
      <c r="C37" s="93" t="s">
        <v>0</v>
      </c>
      <c r="D37" s="95" t="s">
        <v>10</v>
      </c>
      <c r="J37" s="47"/>
    </row>
    <row r="38" spans="2:10" ht="15.75" thickBot="1" x14ac:dyDescent="0.25">
      <c r="B38" s="62"/>
      <c r="C38" s="96">
        <v>0</v>
      </c>
      <c r="D38" s="136">
        <f>_xlfn.BINOM.DIST(C38,6,0.8,FALSE)</f>
        <v>6.3999999999999956E-5</v>
      </c>
      <c r="F38" s="22" t="s">
        <v>16</v>
      </c>
      <c r="J38" s="47"/>
    </row>
    <row r="39" spans="2:10" ht="15.75" thickBot="1" x14ac:dyDescent="0.25">
      <c r="B39" s="62"/>
      <c r="C39" s="105">
        <v>1</v>
      </c>
      <c r="D39" s="136">
        <f t="shared" ref="D39:D44" si="0">_xlfn.BINOM.DIST(C39,6,0.8,FALSE)</f>
        <v>1.5359999999999961E-3</v>
      </c>
      <c r="F39" s="99">
        <f>D44</f>
        <v>0.2621440000000001</v>
      </c>
      <c r="J39" s="47"/>
    </row>
    <row r="40" spans="2:10" ht="15.75" thickBot="1" x14ac:dyDescent="0.25">
      <c r="B40" s="62"/>
      <c r="C40" s="105">
        <v>2</v>
      </c>
      <c r="D40" s="136">
        <f t="shared" si="0"/>
        <v>1.535999999999999E-2</v>
      </c>
      <c r="J40" s="47"/>
    </row>
    <row r="41" spans="2:10" ht="15.75" thickBot="1" x14ac:dyDescent="0.25">
      <c r="B41" s="62"/>
      <c r="C41" s="105">
        <v>3</v>
      </c>
      <c r="D41" s="136">
        <f t="shared" si="0"/>
        <v>8.1919999999999951E-2</v>
      </c>
      <c r="J41" s="47"/>
    </row>
    <row r="42" spans="2:10" ht="15.75" thickBot="1" x14ac:dyDescent="0.25">
      <c r="B42" s="62"/>
      <c r="C42" s="105">
        <v>4</v>
      </c>
      <c r="D42" s="136">
        <f t="shared" si="0"/>
        <v>0.24575999999999998</v>
      </c>
      <c r="J42" s="47"/>
    </row>
    <row r="43" spans="2:10" ht="15.75" thickBot="1" x14ac:dyDescent="0.25">
      <c r="B43" s="62"/>
      <c r="C43" s="105">
        <v>5</v>
      </c>
      <c r="D43" s="136">
        <f t="shared" si="0"/>
        <v>0.39321600000000007</v>
      </c>
      <c r="J43" s="47"/>
    </row>
    <row r="44" spans="2:10" ht="15.75" thickBot="1" x14ac:dyDescent="0.25">
      <c r="B44" s="62"/>
      <c r="C44" s="98">
        <v>6</v>
      </c>
      <c r="D44" s="136">
        <f t="shared" si="0"/>
        <v>0.2621440000000001</v>
      </c>
      <c r="J44" s="47"/>
    </row>
    <row r="45" spans="2:10" x14ac:dyDescent="0.2">
      <c r="B45" s="170" t="s">
        <v>75</v>
      </c>
      <c r="C45" s="171"/>
      <c r="D45" s="151">
        <f>SUM(D38:D44)</f>
        <v>1.0000000000000002</v>
      </c>
      <c r="J45" s="47"/>
    </row>
    <row r="46" spans="2:10" x14ac:dyDescent="0.2">
      <c r="B46" s="62"/>
      <c r="J46" s="47"/>
    </row>
    <row r="47" spans="2:10" x14ac:dyDescent="0.2">
      <c r="B47" s="62"/>
      <c r="J47" s="47"/>
    </row>
    <row r="48" spans="2:10" ht="15.75" x14ac:dyDescent="0.25">
      <c r="B48" s="101" t="s">
        <v>76</v>
      </c>
      <c r="C48" s="102"/>
      <c r="D48" s="102"/>
      <c r="E48" s="102"/>
      <c r="F48" s="102"/>
      <c r="G48" s="102"/>
      <c r="H48" s="102"/>
      <c r="I48" s="102"/>
      <c r="J48" s="103"/>
    </row>
    <row r="49" spans="2:10" ht="15.75" x14ac:dyDescent="0.25">
      <c r="B49" s="104" t="s">
        <v>92</v>
      </c>
      <c r="C49" s="91"/>
      <c r="D49" s="91"/>
      <c r="E49" s="91"/>
      <c r="F49" s="91"/>
      <c r="G49" s="91"/>
      <c r="H49" s="91"/>
      <c r="I49" s="91"/>
      <c r="J49" s="92"/>
    </row>
    <row r="50" spans="2:10" ht="15.75" thickBot="1" x14ac:dyDescent="0.25">
      <c r="B50" s="62"/>
      <c r="J50" s="47"/>
    </row>
    <row r="51" spans="2:10" ht="16.5" thickBot="1" x14ac:dyDescent="0.3">
      <c r="B51" s="62"/>
      <c r="C51" s="95" t="s">
        <v>19</v>
      </c>
      <c r="D51" s="94" t="s">
        <v>20</v>
      </c>
      <c r="J51" s="47"/>
    </row>
    <row r="52" spans="2:10" ht="15.75" thickBot="1" x14ac:dyDescent="0.25">
      <c r="B52" s="62"/>
      <c r="C52" s="96">
        <v>0</v>
      </c>
      <c r="D52" s="136">
        <f>_xlfn.BINOM.DIST(C52,4,0.65,FALSE)</f>
        <v>1.500624999999999E-2</v>
      </c>
      <c r="J52" s="47"/>
    </row>
    <row r="53" spans="2:10" ht="15.75" thickBot="1" x14ac:dyDescent="0.25">
      <c r="B53" s="62"/>
      <c r="C53" s="105">
        <v>1</v>
      </c>
      <c r="D53" s="136">
        <f t="shared" ref="D53:D56" si="1">_xlfn.BINOM.DIST(C53,4,0.65,FALSE)</f>
        <v>0.11147500000000002</v>
      </c>
      <c r="J53" s="47"/>
    </row>
    <row r="54" spans="2:10" ht="15.75" thickBot="1" x14ac:dyDescent="0.25">
      <c r="B54" s="62"/>
      <c r="C54" s="105">
        <v>2</v>
      </c>
      <c r="D54" s="136">
        <f t="shared" si="1"/>
        <v>0.31053749999999997</v>
      </c>
      <c r="J54" s="47"/>
    </row>
    <row r="55" spans="2:10" ht="15.75" thickBot="1" x14ac:dyDescent="0.25">
      <c r="B55" s="62"/>
      <c r="C55" s="105">
        <v>3</v>
      </c>
      <c r="D55" s="136">
        <f t="shared" si="1"/>
        <v>0.38447500000000001</v>
      </c>
      <c r="J55" s="47"/>
    </row>
    <row r="56" spans="2:10" ht="15.75" thickBot="1" x14ac:dyDescent="0.25">
      <c r="B56" s="62"/>
      <c r="C56" s="98">
        <v>4</v>
      </c>
      <c r="D56" s="136">
        <f t="shared" si="1"/>
        <v>0.17850625000000003</v>
      </c>
      <c r="J56" s="47"/>
    </row>
    <row r="57" spans="2:10" x14ac:dyDescent="0.2">
      <c r="B57" s="170" t="s">
        <v>75</v>
      </c>
      <c r="C57" s="172"/>
      <c r="D57" s="151">
        <f>SUM(D52:D56)</f>
        <v>1</v>
      </c>
      <c r="J57" s="47"/>
    </row>
    <row r="58" spans="2:10" x14ac:dyDescent="0.2">
      <c r="B58" s="62"/>
      <c r="J58" s="47"/>
    </row>
    <row r="59" spans="2:10" x14ac:dyDescent="0.2">
      <c r="B59" s="62"/>
      <c r="J59" s="47"/>
    </row>
    <row r="60" spans="2:10" ht="15.75" x14ac:dyDescent="0.25">
      <c r="B60" s="101" t="s">
        <v>77</v>
      </c>
      <c r="C60" s="102"/>
      <c r="D60" s="102"/>
      <c r="E60" s="102"/>
      <c r="F60" s="102"/>
      <c r="G60" s="102"/>
      <c r="H60" s="102"/>
      <c r="I60" s="102"/>
      <c r="J60" s="103"/>
    </row>
    <row r="61" spans="2:10" ht="15.75" x14ac:dyDescent="0.25">
      <c r="B61" s="90" t="s">
        <v>93</v>
      </c>
      <c r="C61" s="91"/>
      <c r="D61" s="91"/>
      <c r="E61" s="91"/>
      <c r="F61" s="91"/>
      <c r="G61" s="91"/>
      <c r="H61" s="91"/>
      <c r="I61" s="91"/>
      <c r="J61" s="92"/>
    </row>
    <row r="62" spans="2:10" ht="15.75" thickBot="1" x14ac:dyDescent="0.25">
      <c r="B62" s="86"/>
      <c r="J62" s="47"/>
    </row>
    <row r="63" spans="2:10" ht="16.5" thickBot="1" x14ac:dyDescent="0.3">
      <c r="B63" s="62"/>
      <c r="C63" s="93" t="s">
        <v>17</v>
      </c>
      <c r="D63" s="95" t="s">
        <v>18</v>
      </c>
      <c r="J63" s="47"/>
    </row>
    <row r="64" spans="2:10" ht="15.75" thickBot="1" x14ac:dyDescent="0.25">
      <c r="B64" s="62"/>
      <c r="C64" s="97">
        <v>0</v>
      </c>
      <c r="D64" s="136">
        <f>_xlfn.BINOM.DIST(C64,8,0.5,TRUE)</f>
        <v>3.9062500000000009E-3</v>
      </c>
      <c r="F64" s="22" t="s">
        <v>15</v>
      </c>
      <c r="J64" s="47"/>
    </row>
    <row r="65" spans="2:10" ht="15.75" thickBot="1" x14ac:dyDescent="0.25">
      <c r="B65" s="62"/>
      <c r="C65" s="97">
        <v>1</v>
      </c>
      <c r="D65" s="136">
        <f t="shared" ref="D65:D72" si="2">_xlfn.BINOM.DIST(C65,8,0.5,TRUE)</f>
        <v>3.5156250000000007E-2</v>
      </c>
      <c r="F65" s="99">
        <f>D67</f>
        <v>0.36328125</v>
      </c>
      <c r="J65" s="47"/>
    </row>
    <row r="66" spans="2:10" ht="15.75" thickBot="1" x14ac:dyDescent="0.25">
      <c r="B66" s="62"/>
      <c r="C66" s="97">
        <v>2</v>
      </c>
      <c r="D66" s="136">
        <f t="shared" si="2"/>
        <v>0.14453125</v>
      </c>
      <c r="J66" s="47"/>
    </row>
    <row r="67" spans="2:10" ht="15.75" thickBot="1" x14ac:dyDescent="0.25">
      <c r="B67" s="62"/>
      <c r="C67" s="97">
        <v>3</v>
      </c>
      <c r="D67" s="136">
        <f t="shared" si="2"/>
        <v>0.36328125</v>
      </c>
      <c r="J67" s="47"/>
    </row>
    <row r="68" spans="2:10" ht="15.75" thickBot="1" x14ac:dyDescent="0.25">
      <c r="B68" s="62"/>
      <c r="C68" s="97">
        <v>4</v>
      </c>
      <c r="D68" s="136">
        <f t="shared" si="2"/>
        <v>0.63671875</v>
      </c>
      <c r="J68" s="47"/>
    </row>
    <row r="69" spans="2:10" ht="15.75" thickBot="1" x14ac:dyDescent="0.25">
      <c r="B69" s="62"/>
      <c r="C69" s="97">
        <v>5</v>
      </c>
      <c r="D69" s="136">
        <f t="shared" si="2"/>
        <v>0.85546875</v>
      </c>
      <c r="J69" s="47"/>
    </row>
    <row r="70" spans="2:10" ht="15.75" thickBot="1" x14ac:dyDescent="0.25">
      <c r="B70" s="62"/>
      <c r="C70" s="97">
        <v>6</v>
      </c>
      <c r="D70" s="136">
        <f t="shared" si="2"/>
        <v>0.96484375</v>
      </c>
      <c r="J70" s="47"/>
    </row>
    <row r="71" spans="2:10" ht="15.75" thickBot="1" x14ac:dyDescent="0.25">
      <c r="B71" s="62"/>
      <c r="C71" s="97">
        <v>7</v>
      </c>
      <c r="D71" s="136">
        <f t="shared" si="2"/>
        <v>0.99609375</v>
      </c>
      <c r="J71" s="47"/>
    </row>
    <row r="72" spans="2:10" x14ac:dyDescent="0.2">
      <c r="B72" s="62"/>
      <c r="C72" s="25">
        <v>8</v>
      </c>
      <c r="D72" s="136">
        <f t="shared" si="2"/>
        <v>1</v>
      </c>
      <c r="J72" s="47"/>
    </row>
    <row r="73" spans="2:10" x14ac:dyDescent="0.2">
      <c r="B73" s="62"/>
      <c r="C73" s="21"/>
      <c r="J73" s="47"/>
    </row>
    <row r="74" spans="2:10" x14ac:dyDescent="0.2">
      <c r="B74" s="62"/>
      <c r="J74" s="47"/>
    </row>
    <row r="75" spans="2:10" ht="15.75" x14ac:dyDescent="0.25">
      <c r="B75" s="101" t="s">
        <v>78</v>
      </c>
      <c r="C75" s="108"/>
      <c r="D75" s="108"/>
      <c r="E75" s="108"/>
      <c r="F75" s="108"/>
      <c r="G75" s="108"/>
      <c r="H75" s="108"/>
      <c r="I75" s="108"/>
      <c r="J75" s="109"/>
    </row>
    <row r="76" spans="2:10" ht="31.15" customHeight="1" x14ac:dyDescent="0.2">
      <c r="B76" s="161" t="s">
        <v>94</v>
      </c>
      <c r="C76" s="162"/>
      <c r="D76" s="162"/>
      <c r="E76" s="162"/>
      <c r="F76" s="162"/>
      <c r="G76" s="162"/>
      <c r="H76" s="162"/>
      <c r="I76" s="162"/>
      <c r="J76" s="163"/>
    </row>
    <row r="77" spans="2:10" ht="15.75" thickBot="1" x14ac:dyDescent="0.25">
      <c r="B77" s="62"/>
      <c r="J77" s="47"/>
    </row>
    <row r="78" spans="2:10" ht="16.5" thickBot="1" x14ac:dyDescent="0.3">
      <c r="B78" s="62"/>
      <c r="C78" s="110" t="s">
        <v>13</v>
      </c>
      <c r="D78" s="111"/>
      <c r="F78" s="110" t="s">
        <v>14</v>
      </c>
      <c r="G78" s="112"/>
      <c r="H78" s="111"/>
      <c r="J78" s="47"/>
    </row>
    <row r="79" spans="2:10" ht="15.75" x14ac:dyDescent="0.25">
      <c r="B79" s="62"/>
      <c r="C79" s="106" t="s">
        <v>0</v>
      </c>
      <c r="D79" s="121" t="s">
        <v>12</v>
      </c>
      <c r="F79" s="106" t="s">
        <v>0</v>
      </c>
      <c r="G79" s="117" t="s">
        <v>10</v>
      </c>
      <c r="H79" s="121" t="s">
        <v>12</v>
      </c>
      <c r="J79" s="47"/>
    </row>
    <row r="80" spans="2:10" x14ac:dyDescent="0.2">
      <c r="B80" s="62"/>
      <c r="C80" s="45">
        <v>0</v>
      </c>
      <c r="D80" s="44">
        <f>_xlfn.BINOM.DIST(C80,4,0.47,TRUE)</f>
        <v>7.8904810000000006E-2</v>
      </c>
      <c r="F80" s="45">
        <v>0</v>
      </c>
      <c r="G80" s="22">
        <f>_xlfn.BINOM.DIST(F80,4,0.47,FALSE)</f>
        <v>7.8904810000000006E-2</v>
      </c>
      <c r="H80" s="47">
        <f>G80</f>
        <v>7.8904810000000006E-2</v>
      </c>
      <c r="J80" s="47"/>
    </row>
    <row r="81" spans="2:13" x14ac:dyDescent="0.2">
      <c r="B81" s="62"/>
      <c r="C81" s="45">
        <v>1</v>
      </c>
      <c r="D81" s="44">
        <f t="shared" ref="D81:D84" si="3">_xlfn.BINOM.DIST(C81,4,0.47,TRUE)</f>
        <v>0.35879357000000001</v>
      </c>
      <c r="F81" s="45">
        <v>1</v>
      </c>
      <c r="G81" s="22">
        <f t="shared" ref="G81:G84" si="4">_xlfn.BINOM.DIST(F81,4,0.47,FALSE)</f>
        <v>0.27988876000000001</v>
      </c>
      <c r="H81" s="47">
        <f>SUM(G80:G81)</f>
        <v>0.35879357000000001</v>
      </c>
      <c r="J81" s="47"/>
    </row>
    <row r="82" spans="2:13" x14ac:dyDescent="0.2">
      <c r="B82" s="62"/>
      <c r="C82" s="45">
        <v>2</v>
      </c>
      <c r="D82" s="44">
        <f t="shared" si="3"/>
        <v>0.73109842999999997</v>
      </c>
      <c r="F82" s="45">
        <v>2</v>
      </c>
      <c r="G82" s="22">
        <f t="shared" si="4"/>
        <v>0.37230486000000002</v>
      </c>
      <c r="H82" s="47">
        <f>SUM(G80:G82)</f>
        <v>0.73109843000000008</v>
      </c>
      <c r="J82" s="47"/>
    </row>
    <row r="83" spans="2:13" x14ac:dyDescent="0.2">
      <c r="B83" s="62"/>
      <c r="C83" s="45">
        <v>3</v>
      </c>
      <c r="D83" s="44">
        <f t="shared" si="3"/>
        <v>0.95120318999999998</v>
      </c>
      <c r="F83" s="45">
        <v>3</v>
      </c>
      <c r="G83" s="22">
        <f t="shared" si="4"/>
        <v>0.22010475999999987</v>
      </c>
      <c r="H83" s="47">
        <f>SUM(G80:G83)</f>
        <v>0.95120318999999998</v>
      </c>
      <c r="J83" s="47"/>
    </row>
    <row r="84" spans="2:13" ht="15.75" thickBot="1" x14ac:dyDescent="0.25">
      <c r="B84" s="62"/>
      <c r="C84" s="152">
        <v>4</v>
      </c>
      <c r="D84" s="153">
        <f t="shared" si="3"/>
        <v>1</v>
      </c>
      <c r="F84" s="152">
        <v>4</v>
      </c>
      <c r="G84" s="66">
        <f t="shared" si="4"/>
        <v>4.8796809999999996E-2</v>
      </c>
      <c r="H84" s="67">
        <f>SUM(G80:G84)</f>
        <v>1</v>
      </c>
      <c r="J84" s="47"/>
    </row>
    <row r="85" spans="2:13" x14ac:dyDescent="0.2">
      <c r="B85" s="62"/>
      <c r="J85" s="47"/>
    </row>
    <row r="86" spans="2:13" ht="31.15" customHeight="1" x14ac:dyDescent="0.2">
      <c r="B86" s="164" t="s">
        <v>97</v>
      </c>
      <c r="C86" s="165"/>
      <c r="D86" s="165"/>
      <c r="E86" s="165"/>
      <c r="F86" s="165"/>
      <c r="G86" s="165"/>
      <c r="H86" s="165"/>
      <c r="I86" s="165"/>
      <c r="J86" s="166"/>
      <c r="L86" s="167" t="s">
        <v>79</v>
      </c>
      <c r="M86" s="167"/>
    </row>
    <row r="87" spans="2:13" x14ac:dyDescent="0.2">
      <c r="B87" s="62"/>
      <c r="J87" s="47"/>
    </row>
    <row r="88" spans="2:13" x14ac:dyDescent="0.2">
      <c r="B88" s="62"/>
      <c r="J88" s="47"/>
    </row>
    <row r="89" spans="2:13" ht="15.75" x14ac:dyDescent="0.25">
      <c r="B89" s="101" t="s">
        <v>80</v>
      </c>
      <c r="C89" s="108"/>
      <c r="D89" s="108"/>
      <c r="E89" s="108"/>
      <c r="F89" s="108"/>
      <c r="G89" s="108"/>
      <c r="H89" s="108"/>
      <c r="I89" s="108"/>
      <c r="J89" s="109"/>
    </row>
    <row r="90" spans="2:13" ht="30.4" customHeight="1" x14ac:dyDescent="0.2">
      <c r="B90" s="161" t="s">
        <v>81</v>
      </c>
      <c r="C90" s="162"/>
      <c r="D90" s="162"/>
      <c r="E90" s="162"/>
      <c r="F90" s="162"/>
      <c r="G90" s="162"/>
      <c r="H90" s="162"/>
      <c r="I90" s="162"/>
      <c r="J90" s="163"/>
    </row>
    <row r="91" spans="2:13" x14ac:dyDescent="0.2">
      <c r="B91" s="86"/>
      <c r="C91" s="22" t="s">
        <v>82</v>
      </c>
      <c r="F91" s="99">
        <f>_xlfn.BINOM.DIST(4,10,0.3,FALSE)</f>
        <v>0.20012094900000005</v>
      </c>
      <c r="J91" s="47"/>
    </row>
    <row r="92" spans="2:13" x14ac:dyDescent="0.2">
      <c r="B92" s="62"/>
      <c r="C92" s="22" t="s">
        <v>83</v>
      </c>
      <c r="F92" s="99">
        <f>_xlfn.BINOM.DIST(4,10,0.3,TRUE)</f>
        <v>0.84973166739999995</v>
      </c>
      <c r="J92" s="47"/>
    </row>
    <row r="93" spans="2:13" x14ac:dyDescent="0.2">
      <c r="B93" s="62"/>
      <c r="C93" s="22" t="s">
        <v>84</v>
      </c>
      <c r="F93" s="99">
        <f>1-BINOMDIST(2,10,0.3,TRUE)</f>
        <v>0.61721721360000026</v>
      </c>
      <c r="J93" s="47"/>
    </row>
    <row r="94" spans="2:13" x14ac:dyDescent="0.2">
      <c r="B94" s="62"/>
      <c r="C94" s="22" t="s">
        <v>85</v>
      </c>
      <c r="F94" s="99">
        <f>1-BINOMDIST(5,10,0.3,TRUE)</f>
        <v>4.7348987399999931E-2</v>
      </c>
      <c r="J94" s="47"/>
    </row>
    <row r="95" spans="2:13" x14ac:dyDescent="0.2">
      <c r="B95" s="62"/>
      <c r="C95" s="22" t="s">
        <v>21</v>
      </c>
      <c r="F95" s="154">
        <f>BINOMDIST(7.6,10,0.3,FALSE)</f>
        <v>9.0016919999999986E-3</v>
      </c>
      <c r="G95" s="155" t="s">
        <v>146</v>
      </c>
      <c r="H95" s="155"/>
      <c r="I95" s="155"/>
      <c r="J95" s="156"/>
    </row>
    <row r="96" spans="2:13" x14ac:dyDescent="0.2">
      <c r="B96" s="62"/>
      <c r="F96" s="155"/>
      <c r="G96" s="155"/>
      <c r="H96" s="155"/>
      <c r="I96" s="155"/>
      <c r="J96" s="156"/>
    </row>
    <row r="97" spans="2:10" x14ac:dyDescent="0.2">
      <c r="B97" s="62"/>
      <c r="J97" s="47"/>
    </row>
    <row r="98" spans="2:10" ht="15.75" x14ac:dyDescent="0.25">
      <c r="B98" s="101" t="s">
        <v>86</v>
      </c>
      <c r="C98" s="108"/>
      <c r="D98" s="108"/>
      <c r="E98" s="108"/>
      <c r="F98" s="108"/>
      <c r="G98" s="108"/>
      <c r="H98" s="108"/>
      <c r="I98" s="108"/>
      <c r="J98" s="109"/>
    </row>
    <row r="99" spans="2:10" ht="34.15" customHeight="1" x14ac:dyDescent="0.2">
      <c r="B99" s="164" t="s">
        <v>95</v>
      </c>
      <c r="C99" s="165"/>
      <c r="D99" s="165"/>
      <c r="E99" s="165"/>
      <c r="F99" s="165"/>
      <c r="G99" s="165"/>
      <c r="H99" s="165"/>
      <c r="I99" s="165"/>
      <c r="J99" s="166"/>
    </row>
    <row r="100" spans="2:10" x14ac:dyDescent="0.2">
      <c r="B100" s="86"/>
      <c r="C100" s="22" t="s">
        <v>22</v>
      </c>
      <c r="F100" s="99">
        <f>BINOMDIST(40,70,0.6,TRUE)</f>
        <v>0.35470099735192601</v>
      </c>
      <c r="J100" s="47"/>
    </row>
    <row r="101" spans="2:10" x14ac:dyDescent="0.2">
      <c r="B101" s="86"/>
      <c r="C101" s="22" t="s">
        <v>23</v>
      </c>
      <c r="F101" s="99">
        <f>1-BINOMDIST(45,70,0.6,TRUE)</f>
        <v>0.19727025034968881</v>
      </c>
      <c r="J101" s="47"/>
    </row>
    <row r="102" spans="2:10" x14ac:dyDescent="0.2">
      <c r="B102" s="62"/>
      <c r="C102" s="22" t="s">
        <v>25</v>
      </c>
      <c r="F102" s="99">
        <f>BINOMDIST(42,70,0.6,FALSE)</f>
        <v>9.6965730007273016E-2</v>
      </c>
      <c r="J102" s="47"/>
    </row>
    <row r="103" spans="2:10" x14ac:dyDescent="0.2">
      <c r="B103" s="62"/>
      <c r="C103" s="22" t="s">
        <v>24</v>
      </c>
      <c r="F103" s="99">
        <f>1-BINOMDIST(20,70,0.4,FALSE)</f>
        <v>0.98561307789971064</v>
      </c>
      <c r="J103" s="47"/>
    </row>
    <row r="104" spans="2:10" x14ac:dyDescent="0.2">
      <c r="B104" s="62"/>
      <c r="J104" s="47"/>
    </row>
    <row r="105" spans="2:10" x14ac:dyDescent="0.2">
      <c r="B105" s="62"/>
      <c r="J105" s="47"/>
    </row>
    <row r="106" spans="2:10" ht="15.75" x14ac:dyDescent="0.25">
      <c r="B106" s="101" t="s">
        <v>87</v>
      </c>
      <c r="C106" s="108"/>
      <c r="D106" s="108"/>
      <c r="E106" s="108"/>
      <c r="F106" s="108"/>
      <c r="G106" s="108"/>
      <c r="H106" s="108"/>
      <c r="I106" s="108"/>
      <c r="J106" s="109"/>
    </row>
    <row r="107" spans="2:10" ht="31.9" customHeight="1" x14ac:dyDescent="0.2">
      <c r="B107" s="164" t="s">
        <v>96</v>
      </c>
      <c r="C107" s="165"/>
      <c r="D107" s="165"/>
      <c r="E107" s="165"/>
      <c r="F107" s="165"/>
      <c r="G107" s="165"/>
      <c r="H107" s="165"/>
      <c r="I107" s="165"/>
      <c r="J107" s="166"/>
    </row>
    <row r="108" spans="2:10" x14ac:dyDescent="0.2">
      <c r="B108" s="62"/>
      <c r="C108" s="22" t="s">
        <v>89</v>
      </c>
      <c r="J108" s="47"/>
    </row>
    <row r="109" spans="2:10" x14ac:dyDescent="0.2">
      <c r="B109" s="62"/>
      <c r="C109" s="22" t="s">
        <v>90</v>
      </c>
      <c r="J109" s="47"/>
    </row>
    <row r="110" spans="2:10" x14ac:dyDescent="0.2">
      <c r="B110" s="62"/>
      <c r="C110" s="22" t="s">
        <v>33</v>
      </c>
      <c r="J110" s="47"/>
    </row>
    <row r="111" spans="2:10" x14ac:dyDescent="0.2">
      <c r="B111" s="62"/>
      <c r="J111" s="47"/>
    </row>
    <row r="112" spans="2:10" ht="15.75" x14ac:dyDescent="0.25">
      <c r="B112" s="62"/>
      <c r="C112" s="1" t="s">
        <v>88</v>
      </c>
      <c r="D112" s="1" t="s">
        <v>10</v>
      </c>
      <c r="E112" s="1" t="s">
        <v>12</v>
      </c>
      <c r="F112" s="1"/>
      <c r="G112" s="1" t="s">
        <v>34</v>
      </c>
      <c r="J112" s="47"/>
    </row>
    <row r="113" spans="2:10" x14ac:dyDescent="0.2">
      <c r="B113" s="62"/>
      <c r="C113" s="22" t="s">
        <v>31</v>
      </c>
      <c r="D113" s="99">
        <f>BINOMDIST(24,40,0.6,FALSE)</f>
        <v>0.1279115243848202</v>
      </c>
      <c r="E113" s="99">
        <f>BINOMDIST(24,40,0.6,TRUE)</f>
        <v>0.55977977635153886</v>
      </c>
      <c r="G113" s="22" t="s">
        <v>31</v>
      </c>
      <c r="H113" s="99">
        <f>ROUND(BINOMDIST(24,40,0.6,FALSE),2)</f>
        <v>0.13</v>
      </c>
      <c r="I113" s="99">
        <f>ROUND(BINOMDIST(24,40,0.6,TRUE),2)</f>
        <v>0.56000000000000005</v>
      </c>
      <c r="J113" s="47"/>
    </row>
    <row r="114" spans="2:10" x14ac:dyDescent="0.2">
      <c r="B114" s="62"/>
      <c r="C114" s="22" t="s">
        <v>32</v>
      </c>
      <c r="D114" s="99">
        <f>BINOMDIST(24,200,0.08,FALSE)</f>
        <v>1.2839486366167272E-2</v>
      </c>
      <c r="E114" s="99">
        <f>BINOMDIST(24,200,0.08,TRUE)</f>
        <v>0.98220297641502108</v>
      </c>
      <c r="G114" s="22" t="s">
        <v>32</v>
      </c>
      <c r="H114" s="99">
        <f>ROUND(BINOMDIST(24,200,0.08,FALSE),2)</f>
        <v>0.01</v>
      </c>
      <c r="I114" s="99">
        <f>ROUND(BINOMDIST(24,200,0.08,TRUE),2)</f>
        <v>0.98</v>
      </c>
      <c r="J114" s="47"/>
    </row>
    <row r="115" spans="2:10" ht="15.75" thickBot="1" x14ac:dyDescent="0.25">
      <c r="B115" s="65"/>
      <c r="C115" s="66"/>
      <c r="D115" s="66"/>
      <c r="E115" s="66"/>
      <c r="F115" s="66"/>
      <c r="G115" s="66"/>
      <c r="H115" s="66"/>
      <c r="I115" s="66"/>
      <c r="J115" s="67"/>
    </row>
  </sheetData>
  <mergeCells count="43">
    <mergeCell ref="C22:D22"/>
    <mergeCell ref="E22:G22"/>
    <mergeCell ref="C23:D23"/>
    <mergeCell ref="E23:G23"/>
    <mergeCell ref="E15:G15"/>
    <mergeCell ref="E16:G16"/>
    <mergeCell ref="E19:G19"/>
    <mergeCell ref="C19:D19"/>
    <mergeCell ref="B6:J6"/>
    <mergeCell ref="C12:D12"/>
    <mergeCell ref="C13:D13"/>
    <mergeCell ref="C14:D14"/>
    <mergeCell ref="C15:D15"/>
    <mergeCell ref="E12:G12"/>
    <mergeCell ref="E13:G13"/>
    <mergeCell ref="E14:G14"/>
    <mergeCell ref="I14:J18"/>
    <mergeCell ref="E17:G17"/>
    <mergeCell ref="E18:G18"/>
    <mergeCell ref="C16:D16"/>
    <mergeCell ref="C17:D17"/>
    <mergeCell ref="C18:D18"/>
    <mergeCell ref="E24:G24"/>
    <mergeCell ref="C25:D25"/>
    <mergeCell ref="E25:G25"/>
    <mergeCell ref="C26:D26"/>
    <mergeCell ref="E26:G26"/>
    <mergeCell ref="B90:J90"/>
    <mergeCell ref="B99:J99"/>
    <mergeCell ref="B107:J107"/>
    <mergeCell ref="L86:M86"/>
    <mergeCell ref="I24:J28"/>
    <mergeCell ref="B45:C45"/>
    <mergeCell ref="B57:C57"/>
    <mergeCell ref="B76:J76"/>
    <mergeCell ref="B86:J86"/>
    <mergeCell ref="C27:D27"/>
    <mergeCell ref="E27:G27"/>
    <mergeCell ref="C28:D28"/>
    <mergeCell ref="E28:G28"/>
    <mergeCell ref="C29:D29"/>
    <mergeCell ref="E29:G29"/>
    <mergeCell ref="C24:D24"/>
  </mergeCells>
  <phoneticPr fontId="4"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J94"/>
  <sheetViews>
    <sheetView topLeftCell="A68" zoomScale="80" zoomScaleNormal="80" workbookViewId="0">
      <selection activeCell="E94" sqref="E94"/>
    </sheetView>
  </sheetViews>
  <sheetFormatPr baseColWidth="10" defaultColWidth="10.85546875" defaultRowHeight="15" x14ac:dyDescent="0.2"/>
  <cols>
    <col min="1" max="4" width="10.85546875" style="22" customWidth="1"/>
    <col min="5" max="5" width="10.85546875" style="22"/>
    <col min="6" max="6" width="10.85546875" style="22" customWidth="1"/>
    <col min="7" max="16384" width="10.85546875" style="22"/>
  </cols>
  <sheetData>
    <row r="2" spans="2:10" ht="20.25" x14ac:dyDescent="0.3">
      <c r="B2" s="71" t="s">
        <v>50</v>
      </c>
      <c r="C2" s="27"/>
      <c r="D2" s="27"/>
      <c r="E2" s="27"/>
      <c r="F2" s="27"/>
    </row>
    <row r="4" spans="2:10" ht="18.75" thickBot="1" x14ac:dyDescent="0.3">
      <c r="B4" s="85" t="s">
        <v>72</v>
      </c>
      <c r="C4" s="27"/>
      <c r="D4" s="27"/>
    </row>
    <row r="5" spans="2:10" ht="15.75" x14ac:dyDescent="0.25">
      <c r="B5" s="72" t="s">
        <v>64</v>
      </c>
      <c r="C5" s="73"/>
      <c r="D5" s="73"/>
      <c r="E5" s="73"/>
      <c r="F5" s="73"/>
      <c r="G5" s="73"/>
      <c r="H5" s="73"/>
      <c r="I5" s="73"/>
      <c r="J5" s="79"/>
    </row>
    <row r="6" spans="2:10" ht="31.15" customHeight="1" x14ac:dyDescent="0.2">
      <c r="B6" s="164" t="s">
        <v>98</v>
      </c>
      <c r="C6" s="165"/>
      <c r="D6" s="165"/>
      <c r="E6" s="165"/>
      <c r="F6" s="165"/>
      <c r="G6" s="165"/>
      <c r="H6" s="165"/>
      <c r="I6" s="165"/>
      <c r="J6" s="166"/>
    </row>
    <row r="7" spans="2:10" x14ac:dyDescent="0.2">
      <c r="B7" s="62"/>
      <c r="J7" s="47"/>
    </row>
    <row r="8" spans="2:10" ht="15.75" x14ac:dyDescent="0.25">
      <c r="B8" s="80" t="s">
        <v>143</v>
      </c>
      <c r="C8" s="27"/>
      <c r="D8" s="27"/>
      <c r="E8" s="27"/>
      <c r="F8" s="27"/>
      <c r="G8" s="27"/>
      <c r="H8" s="27"/>
      <c r="I8" s="27"/>
      <c r="J8" s="81"/>
    </row>
    <row r="9" spans="2:10" x14ac:dyDescent="0.2">
      <c r="B9" s="62"/>
      <c r="C9" s="74" t="s">
        <v>4</v>
      </c>
      <c r="D9" s="64">
        <v>7</v>
      </c>
      <c r="J9" s="47"/>
    </row>
    <row r="10" spans="2:10" x14ac:dyDescent="0.2">
      <c r="B10" s="62"/>
      <c r="C10" s="74" t="s">
        <v>99</v>
      </c>
      <c r="D10" s="64">
        <v>8</v>
      </c>
      <c r="F10" s="64"/>
      <c r="J10" s="47"/>
    </row>
    <row r="11" spans="2:10" x14ac:dyDescent="0.2">
      <c r="B11" s="62"/>
      <c r="C11" s="74" t="s">
        <v>100</v>
      </c>
      <c r="D11" s="64">
        <v>30</v>
      </c>
      <c r="F11" s="64"/>
      <c r="J11" s="47"/>
    </row>
    <row r="12" spans="2:10" ht="15.75" thickBot="1" x14ac:dyDescent="0.25">
      <c r="B12" s="62"/>
      <c r="J12" s="47"/>
    </row>
    <row r="13" spans="2:10" ht="16.5" thickBot="1" x14ac:dyDescent="0.3">
      <c r="B13" s="62"/>
      <c r="C13" s="187" t="s">
        <v>1</v>
      </c>
      <c r="D13" s="188"/>
      <c r="E13" s="193" t="s">
        <v>2</v>
      </c>
      <c r="F13" s="194"/>
      <c r="G13" s="195"/>
      <c r="I13" s="114"/>
      <c r="J13" s="115"/>
    </row>
    <row r="14" spans="2:10" ht="15.75" x14ac:dyDescent="0.25">
      <c r="B14" s="62"/>
      <c r="C14" s="189">
        <v>0</v>
      </c>
      <c r="D14" s="190"/>
      <c r="E14" s="196" t="s">
        <v>106</v>
      </c>
      <c r="F14" s="196"/>
      <c r="G14" s="197"/>
      <c r="I14" s="114"/>
      <c r="J14" s="115"/>
    </row>
    <row r="15" spans="2:10" ht="15.4" customHeight="1" x14ac:dyDescent="0.25">
      <c r="B15" s="62"/>
      <c r="C15" s="191">
        <v>1</v>
      </c>
      <c r="D15" s="192"/>
      <c r="E15" s="196" t="s">
        <v>107</v>
      </c>
      <c r="F15" s="196"/>
      <c r="G15" s="197"/>
      <c r="I15" s="114"/>
      <c r="J15" s="115"/>
    </row>
    <row r="16" spans="2:10" ht="15.75" x14ac:dyDescent="0.25">
      <c r="B16" s="62"/>
      <c r="C16" s="191">
        <v>2</v>
      </c>
      <c r="D16" s="192"/>
      <c r="E16" s="196" t="s">
        <v>108</v>
      </c>
      <c r="F16" s="196"/>
      <c r="G16" s="197"/>
      <c r="I16" s="114"/>
      <c r="J16" s="115"/>
    </row>
    <row r="17" spans="2:10" ht="15.75" x14ac:dyDescent="0.25">
      <c r="B17" s="62"/>
      <c r="C17" s="201" t="s">
        <v>3</v>
      </c>
      <c r="D17" s="202"/>
      <c r="E17" s="196" t="s">
        <v>3</v>
      </c>
      <c r="F17" s="196"/>
      <c r="G17" s="197"/>
      <c r="I17" s="114"/>
      <c r="J17" s="115"/>
    </row>
    <row r="18" spans="2:10" ht="16.5" thickBot="1" x14ac:dyDescent="0.3">
      <c r="B18" s="62"/>
      <c r="C18" s="214">
        <v>7</v>
      </c>
      <c r="D18" s="215"/>
      <c r="E18" s="196" t="s">
        <v>109</v>
      </c>
      <c r="F18" s="196"/>
      <c r="G18" s="197"/>
      <c r="I18" s="114"/>
      <c r="J18" s="115"/>
    </row>
    <row r="19" spans="2:10" ht="15.75" x14ac:dyDescent="0.25">
      <c r="B19" s="62"/>
      <c r="C19" s="38"/>
      <c r="D19" s="38"/>
      <c r="E19" s="38"/>
      <c r="F19" s="38"/>
      <c r="G19" s="38"/>
      <c r="I19" s="114"/>
      <c r="J19" s="115"/>
    </row>
    <row r="20" spans="2:10" ht="16.5" thickBot="1" x14ac:dyDescent="0.3">
      <c r="B20" s="62"/>
      <c r="E20" s="77"/>
      <c r="F20" s="77"/>
      <c r="G20" s="77"/>
      <c r="I20" s="114"/>
      <c r="J20" s="115"/>
    </row>
    <row r="21" spans="2:10" ht="16.5" thickBot="1" x14ac:dyDescent="0.3">
      <c r="B21" s="62"/>
      <c r="C21" s="203" t="s">
        <v>1</v>
      </c>
      <c r="D21" s="204"/>
      <c r="E21" s="205" t="s">
        <v>7</v>
      </c>
      <c r="F21" s="206"/>
      <c r="G21" s="207"/>
      <c r="I21" s="114"/>
      <c r="J21" s="115"/>
    </row>
    <row r="22" spans="2:10" ht="15.75" x14ac:dyDescent="0.25">
      <c r="B22" s="62"/>
      <c r="C22" s="208">
        <v>0</v>
      </c>
      <c r="D22" s="209"/>
      <c r="E22" s="239" t="s">
        <v>111</v>
      </c>
      <c r="F22" s="240"/>
      <c r="G22" s="241"/>
      <c r="I22" s="114"/>
      <c r="J22" s="115"/>
    </row>
    <row r="23" spans="2:10" ht="15.75" x14ac:dyDescent="0.25">
      <c r="B23" s="62"/>
      <c r="C23" s="173">
        <v>1</v>
      </c>
      <c r="D23" s="174"/>
      <c r="E23" s="233" t="s">
        <v>112</v>
      </c>
      <c r="F23" s="234"/>
      <c r="G23" s="235"/>
      <c r="I23" s="114"/>
      <c r="J23" s="115"/>
    </row>
    <row r="24" spans="2:10" ht="15.75" x14ac:dyDescent="0.25">
      <c r="B24" s="62"/>
      <c r="C24" s="173">
        <v>2</v>
      </c>
      <c r="D24" s="174"/>
      <c r="E24" s="233" t="s">
        <v>113</v>
      </c>
      <c r="F24" s="234"/>
      <c r="G24" s="235"/>
      <c r="I24" s="114"/>
      <c r="J24" s="115"/>
    </row>
    <row r="25" spans="2:10" ht="15.75" x14ac:dyDescent="0.25">
      <c r="B25" s="62"/>
      <c r="C25" s="182" t="s">
        <v>3</v>
      </c>
      <c r="D25" s="183"/>
      <c r="E25" s="236" t="s">
        <v>3</v>
      </c>
      <c r="F25" s="237"/>
      <c r="G25" s="238"/>
      <c r="I25" s="114"/>
      <c r="J25" s="115"/>
    </row>
    <row r="26" spans="2:10" ht="15.75" x14ac:dyDescent="0.25">
      <c r="B26" s="62"/>
      <c r="C26" s="173">
        <v>7</v>
      </c>
      <c r="D26" s="174"/>
      <c r="E26" s="233" t="s">
        <v>114</v>
      </c>
      <c r="F26" s="234"/>
      <c r="G26" s="235"/>
      <c r="I26" s="114"/>
      <c r="J26" s="115"/>
    </row>
    <row r="27" spans="2:10" x14ac:dyDescent="0.2">
      <c r="B27" s="62"/>
      <c r="J27" s="47"/>
    </row>
    <row r="28" spans="2:10" x14ac:dyDescent="0.2">
      <c r="B28" s="62"/>
      <c r="J28" s="47"/>
    </row>
    <row r="29" spans="2:10" ht="67.5" customHeight="1" x14ac:dyDescent="0.2">
      <c r="B29" s="227" t="s">
        <v>110</v>
      </c>
      <c r="C29" s="228"/>
      <c r="D29" s="228"/>
      <c r="E29" s="228"/>
      <c r="F29" s="228"/>
      <c r="G29" s="228"/>
      <c r="H29" s="228"/>
      <c r="I29" s="228"/>
      <c r="J29" s="229"/>
    </row>
    <row r="30" spans="2:10" ht="15.75" thickBot="1" x14ac:dyDescent="0.25">
      <c r="B30" s="65"/>
      <c r="C30" s="84"/>
      <c r="D30" s="66"/>
      <c r="E30" s="66"/>
      <c r="F30" s="66"/>
      <c r="G30" s="66"/>
      <c r="H30" s="66"/>
      <c r="I30" s="66"/>
      <c r="J30" s="67"/>
    </row>
    <row r="34" spans="2:10" ht="21" thickBot="1" x14ac:dyDescent="0.35">
      <c r="B34" s="116" t="s">
        <v>115</v>
      </c>
      <c r="C34" s="116"/>
      <c r="D34" s="116"/>
    </row>
    <row r="35" spans="2:10" ht="15.75" x14ac:dyDescent="0.25">
      <c r="B35" s="139" t="s">
        <v>116</v>
      </c>
      <c r="C35" s="88"/>
      <c r="D35" s="88"/>
      <c r="E35" s="88"/>
      <c r="F35" s="88"/>
      <c r="G35" s="88"/>
      <c r="H35" s="88"/>
      <c r="I35" s="88"/>
      <c r="J35" s="89"/>
    </row>
    <row r="36" spans="2:10" ht="32.65" customHeight="1" x14ac:dyDescent="0.2">
      <c r="B36" s="230" t="s">
        <v>117</v>
      </c>
      <c r="C36" s="231"/>
      <c r="D36" s="231"/>
      <c r="E36" s="231"/>
      <c r="F36" s="231"/>
      <c r="G36" s="231"/>
      <c r="H36" s="231"/>
      <c r="I36" s="231"/>
      <c r="J36" s="232"/>
    </row>
    <row r="37" spans="2:10" ht="15.75" thickBot="1" x14ac:dyDescent="0.25">
      <c r="B37" s="62"/>
      <c r="J37" s="47"/>
    </row>
    <row r="38" spans="2:10" ht="16.5" thickBot="1" x14ac:dyDescent="0.3">
      <c r="B38" s="62"/>
      <c r="C38" s="106" t="s">
        <v>0</v>
      </c>
      <c r="D38" s="117" t="s">
        <v>10</v>
      </c>
      <c r="E38" s="121" t="s">
        <v>12</v>
      </c>
      <c r="J38" s="47"/>
    </row>
    <row r="39" spans="2:10" ht="15.75" thickBot="1" x14ac:dyDescent="0.25">
      <c r="B39" s="62"/>
      <c r="C39" s="122">
        <v>0</v>
      </c>
      <c r="D39" s="136">
        <f>_xlfn.HYPGEOM.DIST($C$39,7,8,30,FALSE)</f>
        <v>8.3772472737990003E-2</v>
      </c>
      <c r="E39" s="136">
        <f>_xlfn.HYPGEOM.DIST(C39,7,8,30,TRUE)</f>
        <v>8.3772472737990003E-2</v>
      </c>
      <c r="J39" s="47"/>
    </row>
    <row r="40" spans="2:10" ht="15.75" thickBot="1" x14ac:dyDescent="0.25">
      <c r="B40" s="62"/>
      <c r="C40" s="123">
        <v>1</v>
      </c>
      <c r="D40" s="136">
        <f t="shared" ref="D40:D46" si="0">_xlfn.HYPGEOM.DIST(C40,7,8,30,FALSE)</f>
        <v>0.29320365458296482</v>
      </c>
      <c r="E40" s="136">
        <f t="shared" ref="E40:E46" si="1">_xlfn.HYPGEOM.DIST(C40,7,8,30,TRUE)</f>
        <v>0.37697612732095476</v>
      </c>
      <c r="J40" s="47"/>
    </row>
    <row r="41" spans="2:10" ht="15.75" thickBot="1" x14ac:dyDescent="0.25">
      <c r="B41" s="62"/>
      <c r="C41" s="123">
        <v>2</v>
      </c>
      <c r="D41" s="136">
        <f t="shared" si="0"/>
        <v>0.36219274977895649</v>
      </c>
      <c r="E41" s="136">
        <f t="shared" si="1"/>
        <v>0.73916887709991153</v>
      </c>
      <c r="J41" s="47"/>
    </row>
    <row r="42" spans="2:10" ht="15.75" thickBot="1" x14ac:dyDescent="0.25">
      <c r="B42" s="62"/>
      <c r="C42" s="123">
        <v>3</v>
      </c>
      <c r="D42" s="136">
        <f t="shared" si="0"/>
        <v>0.20121819432164262</v>
      </c>
      <c r="E42" s="136">
        <f t="shared" si="1"/>
        <v>0.94038707142155409</v>
      </c>
      <c r="J42" s="47"/>
    </row>
    <row r="43" spans="2:10" ht="15.75" thickBot="1" x14ac:dyDescent="0.25">
      <c r="B43" s="62"/>
      <c r="C43" s="123">
        <v>4</v>
      </c>
      <c r="D43" s="136">
        <f t="shared" si="0"/>
        <v>5.2952156400432299E-2</v>
      </c>
      <c r="E43" s="136">
        <f t="shared" si="1"/>
        <v>0.99333922782198647</v>
      </c>
      <c r="J43" s="47"/>
    </row>
    <row r="44" spans="2:10" ht="15.75" thickBot="1" x14ac:dyDescent="0.25">
      <c r="B44" s="62"/>
      <c r="C44" s="123">
        <v>5</v>
      </c>
      <c r="D44" s="136">
        <f t="shared" si="0"/>
        <v>6.3542587680518762E-3</v>
      </c>
      <c r="E44" s="136">
        <f t="shared" si="1"/>
        <v>0.99969348659003832</v>
      </c>
      <c r="J44" s="47"/>
    </row>
    <row r="45" spans="2:10" ht="15.75" thickBot="1" x14ac:dyDescent="0.25">
      <c r="B45" s="62"/>
      <c r="C45" s="123">
        <v>6</v>
      </c>
      <c r="D45" s="136">
        <f t="shared" si="0"/>
        <v>3.0258375085961308E-4</v>
      </c>
      <c r="E45" s="136">
        <f t="shared" si="1"/>
        <v>0.99999607034089788</v>
      </c>
      <c r="J45" s="47"/>
    </row>
    <row r="46" spans="2:10" x14ac:dyDescent="0.2">
      <c r="B46" s="62"/>
      <c r="C46" s="125">
        <v>7</v>
      </c>
      <c r="D46" s="136">
        <f t="shared" si="0"/>
        <v>3.9296591020728973E-6</v>
      </c>
      <c r="E46" s="136">
        <f t="shared" si="1"/>
        <v>1</v>
      </c>
      <c r="J46" s="47"/>
    </row>
    <row r="47" spans="2:10" ht="15.75" thickBot="1" x14ac:dyDescent="0.25">
      <c r="B47" s="62"/>
      <c r="C47" s="65" t="s">
        <v>11</v>
      </c>
      <c r="D47" s="138">
        <f>SUM(D39:D46)</f>
        <v>0.99999999999999967</v>
      </c>
      <c r="E47" s="67"/>
      <c r="J47" s="47"/>
    </row>
    <row r="48" spans="2:10" x14ac:dyDescent="0.2">
      <c r="B48" s="62"/>
      <c r="J48" s="47"/>
    </row>
    <row r="49" spans="2:10" x14ac:dyDescent="0.2">
      <c r="B49" s="62"/>
      <c r="J49" s="47"/>
    </row>
    <row r="50" spans="2:10" ht="15.75" x14ac:dyDescent="0.25">
      <c r="B50" s="101" t="s">
        <v>76</v>
      </c>
      <c r="C50" s="102"/>
      <c r="D50" s="102"/>
      <c r="E50" s="102"/>
      <c r="F50" s="102"/>
      <c r="G50" s="102"/>
      <c r="H50" s="102"/>
      <c r="I50" s="102"/>
      <c r="J50" s="103"/>
    </row>
    <row r="51" spans="2:10" ht="31.9" customHeight="1" x14ac:dyDescent="0.2">
      <c r="B51" s="161" t="s">
        <v>118</v>
      </c>
      <c r="C51" s="162"/>
      <c r="D51" s="162"/>
      <c r="E51" s="162"/>
      <c r="F51" s="162"/>
      <c r="G51" s="162"/>
      <c r="H51" s="162"/>
      <c r="I51" s="162"/>
      <c r="J51" s="163"/>
    </row>
    <row r="52" spans="2:10" x14ac:dyDescent="0.2">
      <c r="B52" s="62" t="s">
        <v>119</v>
      </c>
      <c r="J52" s="47"/>
    </row>
    <row r="53" spans="2:10" x14ac:dyDescent="0.2">
      <c r="B53" s="62" t="s">
        <v>120</v>
      </c>
      <c r="J53" s="47"/>
    </row>
    <row r="54" spans="2:10" x14ac:dyDescent="0.2">
      <c r="B54" s="62"/>
      <c r="J54" s="47"/>
    </row>
    <row r="55" spans="2:10" ht="15.75" x14ac:dyDescent="0.25">
      <c r="B55" s="80" t="s">
        <v>121</v>
      </c>
      <c r="C55" s="27"/>
      <c r="D55" s="27"/>
      <c r="E55" s="27"/>
      <c r="F55" s="27"/>
      <c r="G55" s="27"/>
      <c r="H55" s="27"/>
      <c r="I55" s="27"/>
      <c r="J55" s="81"/>
    </row>
    <row r="56" spans="2:10" ht="15.75" thickBot="1" x14ac:dyDescent="0.25">
      <c r="B56" s="62"/>
      <c r="J56" s="47"/>
    </row>
    <row r="57" spans="2:10" ht="16.5" thickBot="1" x14ac:dyDescent="0.3">
      <c r="B57" s="62"/>
      <c r="C57" s="93" t="s">
        <v>0</v>
      </c>
      <c r="D57" s="94" t="s">
        <v>10</v>
      </c>
      <c r="J57" s="47"/>
    </row>
    <row r="58" spans="2:10" x14ac:dyDescent="0.2">
      <c r="B58" s="62"/>
      <c r="C58" s="22">
        <v>0</v>
      </c>
      <c r="D58" s="124">
        <f>_xlfn.HYPGEOM.DIST(C58,6,10,80,FALSE)</f>
        <v>0.43632578281145934</v>
      </c>
      <c r="J58" s="47"/>
    </row>
    <row r="59" spans="2:10" x14ac:dyDescent="0.2">
      <c r="B59" s="62"/>
      <c r="C59" s="135">
        <v>1</v>
      </c>
      <c r="D59" s="124">
        <f t="shared" ref="D59:D64" si="2">_xlfn.HYPGEOM.DIST(C59,6,10,80,FALSE)</f>
        <v>0.40276226105673169</v>
      </c>
      <c r="J59" s="47"/>
    </row>
    <row r="60" spans="2:10" x14ac:dyDescent="0.2">
      <c r="B60" s="62"/>
      <c r="C60" s="135">
        <v>2</v>
      </c>
      <c r="D60" s="124">
        <f t="shared" si="2"/>
        <v>0.13730531626934039</v>
      </c>
      <c r="J60" s="47"/>
    </row>
    <row r="61" spans="2:10" x14ac:dyDescent="0.2">
      <c r="B61" s="62"/>
      <c r="C61" s="135">
        <v>3</v>
      </c>
      <c r="D61" s="124">
        <f t="shared" si="2"/>
        <v>2.1859552838899964E-2</v>
      </c>
      <c r="J61" s="47"/>
    </row>
    <row r="62" spans="2:10" x14ac:dyDescent="0.2">
      <c r="B62" s="62"/>
      <c r="C62" s="135">
        <v>4</v>
      </c>
      <c r="D62" s="124">
        <f t="shared" si="2"/>
        <v>1.6876860647680118E-3</v>
      </c>
      <c r="J62" s="47"/>
    </row>
    <row r="63" spans="2:10" x14ac:dyDescent="0.2">
      <c r="B63" s="62"/>
      <c r="C63" s="135">
        <v>5</v>
      </c>
      <c r="D63" s="124">
        <f t="shared" si="2"/>
        <v>5.8702123991930887E-5</v>
      </c>
      <c r="J63" s="47"/>
    </row>
    <row r="64" spans="2:10" x14ac:dyDescent="0.2">
      <c r="B64" s="62"/>
      <c r="C64" s="135">
        <v>6</v>
      </c>
      <c r="D64" s="124">
        <f t="shared" si="2"/>
        <v>6.9883480942774787E-7</v>
      </c>
      <c r="J64" s="47"/>
    </row>
    <row r="65" spans="2:10" ht="15.75" thickBot="1" x14ac:dyDescent="0.25">
      <c r="B65" s="62"/>
      <c r="C65" s="65" t="s">
        <v>11</v>
      </c>
      <c r="D65" s="128">
        <f>SUM(D58:D64)</f>
        <v>1.0000000000000007</v>
      </c>
      <c r="J65" s="47"/>
    </row>
    <row r="66" spans="2:10" x14ac:dyDescent="0.2">
      <c r="B66" s="62"/>
      <c r="J66" s="47"/>
    </row>
    <row r="67" spans="2:10" x14ac:dyDescent="0.2">
      <c r="B67" s="62"/>
      <c r="J67" s="47"/>
    </row>
    <row r="68" spans="2:10" ht="15.75" x14ac:dyDescent="0.25">
      <c r="B68" s="80" t="s">
        <v>122</v>
      </c>
      <c r="C68" s="75"/>
      <c r="D68" s="75"/>
      <c r="E68" s="75"/>
      <c r="F68" s="75"/>
      <c r="G68" s="75"/>
      <c r="H68" s="75"/>
      <c r="I68" s="75"/>
      <c r="J68" s="140"/>
    </row>
    <row r="69" spans="2:10" ht="15.75" thickBot="1" x14ac:dyDescent="0.25">
      <c r="B69" s="62"/>
      <c r="J69" s="47"/>
    </row>
    <row r="70" spans="2:10" x14ac:dyDescent="0.2">
      <c r="B70" s="62"/>
      <c r="C70" s="129" t="s">
        <v>0</v>
      </c>
      <c r="D70" s="130" t="s">
        <v>10</v>
      </c>
      <c r="J70" s="47"/>
    </row>
    <row r="71" spans="2:10" x14ac:dyDescent="0.2">
      <c r="B71" s="62"/>
      <c r="C71" s="133">
        <v>0</v>
      </c>
      <c r="D71" s="132">
        <f>_xlfn.HYPGEOM.DIST(C71,12,10,80,FALSE)</f>
        <v>0.17658899330335057</v>
      </c>
      <c r="J71" s="47"/>
    </row>
    <row r="72" spans="2:10" x14ac:dyDescent="0.2">
      <c r="B72" s="62"/>
      <c r="C72" s="134">
        <v>1</v>
      </c>
      <c r="D72" s="132">
        <f t="shared" ref="D72:D83" si="3">_xlfn.HYPGEOM.DIST(C72,12,10,80,FALSE)</f>
        <v>0.35916405417630615</v>
      </c>
      <c r="J72" s="47"/>
    </row>
    <row r="73" spans="2:10" x14ac:dyDescent="0.2">
      <c r="B73" s="62"/>
      <c r="C73" s="134">
        <v>2</v>
      </c>
      <c r="D73" s="132">
        <f t="shared" si="3"/>
        <v>0.29631034469545253</v>
      </c>
      <c r="J73" s="47"/>
    </row>
    <row r="74" spans="2:10" x14ac:dyDescent="0.2">
      <c r="B74" s="62"/>
      <c r="C74" s="133">
        <v>3</v>
      </c>
      <c r="D74" s="132">
        <f t="shared" si="3"/>
        <v>0.12953457691604475</v>
      </c>
      <c r="J74" s="47"/>
    </row>
    <row r="75" spans="2:10" x14ac:dyDescent="0.2">
      <c r="B75" s="62"/>
      <c r="C75" s="134">
        <v>4</v>
      </c>
      <c r="D75" s="132">
        <f t="shared" si="3"/>
        <v>3.2905961071414615E-2</v>
      </c>
      <c r="J75" s="47"/>
    </row>
    <row r="76" spans="2:10" x14ac:dyDescent="0.2">
      <c r="B76" s="62"/>
      <c r="C76" s="134">
        <v>5</v>
      </c>
      <c r="D76" s="132">
        <f t="shared" si="3"/>
        <v>5.0142416870727017E-3</v>
      </c>
      <c r="J76" s="47"/>
    </row>
    <row r="77" spans="2:10" x14ac:dyDescent="0.2">
      <c r="B77" s="62"/>
      <c r="C77" s="133">
        <v>6</v>
      </c>
      <c r="D77" s="132">
        <f t="shared" si="3"/>
        <v>4.5702723710298101E-4</v>
      </c>
      <c r="J77" s="47"/>
    </row>
    <row r="78" spans="2:10" x14ac:dyDescent="0.2">
      <c r="B78" s="62"/>
      <c r="C78" s="134">
        <v>7</v>
      </c>
      <c r="D78" s="132">
        <f t="shared" si="3"/>
        <v>2.4106931187849572E-5</v>
      </c>
      <c r="J78" s="47"/>
    </row>
    <row r="79" spans="2:10" x14ac:dyDescent="0.2">
      <c r="B79" s="62"/>
      <c r="C79" s="134">
        <v>8</v>
      </c>
      <c r="D79" s="132">
        <f t="shared" si="3"/>
        <v>6.8485599965481772E-7</v>
      </c>
      <c r="J79" s="47"/>
    </row>
    <row r="80" spans="2:10" x14ac:dyDescent="0.2">
      <c r="B80" s="62"/>
      <c r="C80" s="133">
        <v>9</v>
      </c>
      <c r="D80" s="132">
        <f t="shared" si="3"/>
        <v>9.0859834116725333E-9</v>
      </c>
      <c r="J80" s="47"/>
    </row>
    <row r="81" spans="2:10" x14ac:dyDescent="0.2">
      <c r="B81" s="62"/>
      <c r="C81" s="134">
        <v>10</v>
      </c>
      <c r="D81" s="132">
        <f t="shared" si="3"/>
        <v>4.0085220933849385E-11</v>
      </c>
      <c r="J81" s="47"/>
    </row>
    <row r="82" spans="2:10" x14ac:dyDescent="0.2">
      <c r="B82" s="62"/>
      <c r="C82" s="134">
        <v>11</v>
      </c>
      <c r="D82" s="132">
        <f t="shared" si="3"/>
        <v>0</v>
      </c>
      <c r="J82" s="47"/>
    </row>
    <row r="83" spans="2:10" x14ac:dyDescent="0.2">
      <c r="B83" s="62"/>
      <c r="C83" s="133">
        <v>12</v>
      </c>
      <c r="D83" s="132">
        <f t="shared" si="3"/>
        <v>0</v>
      </c>
      <c r="J83" s="47"/>
    </row>
    <row r="84" spans="2:10" ht="15.75" thickBot="1" x14ac:dyDescent="0.25">
      <c r="B84" s="62"/>
      <c r="C84" s="65" t="s">
        <v>11</v>
      </c>
      <c r="D84" s="132">
        <f>SUM(D71:D83)</f>
        <v>1.0000000000000004</v>
      </c>
      <c r="J84" s="47"/>
    </row>
    <row r="85" spans="2:10" x14ac:dyDescent="0.2">
      <c r="B85" s="62"/>
      <c r="J85" s="47"/>
    </row>
    <row r="86" spans="2:10" x14ac:dyDescent="0.2">
      <c r="B86" s="62"/>
      <c r="J86" s="47"/>
    </row>
    <row r="87" spans="2:10" ht="15.75" x14ac:dyDescent="0.25">
      <c r="B87" s="101" t="s">
        <v>77</v>
      </c>
      <c r="C87" s="108"/>
      <c r="D87" s="108"/>
      <c r="E87" s="108"/>
      <c r="F87" s="108"/>
      <c r="G87" s="108"/>
      <c r="H87" s="108"/>
      <c r="I87" s="108"/>
      <c r="J87" s="109"/>
    </row>
    <row r="88" spans="2:10" ht="64.5" customHeight="1" x14ac:dyDescent="0.2">
      <c r="B88" s="164" t="s">
        <v>123</v>
      </c>
      <c r="C88" s="165"/>
      <c r="D88" s="165"/>
      <c r="E88" s="165"/>
      <c r="F88" s="165"/>
      <c r="G88" s="165"/>
      <c r="H88" s="165"/>
      <c r="I88" s="165"/>
      <c r="J88" s="166"/>
    </row>
    <row r="89" spans="2:10" ht="15.75" thickBot="1" x14ac:dyDescent="0.25">
      <c r="B89" s="62"/>
      <c r="J89" s="47"/>
    </row>
    <row r="90" spans="2:10" ht="15.75" x14ac:dyDescent="0.25">
      <c r="B90" s="62"/>
      <c r="C90" s="216" t="s">
        <v>28</v>
      </c>
      <c r="D90" s="217"/>
      <c r="E90" s="217" t="s">
        <v>30</v>
      </c>
      <c r="F90" s="222"/>
      <c r="J90" s="47"/>
    </row>
    <row r="91" spans="2:10" x14ac:dyDescent="0.2">
      <c r="B91" s="62"/>
      <c r="C91" s="218" t="s">
        <v>26</v>
      </c>
      <c r="D91" s="219"/>
      <c r="E91" s="223">
        <f>_xlfn.HYPGEOM.DIST(2,3,6,20,FALSE)</f>
        <v>0.18421052631578944</v>
      </c>
      <c r="F91" s="224"/>
      <c r="J91" s="47"/>
    </row>
    <row r="92" spans="2:10" x14ac:dyDescent="0.2">
      <c r="B92" s="62"/>
      <c r="C92" s="218" t="s">
        <v>27</v>
      </c>
      <c r="D92" s="219"/>
      <c r="E92" s="223">
        <f>_xlfn.HYPGEOM.DIST(3,3,6,20,FALSE)</f>
        <v>1.754385964912281E-2</v>
      </c>
      <c r="F92" s="224"/>
      <c r="J92" s="47"/>
    </row>
    <row r="93" spans="2:10" ht="15.75" thickBot="1" x14ac:dyDescent="0.25">
      <c r="B93" s="62"/>
      <c r="C93" s="220" t="s">
        <v>29</v>
      </c>
      <c r="D93" s="221"/>
      <c r="E93" s="225">
        <f>_xlfn.HYPGEOM.DIST(2,3,6,20,TRUE)</f>
        <v>0.98245614035087714</v>
      </c>
      <c r="F93" s="226"/>
      <c r="J93" s="47"/>
    </row>
    <row r="94" spans="2:10" ht="15.75" thickBot="1" x14ac:dyDescent="0.25">
      <c r="B94" s="65"/>
      <c r="C94" s="66"/>
      <c r="D94" s="66"/>
      <c r="E94" s="66"/>
      <c r="F94" s="66"/>
      <c r="G94" s="66"/>
      <c r="H94" s="66"/>
      <c r="I94" s="66"/>
      <c r="J94" s="67"/>
    </row>
  </sheetData>
  <mergeCells count="37">
    <mergeCell ref="C18:D18"/>
    <mergeCell ref="E18:G18"/>
    <mergeCell ref="C21:D21"/>
    <mergeCell ref="E21:G21"/>
    <mergeCell ref="C22:D22"/>
    <mergeCell ref="E22:G22"/>
    <mergeCell ref="C23:D23"/>
    <mergeCell ref="E23:G23"/>
    <mergeCell ref="C24:D24"/>
    <mergeCell ref="E24:G24"/>
    <mergeCell ref="C25:D25"/>
    <mergeCell ref="E25:G25"/>
    <mergeCell ref="C15:D15"/>
    <mergeCell ref="E15:G15"/>
    <mergeCell ref="C16:D16"/>
    <mergeCell ref="E16:G16"/>
    <mergeCell ref="C17:D17"/>
    <mergeCell ref="E17:G17"/>
    <mergeCell ref="B6:J6"/>
    <mergeCell ref="C13:D13"/>
    <mergeCell ref="E13:G13"/>
    <mergeCell ref="C14:D14"/>
    <mergeCell ref="E14:G14"/>
    <mergeCell ref="B29:J29"/>
    <mergeCell ref="B36:J36"/>
    <mergeCell ref="B51:J51"/>
    <mergeCell ref="B88:J88"/>
    <mergeCell ref="E26:G26"/>
    <mergeCell ref="C26:D26"/>
    <mergeCell ref="C90:D90"/>
    <mergeCell ref="C91:D91"/>
    <mergeCell ref="C92:D92"/>
    <mergeCell ref="C93:D93"/>
    <mergeCell ref="E90:F90"/>
    <mergeCell ref="E91:F91"/>
    <mergeCell ref="E92:F92"/>
    <mergeCell ref="E93:F93"/>
  </mergeCells>
  <phoneticPr fontId="4"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Q78"/>
  <sheetViews>
    <sheetView tabSelected="1" topLeftCell="A47" zoomScale="80" zoomScaleNormal="80" workbookViewId="0">
      <selection activeCell="N74" sqref="N74"/>
    </sheetView>
  </sheetViews>
  <sheetFormatPr baseColWidth="10" defaultColWidth="10.85546875" defaultRowHeight="15" x14ac:dyDescent="0.2"/>
  <cols>
    <col min="1" max="5" width="10.85546875" style="22" customWidth="1"/>
    <col min="6" max="6" width="21.5703125" style="22" customWidth="1"/>
    <col min="7" max="14" width="10.85546875" style="22" customWidth="1"/>
    <col min="15" max="16384" width="10.85546875" style="22"/>
  </cols>
  <sheetData>
    <row r="2" spans="2:10" ht="20.25" x14ac:dyDescent="0.3">
      <c r="B2" s="71" t="s">
        <v>51</v>
      </c>
      <c r="C2" s="27"/>
      <c r="D2" s="27"/>
      <c r="E2" s="27"/>
    </row>
    <row r="4" spans="2:10" ht="18.75" thickBot="1" x14ac:dyDescent="0.3">
      <c r="B4" s="85" t="s">
        <v>72</v>
      </c>
      <c r="C4" s="27"/>
      <c r="D4" s="27"/>
    </row>
    <row r="5" spans="2:10" ht="15.75" x14ac:dyDescent="0.25">
      <c r="B5" s="72" t="s">
        <v>64</v>
      </c>
      <c r="C5" s="73"/>
      <c r="D5" s="73"/>
      <c r="E5" s="73"/>
      <c r="F5" s="73"/>
      <c r="G5" s="73"/>
      <c r="H5" s="73"/>
      <c r="I5" s="73"/>
      <c r="J5" s="79"/>
    </row>
    <row r="6" spans="2:10" x14ac:dyDescent="0.2">
      <c r="B6" s="164" t="s">
        <v>124</v>
      </c>
      <c r="C6" s="165"/>
      <c r="D6" s="165"/>
      <c r="E6" s="165"/>
      <c r="F6" s="165"/>
      <c r="G6" s="165"/>
      <c r="H6" s="165"/>
      <c r="I6" s="165"/>
      <c r="J6" s="166"/>
    </row>
    <row r="7" spans="2:10" x14ac:dyDescent="0.2">
      <c r="B7" s="62"/>
      <c r="J7" s="47"/>
    </row>
    <row r="8" spans="2:10" ht="15.75" x14ac:dyDescent="0.25">
      <c r="B8" s="80" t="s">
        <v>141</v>
      </c>
      <c r="C8" s="27"/>
      <c r="D8" s="27"/>
      <c r="E8" s="27"/>
      <c r="F8" s="27"/>
      <c r="G8" s="27"/>
      <c r="H8" s="27"/>
      <c r="I8" s="27"/>
      <c r="J8" s="81"/>
    </row>
    <row r="9" spans="2:10" x14ac:dyDescent="0.2">
      <c r="B9" s="62"/>
      <c r="C9" s="74" t="s">
        <v>142</v>
      </c>
      <c r="D9" s="64">
        <v>4</v>
      </c>
      <c r="J9" s="47"/>
    </row>
    <row r="10" spans="2:10" ht="15.75" thickBot="1" x14ac:dyDescent="0.25">
      <c r="B10" s="62"/>
      <c r="J10" s="47"/>
    </row>
    <row r="11" spans="2:10" ht="16.5" thickBot="1" x14ac:dyDescent="0.3">
      <c r="B11" s="62"/>
      <c r="C11" s="187" t="s">
        <v>1</v>
      </c>
      <c r="D11" s="188"/>
      <c r="E11" s="193" t="s">
        <v>2</v>
      </c>
      <c r="F11" s="194"/>
      <c r="G11" s="195"/>
      <c r="I11" s="114"/>
      <c r="J11" s="115"/>
    </row>
    <row r="12" spans="2:10" ht="15.75" x14ac:dyDescent="0.25">
      <c r="B12" s="62"/>
      <c r="C12" s="189">
        <v>0</v>
      </c>
      <c r="D12" s="190"/>
      <c r="E12" s="196" t="s">
        <v>126</v>
      </c>
      <c r="F12" s="196"/>
      <c r="G12" s="197"/>
      <c r="I12" s="114"/>
      <c r="J12" s="115"/>
    </row>
    <row r="13" spans="2:10" ht="15.75" x14ac:dyDescent="0.25">
      <c r="B13" s="62"/>
      <c r="C13" s="191">
        <v>1</v>
      </c>
      <c r="D13" s="192"/>
      <c r="E13" s="196" t="s">
        <v>127</v>
      </c>
      <c r="F13" s="196"/>
      <c r="G13" s="197"/>
      <c r="I13" s="114"/>
      <c r="J13" s="115"/>
    </row>
    <row r="14" spans="2:10" ht="15.75" x14ac:dyDescent="0.25">
      <c r="B14" s="62"/>
      <c r="C14" s="191">
        <v>2</v>
      </c>
      <c r="D14" s="192"/>
      <c r="E14" s="196" t="s">
        <v>128</v>
      </c>
      <c r="F14" s="196"/>
      <c r="G14" s="197"/>
      <c r="I14" s="114"/>
      <c r="J14" s="115"/>
    </row>
    <row r="15" spans="2:10" ht="15.75" x14ac:dyDescent="0.25">
      <c r="B15" s="62"/>
      <c r="C15" s="201" t="s">
        <v>3</v>
      </c>
      <c r="D15" s="202"/>
      <c r="E15" s="196" t="s">
        <v>3</v>
      </c>
      <c r="F15" s="196"/>
      <c r="G15" s="197"/>
      <c r="I15" s="114"/>
      <c r="J15" s="115"/>
    </row>
    <row r="16" spans="2:10" ht="15.75" x14ac:dyDescent="0.25">
      <c r="B16" s="62"/>
      <c r="C16" s="258">
        <v>8</v>
      </c>
      <c r="D16" s="259"/>
      <c r="E16" s="260" t="s">
        <v>129</v>
      </c>
      <c r="F16" s="261"/>
      <c r="G16" s="262"/>
      <c r="I16" s="114"/>
      <c r="J16" s="115"/>
    </row>
    <row r="17" spans="2:10" ht="16.5" thickBot="1" x14ac:dyDescent="0.3">
      <c r="B17" s="62"/>
      <c r="C17" s="214" t="s">
        <v>3</v>
      </c>
      <c r="D17" s="215"/>
      <c r="E17" s="196" t="s">
        <v>3</v>
      </c>
      <c r="F17" s="196"/>
      <c r="G17" s="197"/>
      <c r="I17" s="114"/>
      <c r="J17" s="115"/>
    </row>
    <row r="18" spans="2:10" ht="15.75" x14ac:dyDescent="0.25">
      <c r="B18" s="62"/>
      <c r="C18" s="38"/>
      <c r="D18" s="38"/>
      <c r="E18" s="38"/>
      <c r="F18" s="38"/>
      <c r="G18" s="38"/>
      <c r="I18" s="114"/>
      <c r="J18" s="115"/>
    </row>
    <row r="19" spans="2:10" ht="16.5" thickBot="1" x14ac:dyDescent="0.3">
      <c r="B19" s="62"/>
      <c r="E19" s="77"/>
      <c r="F19" s="77"/>
      <c r="G19" s="77"/>
      <c r="I19" s="114"/>
      <c r="J19" s="115"/>
    </row>
    <row r="20" spans="2:10" ht="16.5" thickBot="1" x14ac:dyDescent="0.3">
      <c r="B20" s="62"/>
      <c r="C20" s="203" t="s">
        <v>1</v>
      </c>
      <c r="D20" s="204"/>
      <c r="E20" s="205" t="s">
        <v>7</v>
      </c>
      <c r="F20" s="206"/>
      <c r="G20" s="207"/>
      <c r="I20" s="114"/>
      <c r="J20" s="115"/>
    </row>
    <row r="21" spans="2:10" ht="15.75" x14ac:dyDescent="0.25">
      <c r="B21" s="62"/>
      <c r="C21" s="208">
        <v>0</v>
      </c>
      <c r="D21" s="209"/>
      <c r="E21" s="239" t="s">
        <v>130</v>
      </c>
      <c r="F21" s="240"/>
      <c r="G21" s="241"/>
      <c r="I21" s="114"/>
      <c r="J21" s="115"/>
    </row>
    <row r="22" spans="2:10" ht="15.75" x14ac:dyDescent="0.25">
      <c r="B22" s="62"/>
      <c r="C22" s="173">
        <v>1</v>
      </c>
      <c r="D22" s="174"/>
      <c r="E22" s="233" t="s">
        <v>131</v>
      </c>
      <c r="F22" s="234"/>
      <c r="G22" s="235"/>
      <c r="I22" s="114"/>
      <c r="J22" s="115"/>
    </row>
    <row r="23" spans="2:10" ht="15.75" x14ac:dyDescent="0.25">
      <c r="B23" s="62"/>
      <c r="C23" s="173">
        <v>2</v>
      </c>
      <c r="D23" s="174"/>
      <c r="E23" s="233" t="s">
        <v>132</v>
      </c>
      <c r="F23" s="234"/>
      <c r="G23" s="235"/>
      <c r="I23" s="114"/>
      <c r="J23" s="115"/>
    </row>
    <row r="24" spans="2:10" ht="15.75" x14ac:dyDescent="0.25">
      <c r="B24" s="62"/>
      <c r="C24" s="182" t="s">
        <v>3</v>
      </c>
      <c r="D24" s="183"/>
      <c r="E24" s="236" t="s">
        <v>3</v>
      </c>
      <c r="F24" s="237"/>
      <c r="G24" s="238"/>
      <c r="I24" s="114"/>
      <c r="J24" s="115"/>
    </row>
    <row r="25" spans="2:10" ht="15.75" x14ac:dyDescent="0.25">
      <c r="B25" s="62"/>
      <c r="C25" s="263">
        <v>8</v>
      </c>
      <c r="D25" s="264"/>
      <c r="E25" s="233" t="s">
        <v>133</v>
      </c>
      <c r="F25" s="237"/>
      <c r="G25" s="238"/>
      <c r="I25" s="114"/>
      <c r="J25" s="115"/>
    </row>
    <row r="26" spans="2:10" ht="15.75" x14ac:dyDescent="0.25">
      <c r="B26" s="62"/>
      <c r="C26" s="173" t="s">
        <v>3</v>
      </c>
      <c r="D26" s="174"/>
      <c r="E26" s="233" t="s">
        <v>3</v>
      </c>
      <c r="F26" s="234"/>
      <c r="G26" s="235"/>
      <c r="I26" s="114"/>
      <c r="J26" s="115"/>
    </row>
    <row r="27" spans="2:10" x14ac:dyDescent="0.2">
      <c r="B27" s="62"/>
      <c r="J27" s="47"/>
    </row>
    <row r="28" spans="2:10" x14ac:dyDescent="0.2">
      <c r="B28" s="62"/>
      <c r="J28" s="47"/>
    </row>
    <row r="29" spans="2:10" x14ac:dyDescent="0.2">
      <c r="B29" s="227" t="s">
        <v>125</v>
      </c>
      <c r="C29" s="228"/>
      <c r="D29" s="228"/>
      <c r="E29" s="228"/>
      <c r="F29" s="228"/>
      <c r="G29" s="228"/>
      <c r="H29" s="228"/>
      <c r="I29" s="228"/>
      <c r="J29" s="229"/>
    </row>
    <row r="30" spans="2:10" ht="33.4" customHeight="1" thickBot="1" x14ac:dyDescent="0.25">
      <c r="B30" s="265" t="s">
        <v>144</v>
      </c>
      <c r="C30" s="266"/>
      <c r="D30" s="266"/>
      <c r="E30" s="266"/>
      <c r="F30" s="266"/>
      <c r="G30" s="266"/>
      <c r="H30" s="266"/>
      <c r="I30" s="266"/>
      <c r="J30" s="267"/>
    </row>
    <row r="34" spans="2:10" ht="18.75" thickBot="1" x14ac:dyDescent="0.3">
      <c r="B34" s="85" t="s">
        <v>115</v>
      </c>
      <c r="C34" s="27"/>
      <c r="D34" s="27"/>
    </row>
    <row r="35" spans="2:10" ht="15.75" x14ac:dyDescent="0.25">
      <c r="B35" s="139" t="s">
        <v>74</v>
      </c>
      <c r="C35" s="144"/>
      <c r="D35" s="144"/>
      <c r="E35" s="144"/>
      <c r="F35" s="144"/>
      <c r="G35" s="144"/>
      <c r="H35" s="144"/>
      <c r="I35" s="144"/>
      <c r="J35" s="145"/>
    </row>
    <row r="36" spans="2:10" ht="33" customHeight="1" x14ac:dyDescent="0.2">
      <c r="B36" s="268" t="s">
        <v>134</v>
      </c>
      <c r="C36" s="269"/>
      <c r="D36" s="269"/>
      <c r="E36" s="269"/>
      <c r="F36" s="269"/>
      <c r="G36" s="269"/>
      <c r="H36" s="269"/>
      <c r="I36" s="269"/>
      <c r="J36" s="270"/>
    </row>
    <row r="37" spans="2:10" ht="16.5" thickBot="1" x14ac:dyDescent="0.3">
      <c r="B37" s="100"/>
      <c r="J37" s="47"/>
    </row>
    <row r="38" spans="2:10" ht="16.5" thickBot="1" x14ac:dyDescent="0.3">
      <c r="B38" s="62"/>
      <c r="C38" s="141" t="s">
        <v>0</v>
      </c>
      <c r="D38" s="142" t="s">
        <v>10</v>
      </c>
      <c r="E38" s="69"/>
      <c r="F38" s="141" t="s">
        <v>0</v>
      </c>
      <c r="G38" s="142" t="s">
        <v>12</v>
      </c>
      <c r="J38" s="47"/>
    </row>
    <row r="39" spans="2:10" x14ac:dyDescent="0.2">
      <c r="B39" s="62"/>
      <c r="C39" s="105">
        <v>0</v>
      </c>
      <c r="D39" s="137">
        <f>_xlfn.POISSON.DIST(C39,5,FALSE)</f>
        <v>6.737946999085467E-3</v>
      </c>
      <c r="E39" s="21"/>
      <c r="F39" s="105">
        <v>0</v>
      </c>
      <c r="G39" s="137">
        <f>_xlfn.POISSON.DIST(F39,5,TRUE)</f>
        <v>6.737946999085467E-3</v>
      </c>
      <c r="J39" s="47"/>
    </row>
    <row r="40" spans="2:10" x14ac:dyDescent="0.2">
      <c r="B40" s="62"/>
      <c r="C40" s="105">
        <v>1</v>
      </c>
      <c r="D40" s="137">
        <f t="shared" ref="D40:D48" si="0">_xlfn.POISSON.DIST(C40,5,FALSE)</f>
        <v>3.368973499542733E-2</v>
      </c>
      <c r="E40" s="21"/>
      <c r="F40" s="105">
        <v>1</v>
      </c>
      <c r="G40" s="137">
        <f t="shared" ref="G40:G48" si="1">_xlfn.POISSON.DIST(F40,5,TRUE)</f>
        <v>4.0427681994512799E-2</v>
      </c>
      <c r="J40" s="47"/>
    </row>
    <row r="41" spans="2:10" x14ac:dyDescent="0.2">
      <c r="B41" s="62"/>
      <c r="C41" s="105">
        <v>2</v>
      </c>
      <c r="D41" s="137">
        <f t="shared" si="0"/>
        <v>8.4224337488568335E-2</v>
      </c>
      <c r="E41" s="21"/>
      <c r="F41" s="105">
        <v>2</v>
      </c>
      <c r="G41" s="137">
        <f t="shared" si="1"/>
        <v>0.12465201948308113</v>
      </c>
      <c r="J41" s="47"/>
    </row>
    <row r="42" spans="2:10" x14ac:dyDescent="0.2">
      <c r="B42" s="62"/>
      <c r="C42" s="105">
        <v>3</v>
      </c>
      <c r="D42" s="137">
        <f t="shared" si="0"/>
        <v>0.14037389581428059</v>
      </c>
      <c r="E42" s="21"/>
      <c r="F42" s="105">
        <v>3</v>
      </c>
      <c r="G42" s="137">
        <f t="shared" si="1"/>
        <v>0.26502591529736169</v>
      </c>
      <c r="J42" s="47"/>
    </row>
    <row r="43" spans="2:10" x14ac:dyDescent="0.2">
      <c r="B43" s="62"/>
      <c r="C43" s="105">
        <v>4</v>
      </c>
      <c r="D43" s="137">
        <f t="shared" si="0"/>
        <v>0.17546736976785074</v>
      </c>
      <c r="E43" s="21"/>
      <c r="F43" s="105">
        <v>4</v>
      </c>
      <c r="G43" s="137">
        <f t="shared" si="1"/>
        <v>0.44049328506521235</v>
      </c>
      <c r="J43" s="47"/>
    </row>
    <row r="44" spans="2:10" x14ac:dyDescent="0.2">
      <c r="B44" s="62"/>
      <c r="C44" s="105">
        <v>5</v>
      </c>
      <c r="D44" s="137">
        <f t="shared" si="0"/>
        <v>0.17546736976785071</v>
      </c>
      <c r="E44" s="21"/>
      <c r="F44" s="105">
        <v>5</v>
      </c>
      <c r="G44" s="137">
        <f t="shared" si="1"/>
        <v>0.61596065483306306</v>
      </c>
      <c r="J44" s="47"/>
    </row>
    <row r="45" spans="2:10" x14ac:dyDescent="0.2">
      <c r="B45" s="62"/>
      <c r="C45" s="105">
        <v>6</v>
      </c>
      <c r="D45" s="137">
        <f t="shared" si="0"/>
        <v>0.14622280813987559</v>
      </c>
      <c r="E45" s="21"/>
      <c r="F45" s="105">
        <v>6</v>
      </c>
      <c r="G45" s="137">
        <f t="shared" si="1"/>
        <v>0.7621834629729386</v>
      </c>
      <c r="J45" s="47"/>
    </row>
    <row r="46" spans="2:10" x14ac:dyDescent="0.2">
      <c r="B46" s="62"/>
      <c r="C46" s="105">
        <v>7</v>
      </c>
      <c r="D46" s="137">
        <f t="shared" si="0"/>
        <v>0.104444862957054</v>
      </c>
      <c r="E46" s="21"/>
      <c r="F46" s="105">
        <v>7</v>
      </c>
      <c r="G46" s="137">
        <f t="shared" si="1"/>
        <v>0.86662832592999273</v>
      </c>
      <c r="J46" s="47"/>
    </row>
    <row r="47" spans="2:10" x14ac:dyDescent="0.2">
      <c r="B47" s="62"/>
      <c r="C47" s="105">
        <v>8</v>
      </c>
      <c r="D47" s="137">
        <f t="shared" si="0"/>
        <v>6.5278039348158706E-2</v>
      </c>
      <c r="E47" s="21"/>
      <c r="F47" s="105">
        <v>8</v>
      </c>
      <c r="G47" s="137">
        <f t="shared" si="1"/>
        <v>0.93190636527815141</v>
      </c>
      <c r="J47" s="47"/>
    </row>
    <row r="48" spans="2:10" x14ac:dyDescent="0.2">
      <c r="B48" s="62"/>
      <c r="C48" s="107">
        <v>9</v>
      </c>
      <c r="D48" s="137">
        <f t="shared" si="0"/>
        <v>3.6265577415643749E-2</v>
      </c>
      <c r="E48" s="21"/>
      <c r="F48" s="107">
        <v>9</v>
      </c>
      <c r="G48" s="137">
        <f t="shared" si="1"/>
        <v>0.96817194269379514</v>
      </c>
      <c r="J48" s="47"/>
    </row>
    <row r="49" spans="2:10" x14ac:dyDescent="0.2">
      <c r="B49" s="62"/>
      <c r="J49" s="47"/>
    </row>
    <row r="50" spans="2:10" x14ac:dyDescent="0.2">
      <c r="B50" s="62"/>
      <c r="J50" s="47"/>
    </row>
    <row r="51" spans="2:10" ht="15.75" x14ac:dyDescent="0.25">
      <c r="B51" s="101" t="s">
        <v>76</v>
      </c>
      <c r="C51" s="102"/>
      <c r="D51" s="102"/>
      <c r="E51" s="102"/>
      <c r="F51" s="102"/>
      <c r="G51" s="102"/>
      <c r="H51" s="102"/>
      <c r="I51" s="102"/>
      <c r="J51" s="103"/>
    </row>
    <row r="52" spans="2:10" ht="32.65" customHeight="1" x14ac:dyDescent="0.2">
      <c r="B52" s="161" t="s">
        <v>41</v>
      </c>
      <c r="C52" s="162"/>
      <c r="D52" s="162"/>
      <c r="E52" s="162"/>
      <c r="F52" s="162"/>
      <c r="G52" s="162"/>
      <c r="H52" s="162"/>
      <c r="I52" s="162"/>
      <c r="J52" s="163"/>
    </row>
    <row r="53" spans="2:10" x14ac:dyDescent="0.2">
      <c r="B53" s="62"/>
      <c r="J53" s="47"/>
    </row>
    <row r="54" spans="2:10" x14ac:dyDescent="0.2">
      <c r="B54" s="62"/>
      <c r="C54" s="22" t="s">
        <v>42</v>
      </c>
      <c r="J54" s="47"/>
    </row>
    <row r="55" spans="2:10" x14ac:dyDescent="0.2">
      <c r="B55" s="62"/>
      <c r="C55" s="22" t="s">
        <v>135</v>
      </c>
      <c r="D55" s="99">
        <f>_xlfn.POISSON.DIST(2,0.61,FALSE)</f>
        <v>0.10109042919131067</v>
      </c>
      <c r="J55" s="47"/>
    </row>
    <row r="56" spans="2:10" x14ac:dyDescent="0.2">
      <c r="B56" s="62"/>
      <c r="C56" s="22" t="s">
        <v>136</v>
      </c>
      <c r="D56" s="99">
        <f>_xlfn.POISSON.DIST(3,0.61,FALSE)</f>
        <v>2.0555053935566503E-2</v>
      </c>
      <c r="J56" s="47"/>
    </row>
    <row r="57" spans="2:10" x14ac:dyDescent="0.2">
      <c r="B57" s="62"/>
      <c r="C57" s="22" t="s">
        <v>137</v>
      </c>
      <c r="D57" s="99">
        <f>_xlfn.POISSON.DIST(4,0.61,FALSE)</f>
        <v>3.1346457251738916E-3</v>
      </c>
      <c r="J57" s="47"/>
    </row>
    <row r="58" spans="2:10" x14ac:dyDescent="0.2">
      <c r="B58" s="62"/>
      <c r="C58" s="22" t="s">
        <v>39</v>
      </c>
      <c r="J58" s="47"/>
    </row>
    <row r="59" spans="2:10" x14ac:dyDescent="0.2">
      <c r="B59" s="62"/>
      <c r="J59" s="47"/>
    </row>
    <row r="60" spans="2:10" x14ac:dyDescent="0.2">
      <c r="B60" s="62"/>
      <c r="C60" s="22" t="s">
        <v>40</v>
      </c>
      <c r="I60" s="99">
        <f>1-_xlfn.POISSON.DIST(0,0.61,TRUE)</f>
        <v>0.45664913092550019</v>
      </c>
      <c r="J60" s="47"/>
    </row>
    <row r="61" spans="2:10" x14ac:dyDescent="0.2">
      <c r="B61" s="62"/>
      <c r="J61" s="47"/>
    </row>
    <row r="62" spans="2:10" x14ac:dyDescent="0.2">
      <c r="B62" s="62"/>
      <c r="J62" s="47"/>
    </row>
    <row r="63" spans="2:10" ht="15.75" x14ac:dyDescent="0.25">
      <c r="B63" s="101" t="s">
        <v>77</v>
      </c>
      <c r="C63" s="108"/>
      <c r="D63" s="108"/>
      <c r="E63" s="108"/>
      <c r="F63" s="108"/>
      <c r="G63" s="108"/>
      <c r="H63" s="108"/>
      <c r="I63" s="108"/>
      <c r="J63" s="109"/>
    </row>
    <row r="64" spans="2:10" ht="63.4" customHeight="1" x14ac:dyDescent="0.2">
      <c r="B64" s="230" t="s">
        <v>138</v>
      </c>
      <c r="C64" s="231"/>
      <c r="D64" s="231"/>
      <c r="E64" s="231"/>
      <c r="F64" s="231"/>
      <c r="G64" s="231"/>
      <c r="H64" s="231"/>
      <c r="I64" s="231"/>
      <c r="J64" s="232"/>
    </row>
    <row r="65" spans="2:17" x14ac:dyDescent="0.2">
      <c r="B65" s="86"/>
      <c r="J65" s="47"/>
    </row>
    <row r="66" spans="2:17" ht="15.4" customHeight="1" x14ac:dyDescent="0.2">
      <c r="B66" s="62"/>
      <c r="E66" s="271" t="s">
        <v>147</v>
      </c>
      <c r="F66" s="272"/>
      <c r="G66" s="275" t="s">
        <v>38</v>
      </c>
      <c r="H66" s="276"/>
      <c r="I66" s="279" t="s">
        <v>139</v>
      </c>
      <c r="J66" s="280"/>
    </row>
    <row r="67" spans="2:17" ht="33.75" customHeight="1" x14ac:dyDescent="0.25">
      <c r="B67" s="146" t="s">
        <v>35</v>
      </c>
      <c r="C67" s="113"/>
      <c r="E67" s="273"/>
      <c r="F67" s="274"/>
      <c r="G67" s="277"/>
      <c r="H67" s="278"/>
      <c r="I67" s="281"/>
      <c r="J67" s="282"/>
    </row>
    <row r="68" spans="2:17" x14ac:dyDescent="0.2">
      <c r="B68" s="62" t="s">
        <v>31</v>
      </c>
      <c r="C68" s="119">
        <f>BINOMDIST(11,20000,0.0005,FALSE)</f>
        <v>0.11376484063925191</v>
      </c>
      <c r="E68" s="68" t="s">
        <v>31</v>
      </c>
      <c r="F68" s="284">
        <f>_xlfn.POISSON.DIST(11,10,FALSE)</f>
        <v>0.11373639611012118</v>
      </c>
      <c r="G68" s="244">
        <f>C68-F68</f>
        <v>2.8444529130727814E-5</v>
      </c>
      <c r="H68" s="283"/>
      <c r="I68" s="285">
        <f>G68/C68</f>
        <v>2.5002917396004063E-4</v>
      </c>
      <c r="J68" s="286"/>
    </row>
    <row r="69" spans="2:17" x14ac:dyDescent="0.2">
      <c r="B69" s="131" t="s">
        <v>32</v>
      </c>
      <c r="C69" s="119">
        <f>BINOMDIST(11,20000,0.0005,TRUE)</f>
        <v>0.69680459344000079</v>
      </c>
      <c r="E69" s="70" t="s">
        <v>32</v>
      </c>
      <c r="F69" s="284">
        <f>_xlfn.POISSON.DIST(11,10,TRUE)</f>
        <v>0.69677614630310658</v>
      </c>
      <c r="G69" s="244">
        <f>C69-F69</f>
        <v>2.8447136894205194E-5</v>
      </c>
      <c r="H69" s="283"/>
      <c r="I69" s="285">
        <f>G69/C69</f>
        <v>4.0825128252623483E-5</v>
      </c>
      <c r="J69" s="286"/>
    </row>
    <row r="70" spans="2:17" x14ac:dyDescent="0.2">
      <c r="B70" s="62"/>
      <c r="J70" s="47"/>
    </row>
    <row r="71" spans="2:17" x14ac:dyDescent="0.2">
      <c r="B71" s="62"/>
      <c r="J71" s="47"/>
    </row>
    <row r="72" spans="2:17" ht="47.65" customHeight="1" x14ac:dyDescent="0.2">
      <c r="B72" s="230" t="s">
        <v>140</v>
      </c>
      <c r="C72" s="231"/>
      <c r="D72" s="231"/>
      <c r="E72" s="231"/>
      <c r="F72" s="231"/>
      <c r="G72" s="231"/>
      <c r="H72" s="231"/>
      <c r="I72" s="231"/>
      <c r="J72" s="232"/>
    </row>
    <row r="73" spans="2:17" x14ac:dyDescent="0.2">
      <c r="B73" s="62"/>
      <c r="J73" s="47"/>
    </row>
    <row r="74" spans="2:17" ht="15" customHeight="1" x14ac:dyDescent="0.2">
      <c r="B74" s="62"/>
      <c r="E74" s="245" t="s">
        <v>37</v>
      </c>
      <c r="F74" s="246"/>
      <c r="G74" s="249" t="s">
        <v>38</v>
      </c>
      <c r="H74" s="250"/>
      <c r="I74" s="253" t="s">
        <v>139</v>
      </c>
      <c r="J74" s="254"/>
    </row>
    <row r="75" spans="2:17" x14ac:dyDescent="0.2">
      <c r="B75" s="147" t="s">
        <v>35</v>
      </c>
      <c r="C75" s="143" t="s">
        <v>36</v>
      </c>
      <c r="E75" s="247"/>
      <c r="F75" s="248"/>
      <c r="G75" s="251"/>
      <c r="H75" s="252"/>
      <c r="I75" s="255"/>
      <c r="J75" s="256"/>
    </row>
    <row r="76" spans="2:17" x14ac:dyDescent="0.2">
      <c r="B76" s="62" t="s">
        <v>31</v>
      </c>
      <c r="C76" s="119">
        <f>BINOMDIST(11,20,0.8,FALSE)</f>
        <v>7.3869589200502694E-3</v>
      </c>
      <c r="E76" s="126" t="s">
        <v>31</v>
      </c>
      <c r="F76" s="118">
        <f>_xlfn.POISSON.DIST(11,16,FALSE)</f>
        <v>4.9596654295987343E-2</v>
      </c>
      <c r="G76" s="244">
        <f>C76-F76</f>
        <v>-4.2209695375937072E-2</v>
      </c>
      <c r="H76" s="257"/>
      <c r="I76" s="287">
        <f>G76/C76</f>
        <v>-5.7140828631614795</v>
      </c>
      <c r="J76" s="288"/>
    </row>
    <row r="77" spans="2:17" x14ac:dyDescent="0.2">
      <c r="B77" s="131" t="s">
        <v>32</v>
      </c>
      <c r="C77" s="119">
        <f>BINOMDIST(11,20,0.8,TRUE)</f>
        <v>9.9817863207242886E-3</v>
      </c>
      <c r="E77" s="127" t="s">
        <v>32</v>
      </c>
      <c r="F77" s="120">
        <f>_xlfn.POISSON.DIST(11,16,TRUE)</f>
        <v>0.1269926700663444</v>
      </c>
      <c r="G77" s="242">
        <f>C77-F77</f>
        <v>-0.11701088374562012</v>
      </c>
      <c r="H77" s="243"/>
      <c r="I77" s="289">
        <f>G77/C77</f>
        <v>-11.72243924944385</v>
      </c>
      <c r="J77" s="290"/>
    </row>
    <row r="78" spans="2:17" ht="15.75" thickBot="1" x14ac:dyDescent="0.25">
      <c r="B78" s="65"/>
      <c r="C78" s="66"/>
      <c r="D78" s="66"/>
      <c r="E78" s="66"/>
      <c r="F78" s="66"/>
      <c r="G78" s="66"/>
      <c r="H78" s="66"/>
      <c r="I78" s="66"/>
      <c r="J78" s="67"/>
      <c r="Q78" s="22">
        <f>20*0.8</f>
        <v>16</v>
      </c>
    </row>
  </sheetData>
  <mergeCells count="49">
    <mergeCell ref="G68:H68"/>
    <mergeCell ref="G69:H69"/>
    <mergeCell ref="I68:J68"/>
    <mergeCell ref="I69:J69"/>
    <mergeCell ref="B72:J72"/>
    <mergeCell ref="B30:J30"/>
    <mergeCell ref="B36:J36"/>
    <mergeCell ref="B52:J52"/>
    <mergeCell ref="B64:J64"/>
    <mergeCell ref="E66:F67"/>
    <mergeCell ref="G66:H67"/>
    <mergeCell ref="I66:J67"/>
    <mergeCell ref="B6:J6"/>
    <mergeCell ref="C11:D11"/>
    <mergeCell ref="E11:G11"/>
    <mergeCell ref="C12:D12"/>
    <mergeCell ref="E12:G12"/>
    <mergeCell ref="E20:G20"/>
    <mergeCell ref="C21:D21"/>
    <mergeCell ref="E21:G21"/>
    <mergeCell ref="C13:D13"/>
    <mergeCell ref="E13:G13"/>
    <mergeCell ref="C14:D14"/>
    <mergeCell ref="E14:G14"/>
    <mergeCell ref="C15:D15"/>
    <mergeCell ref="E15:G15"/>
    <mergeCell ref="C26:D26"/>
    <mergeCell ref="E26:G26"/>
    <mergeCell ref="B29:J29"/>
    <mergeCell ref="C16:D16"/>
    <mergeCell ref="E16:G16"/>
    <mergeCell ref="C25:D25"/>
    <mergeCell ref="E25:G25"/>
    <mergeCell ref="C22:D22"/>
    <mergeCell ref="E22:G22"/>
    <mergeCell ref="C23:D23"/>
    <mergeCell ref="E23:G23"/>
    <mergeCell ref="C24:D24"/>
    <mergeCell ref="E24:G24"/>
    <mergeCell ref="C17:D17"/>
    <mergeCell ref="E17:G17"/>
    <mergeCell ref="C20:D20"/>
    <mergeCell ref="G77:H77"/>
    <mergeCell ref="I76:J76"/>
    <mergeCell ref="I77:J77"/>
    <mergeCell ref="E74:F75"/>
    <mergeCell ref="G74:H75"/>
    <mergeCell ref="I74:J75"/>
    <mergeCell ref="G76:H76"/>
  </mergeCells>
  <phoneticPr fontId="4" type="noConversion"/>
  <pageMargins left="0.78740157499999996" right="0.78740157499999996" top="0.984251969" bottom="0.984251969" header="0.4921259845" footer="0.492125984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Überblick</vt:lpstr>
      <vt:lpstr>f(x) vs. F(x)</vt:lpstr>
      <vt:lpstr>X ~ B</vt:lpstr>
      <vt:lpstr>X ~ H</vt:lpstr>
      <vt:lpstr>X ~ P</vt:lpstr>
    </vt:vector>
  </TitlesOfParts>
  <Company>Universitaet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2007-06-26T11:28:05Z</dcterms:created>
  <dcterms:modified xsi:type="dcterms:W3CDTF">2026-05-28T16:02:59Z</dcterms:modified>
</cp:coreProperties>
</file>