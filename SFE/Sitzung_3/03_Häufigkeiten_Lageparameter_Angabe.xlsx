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uniaugsburg-my.sharepoint.com/personal/philipp1_hofer_uni-a_de/Documents/Uni/SoSe26/SFE/Sitzung_3/"/>
    </mc:Choice>
  </mc:AlternateContent>
  <xr:revisionPtr revIDLastSave="121" documentId="13_ncr:1_{7CBA7330-17AD-48BB-AA5F-4514E8F6D6DC}" xr6:coauthVersionLast="47" xr6:coauthVersionMax="47" xr10:uidLastSave="{D20A7057-528F-4027-B9D8-D5EBADB1DC65}"/>
  <bookViews>
    <workbookView xWindow="-28920" yWindow="3390" windowWidth="29040" windowHeight="17520" activeTab="6" xr2:uid="{00000000-000D-0000-FFFF-FFFF00000000}"/>
  </bookViews>
  <sheets>
    <sheet name="Überblick" sheetId="14" r:id="rId1"/>
    <sheet name="Summewenn &amp; Zählenwenn" sheetId="5" r:id="rId2"/>
    <sheet name="Div. Funktionen" sheetId="7" r:id="rId3"/>
    <sheet name="Aufgabe1" sheetId="8" r:id="rId4"/>
    <sheet name="Aufgabe2" sheetId="9" r:id="rId5"/>
    <sheet name="Aufgabe3" sheetId="10" r:id="rId6"/>
    <sheet name="Aufgabe 4" sheetId="12" r:id="rId7"/>
  </sheets>
  <definedNames>
    <definedName name="knie">'Summewenn &amp; Zählenwenn'!$D$47:$D$53</definedName>
    <definedName name="schmerz">'Summewenn &amp; Zählenwenn'!$E$47:$E$53</definedName>
    <definedName name="tag">'Summewenn &amp; Zählenwenn'!$B$47:$B$53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55" i="10" l="1"/>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8" i="10"/>
  <c r="E39" i="9"/>
  <c r="E37" i="9"/>
  <c r="E35" i="9"/>
  <c r="E33" i="9"/>
  <c r="E31" i="9"/>
  <c r="E29" i="9"/>
  <c r="E27" i="9"/>
  <c r="E25" i="9"/>
  <c r="H51" i="8"/>
  <c r="H52" i="8"/>
  <c r="H53" i="8"/>
  <c r="H54" i="8"/>
  <c r="H55" i="8"/>
  <c r="H56" i="8"/>
  <c r="H50" i="8"/>
  <c r="G51" i="8"/>
  <c r="G52" i="8"/>
  <c r="G53" i="8"/>
  <c r="G54" i="8"/>
  <c r="G55" i="8"/>
  <c r="G56" i="8"/>
  <c r="G50" i="8"/>
  <c r="H42" i="8"/>
  <c r="H36" i="8"/>
  <c r="H37" i="8"/>
  <c r="H38" i="8"/>
  <c r="H39" i="8"/>
  <c r="H40" i="8"/>
  <c r="H41" i="8"/>
  <c r="H35" i="8"/>
  <c r="G42" i="8"/>
  <c r="G36" i="8"/>
  <c r="G37" i="8"/>
  <c r="G38" i="8"/>
  <c r="G39" i="8"/>
  <c r="G40" i="8"/>
  <c r="G41" i="8"/>
  <c r="G35"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33" i="8"/>
  <c r="I92" i="7"/>
  <c r="F75" i="7"/>
  <c r="F44" i="7"/>
  <c r="F70" i="7" a="1"/>
  <c r="F70" i="7" s="1"/>
  <c r="I71" i="7"/>
  <c r="I69" i="7"/>
  <c r="I67" i="7"/>
  <c r="I65" i="7"/>
  <c r="I63" i="7"/>
  <c r="F65" i="7"/>
  <c r="F63" i="7"/>
  <c r="D52" i="7"/>
  <c r="D53" i="7"/>
  <c r="D54" i="7"/>
  <c r="D55" i="7"/>
  <c r="D56" i="7"/>
  <c r="D51" i="7"/>
  <c r="I40" i="7"/>
  <c r="F32" i="7"/>
  <c r="D83" i="5"/>
  <c r="D81" i="5"/>
  <c r="D79" i="5"/>
  <c r="D63" i="5"/>
  <c r="D62" i="5"/>
  <c r="D59" i="5"/>
  <c r="D57" i="5"/>
  <c r="E29" i="5"/>
  <c r="E39" i="5"/>
  <c r="E36" i="5"/>
  <c r="E32" i="5"/>
  <c r="F52" i="10" l="1" a="1"/>
  <c r="F52" i="10" s="1"/>
  <c r="F49" i="10"/>
  <c r="F47" i="10"/>
  <c r="F48" i="10"/>
  <c r="F45" i="10"/>
  <c r="F46" i="10"/>
  <c r="I38" i="7"/>
  <c r="F34" i="7" l="1"/>
  <c r="F39" i="7" a="1"/>
  <c r="F39" i="7" s="1"/>
  <c r="I32" i="7"/>
  <c r="I34" i="7"/>
  <c r="I36" i="7"/>
  <c r="F42" i="7" l="1"/>
  <c r="F40" i="7"/>
  <c r="F4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zwergebe</author>
    <author>Til</author>
  </authors>
  <commentList>
    <comment ref="E38" authorId="0" shapeId="0" xr:uid="{00000000-0006-0000-0300-000001000000}">
      <text>
        <r>
          <rPr>
            <sz val="10"/>
            <color indexed="81"/>
            <rFont val="Tahoma"/>
            <family val="2"/>
          </rPr>
          <t xml:space="preserve">
Klassen werden vom Anwender vorgegeben.</t>
        </r>
      </text>
    </comment>
    <comment ref="F38" authorId="0" shapeId="0" xr:uid="{00000000-0006-0000-0300-000002000000}">
      <text>
        <r>
          <rPr>
            <b/>
            <sz val="10"/>
            <color indexed="81"/>
            <rFont val="Tahoma"/>
            <family val="2"/>
          </rPr>
          <t xml:space="preserve">
Matrixformeln immer mit STRG+SHIFT+ENTER abschließen</t>
        </r>
        <r>
          <rPr>
            <sz val="10"/>
            <color indexed="81"/>
            <rFont val="Tahoma"/>
            <family val="2"/>
          </rPr>
          <t xml:space="preserve">
Aus der Hilfe zur Funktion HÄUFIGKEIT:
Die Ergebnismatrix umfasst ein Element mehr als das als Matrix oder Bezug auf einen Zellbereich angegebene Argument Klassen. Das zusätzliche Element in der zurückgegebenen Matrix gibt die Anzahl der Werte über dem höchsten Intervall zurück. Wenn Sie beispielsweise drei Wertebereiche (Intervalle) zählen, die in drei Zellen eingegeben werden, stellen Sie sicher, dass Sie HÄUFIGKEIT in vier Zellen für die Ergebnisse eingeben. Die </t>
        </r>
        <r>
          <rPr>
            <b/>
            <sz val="10"/>
            <color indexed="81"/>
            <rFont val="Tahoma"/>
            <family val="2"/>
          </rPr>
          <t>zusätzliche Zelle</t>
        </r>
        <r>
          <rPr>
            <sz val="10"/>
            <color indexed="81"/>
            <rFont val="Tahoma"/>
            <family val="2"/>
          </rPr>
          <t xml:space="preserve"> gibt die Anzahl der Werte in Matrix zurück, die größer als der dritte Intervallwert sind. 
</t>
        </r>
      </text>
    </comment>
    <comment ref="I93" authorId="1" shapeId="0" xr:uid="{00000000-0006-0000-0300-000003000000}">
      <text>
        <r>
          <rPr>
            <b/>
            <sz val="9"/>
            <color indexed="81"/>
            <rFont val="Tahoma"/>
            <family val="2"/>
          </rPr>
          <t>Mit welchem Operator kann auf Ungleichheit geprüft werden?
(Antwort ist mittels Excel-Hilfe beantwortbar)</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<sst xmlns="http://schemas.openxmlformats.org/spreadsheetml/2006/main" count="258" uniqueCount="187">
  <si>
    <t>Summe:</t>
  </si>
  <si>
    <t>b)</t>
  </si>
  <si>
    <t>Berg</t>
  </si>
  <si>
    <t>Wie viele Höhenmeter wurden auf langen Etappen insg. zurückgelegt?</t>
  </si>
  <si>
    <t>Wie viele Kilometer wurden auf langen Etappen durchschnittlich zurückgelegt?</t>
  </si>
  <si>
    <t>Flach</t>
  </si>
  <si>
    <t>Höhenmeter</t>
  </si>
  <si>
    <t>Etappenart</t>
  </si>
  <si>
    <t>nein</t>
  </si>
  <si>
    <t>Donnerstag</t>
  </si>
  <si>
    <t>Dienstag</t>
  </si>
  <si>
    <t>ja</t>
  </si>
  <si>
    <t>Samstag</t>
  </si>
  <si>
    <t>Gebe dem Bereich "Wochentag" den Namen "tag", dem Bereich "schmerzfrei?" den Namen "schmerz?" und dem Bereich "knieend" den Namen "knie". Löse beide Fragen nocheinmal, nun mit den Namen in den Formeln.</t>
  </si>
  <si>
    <t>Freitag</t>
  </si>
  <si>
    <t>Montag</t>
  </si>
  <si>
    <t>schmerzfrei?</t>
  </si>
  <si>
    <t>davon knieend</t>
  </si>
  <si>
    <t>Wochentag</t>
  </si>
  <si>
    <t xml:space="preserve">Wie viel Gehalt wird an diejenigen, die mehr als 7 Mio verdienen, insgesamt gezahlt? </t>
  </si>
  <si>
    <t>Wie viele der 10 Spieler verdienen mehr als 7 Mio?</t>
  </si>
  <si>
    <t>Spieler-Nr.</t>
  </si>
  <si>
    <t>Klassen</t>
  </si>
  <si>
    <t>Maximum</t>
  </si>
  <si>
    <t>Anzahl</t>
  </si>
  <si>
    <t>i</t>
  </si>
  <si>
    <t>Rohdaten:</t>
  </si>
  <si>
    <t>2. kleinster Wert</t>
  </si>
  <si>
    <t>2. größter Wert</t>
  </si>
  <si>
    <t>4. größter Wert</t>
  </si>
  <si>
    <t>Max</t>
  </si>
  <si>
    <t>Min</t>
  </si>
  <si>
    <t>Mittelwert</t>
  </si>
  <si>
    <t>Häufigkeiten</t>
  </si>
  <si>
    <t>Häufigkeit</t>
  </si>
  <si>
    <t>ungleich 9</t>
  </si>
  <si>
    <t>höchstens 5</t>
  </si>
  <si>
    <t>gleich 17</t>
  </si>
  <si>
    <t>mehr als 28</t>
  </si>
  <si>
    <t>Suchkriterium</t>
  </si>
  <si>
    <t>Zählenwenn</t>
  </si>
  <si>
    <t>k.a.</t>
  </si>
  <si>
    <t>Umsatz</t>
  </si>
  <si>
    <t>Tag</t>
  </si>
  <si>
    <t>a)</t>
  </si>
  <si>
    <t>Rohdaten</t>
  </si>
  <si>
    <t>Stückpreis (in €):</t>
  </si>
  <si>
    <t>j</t>
  </si>
  <si>
    <t>Rohdaten, geordnet:</t>
  </si>
  <si>
    <t xml:space="preserve">Eine Umfrage über den Bierkonsum Münchner Bürger ergibt bei 10 Personen die in der Tabelle "Rohdaten" angegebene Zahlenreihe (Werte in Liter pro Woche). </t>
  </si>
  <si>
    <t>mindestens 50?</t>
  </si>
  <si>
    <t>mindestens 36 und höchstens 49,</t>
  </si>
  <si>
    <t>mindestens 18 und höchstens 35,</t>
  </si>
  <si>
    <t xml:space="preserve">jünger als 18, </t>
  </si>
  <si>
    <t>Welches Alter hat die älteste Person?</t>
  </si>
  <si>
    <t>Wie viele Personen sind älter als 50 Jahre?</t>
  </si>
  <si>
    <t>Wie viele Personen sind höchstens 40 Jahre alt?</t>
  </si>
  <si>
    <t>Geburtsdatum</t>
  </si>
  <si>
    <t>Person</t>
  </si>
  <si>
    <t>Wie hoch ist die Anzahl der 27-jährigen Personen?</t>
  </si>
  <si>
    <t>Welches Durchschnittsalter besitzen die  Seminarteilnehmer?</t>
  </si>
  <si>
    <t>Diskrete Rendite:</t>
  </si>
  <si>
    <t>Stetige Rendite:</t>
  </si>
  <si>
    <t>Der Vorteil  der stetigen Rendite besteht darin, dass sie additiv entlang der Zeitachse sind. Ein Nachteil besteht darin, dass die stetigen Rendite eines Portfolios nicht einfach die gewichtete Summe der Renditen der im Portfolio enthaltenen Wertpapiere ist.</t>
  </si>
  <si>
    <t>Renditen</t>
  </si>
  <si>
    <t xml:space="preserve">Minimum </t>
  </si>
  <si>
    <t>tägliche</t>
  </si>
  <si>
    <t>wöchentliche</t>
  </si>
  <si>
    <t>monatliche</t>
  </si>
  <si>
    <t>Datum</t>
  </si>
  <si>
    <t>tägliche Rendite</t>
  </si>
  <si>
    <t>Themen in dieser Datei</t>
  </si>
  <si>
    <t>Tabellenblätter in dieser Datei</t>
  </si>
  <si>
    <t>Überblick</t>
  </si>
  <si>
    <t>Diverse Funktionen</t>
  </si>
  <si>
    <t>Aufgabe 1</t>
  </si>
  <si>
    <t>Aufgabe 4</t>
  </si>
  <si>
    <t>Aufgabe 3</t>
  </si>
  <si>
    <t>1. Grundlagen</t>
  </si>
  <si>
    <t>Funktion SUMMEWENN und ZÄHLENWENN</t>
  </si>
  <si>
    <t>Größe [cm]</t>
  </si>
  <si>
    <t>2. Übungsaufgaben</t>
  </si>
  <si>
    <t>Funktion SUMMEWENN()</t>
  </si>
  <si>
    <t>Funktion ZÄHLENWENN()</t>
  </si>
  <si>
    <r>
      <t xml:space="preserve"> </t>
    </r>
    <r>
      <rPr>
        <sz val="12"/>
        <rFont val="Arial"/>
        <family val="2"/>
      </rPr>
      <t xml:space="preserve">  Die Funktion SUMMEWENN() addiert Zahlen im vorgegeben Bereich, die das angegebene Kriterium erfüllen.</t>
    </r>
  </si>
  <si>
    <r>
      <t xml:space="preserve">   Mithilfe der Funktion SUMMEWENN</t>
    </r>
    <r>
      <rPr>
        <b/>
        <sz val="12"/>
        <color rgb="FFFF0000"/>
        <rFont val="Arial"/>
        <family val="2"/>
      </rPr>
      <t>S</t>
    </r>
    <r>
      <rPr>
        <sz val="12"/>
        <rFont val="Arial"/>
        <family val="2"/>
      </rPr>
      <t>() können mehrere Kriterien gleichzeitig berücksichtigt werden.</t>
    </r>
  </si>
  <si>
    <r>
      <t xml:space="preserve">   Mithilfe der Funktion ZÄHLENWENN</t>
    </r>
    <r>
      <rPr>
        <b/>
        <sz val="12"/>
        <color rgb="FFFF0000"/>
        <rFont val="Arial"/>
        <family val="2"/>
      </rPr>
      <t>S</t>
    </r>
    <r>
      <rPr>
        <sz val="12"/>
        <rFont val="Arial"/>
        <family val="2"/>
      </rPr>
      <t>() können mehrere Kriterien gleichzeitig berücksichtigt werden.</t>
    </r>
  </si>
  <si>
    <t>Einstiegsbeispiel:</t>
  </si>
  <si>
    <t>Fragen, die mithilfe von SUMMEWENN zu beantworten sind:</t>
  </si>
  <si>
    <t>Fragen, die mithilfe von ZÄHLENWENN zu beantworten sind:</t>
  </si>
  <si>
    <t>Wie viele der 10 Spieler sind über 2 Meter groß?</t>
  </si>
  <si>
    <t>Wie viel Gehalt wird insgesamt ausgezahlt an diejenigen, die größer als 2m sind?</t>
  </si>
  <si>
    <t>Mio. €</t>
  </si>
  <si>
    <t>Gehalt 
[Mio. €]</t>
  </si>
  <si>
    <t>Beispiel 1: Ein Steinmetz arbeitete an einer Skulptur…</t>
  </si>
  <si>
    <t>Beispiel 2: Tour de France</t>
  </si>
  <si>
    <t>Aufgaben:</t>
  </si>
  <si>
    <t>Wie viele Stunden arbeitete er insgesamt schmerzfrei knieend?</t>
  </si>
  <si>
    <t>Wie viele Stunden arbeitete er insgesamt an Donnerstagen?</t>
  </si>
  <si>
    <t>Frage 1:</t>
  </si>
  <si>
    <t>Frage 2:</t>
  </si>
  <si>
    <t>Stunden</t>
  </si>
  <si>
    <t>Länge [km]</t>
  </si>
  <si>
    <t>Einzelzeit-
fahren</t>
  </si>
  <si>
    <t>Mannschafts-
zeitfahren</t>
  </si>
  <si>
    <t xml:space="preserve">Wie viele Kilometer wurden auf langen Etappen (d.h. Länge mindestens 180km) insgesamt zurückgelegt?  </t>
  </si>
  <si>
    <r>
      <t xml:space="preserve">x </t>
    </r>
    <r>
      <rPr>
        <vertAlign val="subscript"/>
        <sz val="12"/>
        <rFont val="Arial"/>
        <family val="2"/>
      </rPr>
      <t>i</t>
    </r>
  </si>
  <si>
    <r>
      <t>|x</t>
    </r>
    <r>
      <rPr>
        <vertAlign val="subscript"/>
        <sz val="12"/>
        <rFont val="Arial"/>
        <family val="2"/>
      </rPr>
      <t>i</t>
    </r>
    <r>
      <rPr>
        <sz val="12"/>
        <rFont val="Arial"/>
        <family val="2"/>
      </rPr>
      <t>|</t>
    </r>
  </si>
  <si>
    <t>Funktion ANZAHL()</t>
  </si>
  <si>
    <t>Wiederholung: Funktion ZÄHLENWENN()</t>
  </si>
  <si>
    <t>Funktion MIN()</t>
  </si>
  <si>
    <t>Funktion MAX()</t>
  </si>
  <si>
    <t>Funktion KGRÖSSTE()</t>
  </si>
  <si>
    <t>Funktion KKLEINSTE()</t>
  </si>
  <si>
    <t>Funktion ABS()</t>
  </si>
  <si>
    <r>
      <t xml:space="preserve">   berechnet, wie viele Zellen in einem Bereich </t>
    </r>
    <r>
      <rPr>
        <b/>
        <sz val="12"/>
        <rFont val="Arial"/>
        <family val="2"/>
      </rPr>
      <t>Zahlen</t>
    </r>
    <r>
      <rPr>
        <sz val="12"/>
        <rFont val="Arial"/>
        <family val="2"/>
      </rPr>
      <t xml:space="preserve"> enthalten</t>
    </r>
  </si>
  <si>
    <r>
      <t xml:space="preserve"> </t>
    </r>
    <r>
      <rPr>
        <sz val="12"/>
        <rFont val="Arial"/>
        <family val="2"/>
      </rPr>
      <t xml:space="preserve">  Die Funktion ZÄHLENWENN() gibt die Anzahl von Zellen im vorgegeben Bereich zurück, die das angegebene
   Kriterium erfüllen.</t>
    </r>
  </si>
  <si>
    <t xml:space="preserve">   gibt die Anzahl von Zellen im vorgegeben Bereich zurück, die das angegebene Kriterium erfüllen</t>
  </si>
  <si>
    <t>Funktion HÄUFIGKEIT</t>
  </si>
  <si>
    <t xml:space="preserve">   gibt eine Häufigkeitsverteilung als einspaltige Matrix zurück</t>
  </si>
  <si>
    <t>Funktion STABW.S()</t>
  </si>
  <si>
    <t xml:space="preserve">   schätzt die Standardabweichung ausgehend von einer Stichprobe</t>
  </si>
  <si>
    <t xml:space="preserve">   gibt den kleinsten Wert einer Menge zurück</t>
  </si>
  <si>
    <t xml:space="preserve">   gibt den größten Wert einer Menge zurück</t>
  </si>
  <si>
    <t xml:space="preserve">   gibt den k-größten Wert einer Datengruppe zurück</t>
  </si>
  <si>
    <t xml:space="preserve">   gibt den k-kleinsten Wert einer Datengruppe zurück</t>
  </si>
  <si>
    <t xml:space="preserve">   gibt den Absolutwert einer Zahl zurück</t>
  </si>
  <si>
    <t>Standard-
abweichung 
(Stichprobe)</t>
  </si>
  <si>
    <t>Einführungsbeispiel 1:</t>
  </si>
  <si>
    <t>Beispiel 1: Funktion ABS()</t>
  </si>
  <si>
    <r>
      <t>Aufgabe: Gebe die absoluten Werte von x</t>
    </r>
    <r>
      <rPr>
        <b/>
        <vertAlign val="subscript"/>
        <sz val="12"/>
        <rFont val="Arial"/>
        <family val="2"/>
      </rPr>
      <t>i</t>
    </r>
    <r>
      <rPr>
        <b/>
        <sz val="12"/>
        <rFont val="Arial"/>
        <family val="2"/>
      </rPr>
      <t xml:space="preserve"> an</t>
    </r>
  </si>
  <si>
    <t>Beispiel 2: Analyse eines 100m-Laufes</t>
  </si>
  <si>
    <t>Aufgabe: Löse die gelben Felder</t>
  </si>
  <si>
    <t>Zeiten 100m-Lauf [Sek.]:</t>
  </si>
  <si>
    <t>kkleinste (k=3)</t>
  </si>
  <si>
    <t>kgrösste (k=2)</t>
  </si>
  <si>
    <t>Beispiel 3: Analyse von Umfragewerten</t>
  </si>
  <si>
    <t>Umfrageantworten: 
Person i zum Merkmal X</t>
  </si>
  <si>
    <t>Div. Funktionen</t>
  </si>
  <si>
    <t>Summewenn &amp; Zählenwenn</t>
  </si>
  <si>
    <t>Funktion Summewenn &amp; Zählenwenn</t>
  </si>
  <si>
    <t>Diverse Funktionen zur deskriptiven Datenanalyse</t>
  </si>
  <si>
    <t>Ein Einzelhändler registriert für einen Exklusivartikel im Verlauf von 30 Verkaufstagen folgende Verkaufszahlen:</t>
  </si>
  <si>
    <t>d)   Man erstelle das Stabdiagramm und das Kreissektorendiagramm mit Hilfe der absoluten Häufigkeiten. Dies ist eine Extra-Aufgabe für die Schnellen und Experimentierfreudigen unter Ihnen, da Diagramme erst später offiziell behandelt werden.</t>
  </si>
  <si>
    <t>Angabe:</t>
  </si>
  <si>
    <t xml:space="preserve">b)   Berechnen Sie die absoluten und relativen Häufigkeiten der Ausprägungen (vgl. Powerpoint-Folien "Grundlagen der Datenerhebung", Folie 6). </t>
  </si>
  <si>
    <t>c)   Berechnen Sie die absolute kumulierte Häufigkeitsverteilung und die relative kumulierte Häufigkeitsverteilung (empirische Verteilungsfunktion) für x = 0, 1, 2, 3, 4, 5, 6 (vgl. Powerpoint-Folien "Grundlagen der Datenerhebung", Folie 6).</t>
  </si>
  <si>
    <t>a)   Berechnen Sie den täglichen Umsatz bei einem Stückpreis von 3 €.</t>
  </si>
  <si>
    <t>b) absolute und relative Häufigkeiten der Ausprägungen:</t>
  </si>
  <si>
    <r>
      <t>Auspräg-
ungen: a</t>
    </r>
    <r>
      <rPr>
        <b/>
        <vertAlign val="subscript"/>
        <sz val="12"/>
        <rFont val="Arial"/>
        <family val="2"/>
      </rPr>
      <t>j</t>
    </r>
  </si>
  <si>
    <r>
      <t>absolute
 H.: h(a</t>
    </r>
    <r>
      <rPr>
        <b/>
        <vertAlign val="subscript"/>
        <sz val="12"/>
        <rFont val="Arial"/>
        <family val="2"/>
      </rPr>
      <t>j</t>
    </r>
    <r>
      <rPr>
        <b/>
        <sz val="12"/>
        <rFont val="Arial"/>
        <family val="2"/>
      </rPr>
      <t>)</t>
    </r>
  </si>
  <si>
    <r>
      <t>relative 
 H.: f(a</t>
    </r>
    <r>
      <rPr>
        <b/>
        <vertAlign val="subscript"/>
        <sz val="12"/>
        <rFont val="Arial"/>
        <family val="2"/>
      </rPr>
      <t>j</t>
    </r>
    <r>
      <rPr>
        <b/>
        <sz val="12"/>
        <rFont val="Arial"/>
        <family val="2"/>
      </rPr>
      <t>)</t>
    </r>
  </si>
  <si>
    <t>c) kumulierte abs. und rel. Häufigkeiten der Ausprägungen:</t>
  </si>
  <si>
    <t>kum. abs.
 H.: H(x)</t>
  </si>
  <si>
    <t>kum. rel. 
 H.: F(x)</t>
  </si>
  <si>
    <t>d) Stabdiagramm und Kreissektorendiagramm:</t>
  </si>
  <si>
    <r>
      <t xml:space="preserve">x </t>
    </r>
    <r>
      <rPr>
        <vertAlign val="subscript"/>
        <sz val="12"/>
        <rFont val="Arial"/>
        <family val="2"/>
      </rPr>
      <t>j</t>
    </r>
  </si>
  <si>
    <t>Aufgabe 2</t>
  </si>
  <si>
    <t>a)   Berechne den  gesamten Bierkonsum der befragten Münchener Bürger in einer Woche.</t>
  </si>
  <si>
    <t>Anzahl n:</t>
  </si>
  <si>
    <t>b)   Berechne: Modus, Median, arithmetisches Mittel und Spannweite (vgl. Powerpoint-Folien "Grundlagen der Datenerhebung", Folien 7 u. 9).</t>
  </si>
  <si>
    <t>Mittelwert    :</t>
  </si>
  <si>
    <r>
      <t>Modus x</t>
    </r>
    <r>
      <rPr>
        <vertAlign val="subscript"/>
        <sz val="12"/>
        <rFont val="Arial"/>
        <family val="2"/>
      </rPr>
      <t>Mod</t>
    </r>
    <r>
      <rPr>
        <sz val="12"/>
        <rFont val="Arial"/>
        <family val="2"/>
      </rPr>
      <t>:</t>
    </r>
  </si>
  <si>
    <r>
      <t>Median x</t>
    </r>
    <r>
      <rPr>
        <vertAlign val="subscript"/>
        <sz val="12"/>
        <rFont val="Arial"/>
        <family val="2"/>
      </rPr>
      <t>Med</t>
    </r>
    <r>
      <rPr>
        <sz val="12"/>
        <rFont val="Arial"/>
        <family val="2"/>
      </rPr>
      <t>:</t>
    </r>
  </si>
  <si>
    <t>Minimum:</t>
  </si>
  <si>
    <t>Maximum:</t>
  </si>
  <si>
    <t>Spannweite:</t>
  </si>
  <si>
    <t>Bierkonsum:</t>
  </si>
  <si>
    <t>Sie betreiben ein kleines Dienstleistungsunternehmen, dass sich auf Fortbildung im Bereich Nachhaltigkeit spezialisiert hat. Folgende Personen, von denen das Geburtsdatum bekannt ist, haben sich zu Ihrem Seminar "Nachhaltige Geldanlage" angemeldet:</t>
  </si>
  <si>
    <t>Aufgabe: Beantworten Sie die untenstehenden Fragen!</t>
  </si>
  <si>
    <t>Wie viele Personen sind…</t>
  </si>
  <si>
    <r>
      <t>R</t>
    </r>
    <r>
      <rPr>
        <vertAlign val="subscript"/>
        <sz val="12"/>
        <rFont val="Arial"/>
        <family val="2"/>
      </rPr>
      <t>t</t>
    </r>
    <r>
      <rPr>
        <sz val="12"/>
        <rFont val="Arial"/>
        <family val="2"/>
      </rPr>
      <t xml:space="preserve"> = (K</t>
    </r>
    <r>
      <rPr>
        <vertAlign val="subscript"/>
        <sz val="12"/>
        <rFont val="Arial"/>
        <family val="2"/>
      </rPr>
      <t xml:space="preserve">t </t>
    </r>
    <r>
      <rPr>
        <sz val="12"/>
        <rFont val="Arial"/>
        <family val="2"/>
      </rPr>
      <t>/ K</t>
    </r>
    <r>
      <rPr>
        <vertAlign val="subscript"/>
        <sz val="12"/>
        <rFont val="Arial"/>
        <family val="2"/>
      </rPr>
      <t>t-1</t>
    </r>
    <r>
      <rPr>
        <sz val="12"/>
        <rFont val="Arial"/>
        <family val="2"/>
      </rPr>
      <t>) -1</t>
    </r>
  </si>
  <si>
    <r>
      <t>Der Vorteil  der diskreten Rendite besteht darin, dass die Rendite eines Portfolios die gewichtete Summe der Renditen der im Portfolio enthaltenen Wertpapiere ist. Ein Nachteil besteht darin, dass -1≤ R</t>
    </r>
    <r>
      <rPr>
        <vertAlign val="subscript"/>
        <sz val="12"/>
        <rFont val="Arial"/>
        <family val="2"/>
      </rPr>
      <t>t</t>
    </r>
    <r>
      <rPr>
        <sz val="12"/>
        <rFont val="Arial"/>
        <family val="2"/>
      </rPr>
      <t xml:space="preserve"> ≤ ∞ gilt und dass die diskreten Renditen nicht additiv entlang der Zeitachse sind.</t>
    </r>
  </si>
  <si>
    <r>
      <t>r</t>
    </r>
    <r>
      <rPr>
        <vertAlign val="subscript"/>
        <sz val="12"/>
        <rFont val="Arial"/>
        <family val="2"/>
      </rPr>
      <t>t</t>
    </r>
    <r>
      <rPr>
        <sz val="12"/>
        <rFont val="Arial"/>
        <family val="2"/>
      </rPr>
      <t xml:space="preserve"> = ln(K</t>
    </r>
    <r>
      <rPr>
        <vertAlign val="subscript"/>
        <sz val="12"/>
        <rFont val="Arial"/>
        <family val="2"/>
      </rPr>
      <t xml:space="preserve">t </t>
    </r>
    <r>
      <rPr>
        <sz val="12"/>
        <rFont val="Arial"/>
        <family val="2"/>
      </rPr>
      <t>/ K</t>
    </r>
    <r>
      <rPr>
        <vertAlign val="subscript"/>
        <sz val="12"/>
        <rFont val="Arial"/>
        <family val="2"/>
      </rPr>
      <t>t-1</t>
    </r>
    <r>
      <rPr>
        <sz val="12"/>
        <rFont val="Arial"/>
        <family val="2"/>
      </rPr>
      <t>)</t>
    </r>
  </si>
  <si>
    <r>
      <t xml:space="preserve">Nachfolgend finden Sie Kurse des </t>
    </r>
    <r>
      <rPr>
        <b/>
        <sz val="12"/>
        <rFont val="Arial"/>
        <family val="2"/>
      </rPr>
      <t>Deutschen Aktienindex</t>
    </r>
    <r>
      <rPr>
        <sz val="12"/>
        <rFont val="Arial"/>
        <family val="2"/>
      </rPr>
      <t xml:space="preserve">. Erstellen Sie mit Hilfe dieser Daten drei Histogramme mit </t>
    </r>
    <r>
      <rPr>
        <b/>
        <sz val="12"/>
        <rFont val="Arial"/>
        <family val="2"/>
      </rPr>
      <t>stetigen</t>
    </r>
    <r>
      <rPr>
        <sz val="12"/>
        <rFont val="Arial"/>
        <family val="2"/>
      </rPr>
      <t xml:space="preserve"> Renditen und verwenden Sie dabei die nachfolgenden Klassenbereiche: Eines basierend auf täglichen, eines auf wöchentlichen (letzter Handelstag einer Woche bis letzter Handelstag der darauffolgenden Woche) und eines auf monatlichen Renditen (jeweils basiered auf dem letzten Handelstag eines Monats).</t>
    </r>
  </si>
  <si>
    <r>
      <t xml:space="preserve">Bestimmen Sie außerdem das </t>
    </r>
    <r>
      <rPr>
        <b/>
        <sz val="12"/>
        <rFont val="Arial"/>
        <family val="2"/>
      </rPr>
      <t>Maximum,</t>
    </r>
    <r>
      <rPr>
        <sz val="12"/>
        <rFont val="Arial"/>
        <family val="2"/>
      </rPr>
      <t xml:space="preserve"> das </t>
    </r>
    <r>
      <rPr>
        <b/>
        <sz val="12"/>
        <rFont val="Arial"/>
        <family val="2"/>
      </rPr>
      <t>Minimum</t>
    </r>
    <r>
      <rPr>
        <sz val="12"/>
        <rFont val="Arial"/>
        <family val="2"/>
      </rPr>
      <t xml:space="preserve"> und den </t>
    </r>
    <r>
      <rPr>
        <b/>
        <sz val="12"/>
        <rFont val="Arial"/>
        <family val="2"/>
      </rPr>
      <t>Mittelwert</t>
    </r>
    <r>
      <rPr>
        <sz val="12"/>
        <rFont val="Arial"/>
        <family val="2"/>
      </rPr>
      <t xml:space="preserve"> der täglichen, wöchentlichen und monatlichen Renditen.</t>
    </r>
  </si>
  <si>
    <r>
      <t xml:space="preserve">Hinweis: Bei der Ermittlung des letzten Handelstages einer Woche könnte die Funktion </t>
    </r>
    <r>
      <rPr>
        <b/>
        <sz val="12"/>
        <rFont val="Arial"/>
        <family val="2"/>
      </rPr>
      <t>WOCHENTAG()</t>
    </r>
    <r>
      <rPr>
        <sz val="12"/>
        <rFont val="Arial"/>
        <family val="2"/>
      </rPr>
      <t xml:space="preserve"> hilfreich sein.</t>
    </r>
  </si>
  <si>
    <t>Schlusskurs</t>
  </si>
  <si>
    <t>1. Grundlagen von Renditedefinition</t>
  </si>
  <si>
    <t>--&gt; In der Literatur werden daher überwiegend stetige Renditen verwendet, wenn der Zeitreihenaspekt der Untersuchung im Vordergrund steht. Diskrete Renditen werden meist verwendet, wenn die Portfoliobildung wichtig ist. (vgl. "Finanzmarktstatistik" von Schmid und Trede,  2006)</t>
  </si>
  <si>
    <t>2. Aufgabenstellung</t>
  </si>
  <si>
    <t>täglich</t>
  </si>
  <si>
    <t>wöchentlich</t>
  </si>
  <si>
    <t>monatlich</t>
  </si>
  <si>
    <t>Klassenbereiche für ... Rendite</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</si>
  <si>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</si>
  <si>
    <t>Alter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</si>
</sst>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18" x14ac:knownFonts="1">
    <font>
      <sz val="10"/>
      <name val="Arial"/>
    </font>
    <font>
      <b/>
      <sz val="14"/>
      <name val="Arial"/>
      <family val="2"/>
    </font>
    <font>
      <sz val="10"/>
      <name val="Arial"/>
      <family val="2"/>
    </font>
    <font>
      <b/>
      <sz val="10"/>
      <color indexed="81"/>
      <name val="Tahoma"/>
      <family val="2"/>
    </font>
    <font>
      <sz val="10"/>
      <color indexed="81"/>
      <name val="Tahoma"/>
      <family val="2"/>
    </font>
    <font>
      <sz val="11"/>
      <color indexed="8"/>
      <name val="Calibri"/>
      <family val="2"/>
    </font>
    <font>
      <sz val="12"/>
      <name val="Arial"/>
      <family val="2"/>
    </font>
    <font>
      <b/>
      <u/>
      <sz val="14"/>
      <name val="Arial"/>
      <family val="2"/>
    </font>
    <font>
      <b/>
      <u/>
      <sz val="12"/>
      <name val="Arial"/>
      <family val="2"/>
    </font>
    <font>
      <b/>
      <u/>
      <sz val="16"/>
      <name val="Arial"/>
      <family val="2"/>
    </font>
    <font>
      <b/>
      <sz val="12"/>
      <name val="Arial"/>
      <family val="2"/>
    </font>
    <font>
      <b/>
      <sz val="12"/>
      <color rgb="FFFF0000"/>
      <name val="Arial"/>
      <family val="2"/>
    </font>
    <font>
      <vertAlign val="subscript"/>
      <sz val="12"/>
      <name val="Arial"/>
      <family val="2"/>
    </font>
    <font>
      <b/>
      <vertAlign val="subscript"/>
      <sz val="12"/>
      <name val="Arial"/>
      <family val="2"/>
    </font>
    <font>
      <b/>
      <sz val="9"/>
      <color indexed="81"/>
      <name val="Tahoma"/>
      <family val="2"/>
    </font>
    <font>
      <b/>
      <sz val="12"/>
      <color indexed="8"/>
      <name val="Arial"/>
      <family val="2"/>
    </font>
    <font>
      <sz val="12"/>
      <color indexed="8"/>
      <name val="Arial"/>
      <family val="2"/>
    </font>
    <font>
      <sz val="20"/>
      <name val="Times New Roman"/>
      <family val="1"/>
    </font>
  </fonts>
  <fills count="11">
    <fill>
      <patternFill patternType="none"/>
    </fill>
    <fill>
      <patternFill patternType="gray125"/>
    </fill>
    <fill>
      <patternFill patternType="solid">
        <fgColor indexed="4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99"/>
        <bgColor indexed="64"/>
      </patternFill>
    </fill>
    <fill>
      <patternFill patternType="solid">
        <fgColor theme="5" tint="0.59999389629810485"/>
        <bgColor indexed="64"/>
      </patternFill>
    </fill>
  </fills>
  <borders count="6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medium">
        <color indexed="64"/>
      </top>
      <bottom style="thin">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right style="hair">
        <color indexed="64"/>
      </right>
      <top style="medium">
        <color indexed="64"/>
      </top>
      <bottom style="thin">
        <color indexed="64"/>
      </bottom>
      <diagonal/>
    </border>
    <border>
      <left/>
      <right style="hair">
        <color indexed="64"/>
      </right>
      <top style="hair">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s>
  <cellStyleXfs count="3">
    <xf numFmtId="0" fontId="0" fillId="0" borderId="0"/>
    <xf numFmtId="0" fontId="2" fillId="0" borderId="0"/>
    <xf numFmtId="0" fontId="5" fillId="0" borderId="0"/>
  </cellStyleXfs>
  <cellXfs count="281">
    <xf numFmtId="0" fontId="0" fillId="0" borderId="0" xfId="0"/>
    <xf numFmtId="0" fontId="6" fillId="0" borderId="0" xfId="0" applyFont="1"/>
    <xf numFmtId="0" fontId="6" fillId="0" borderId="0" xfId="0" applyFont="1" applyAlignment="1">
      <alignment horizontal="right"/>
    </xf>
    <xf numFmtId="0" fontId="7" fillId="4" borderId="21" xfId="0" applyFont="1" applyFill="1" applyBorder="1" applyAlignment="1">
      <alignment vertical="center"/>
    </xf>
    <xf numFmtId="0" fontId="0" fillId="4" borderId="15" xfId="0" applyFill="1" applyBorder="1"/>
    <xf numFmtId="0" fontId="0" fillId="4" borderId="16" xfId="0" applyFill="1" applyBorder="1"/>
    <xf numFmtId="0" fontId="9" fillId="5" borderId="20" xfId="0" applyFont="1" applyFill="1" applyBorder="1" applyAlignment="1">
      <alignment vertical="center"/>
    </xf>
    <xf numFmtId="0" fontId="0" fillId="5" borderId="0" xfId="0" applyFill="1"/>
    <xf numFmtId="0" fontId="0" fillId="5" borderId="14" xfId="0" applyFill="1" applyBorder="1"/>
    <xf numFmtId="0" fontId="10" fillId="5" borderId="20" xfId="0" applyFont="1" applyFill="1" applyBorder="1" applyAlignment="1">
      <alignment vertical="center"/>
    </xf>
    <xf numFmtId="0" fontId="6" fillId="5" borderId="0" xfId="0" applyFont="1" applyFill="1"/>
    <xf numFmtId="0" fontId="6" fillId="5" borderId="20" xfId="0" applyFont="1" applyFill="1" applyBorder="1"/>
    <xf numFmtId="0" fontId="10" fillId="5" borderId="20" xfId="0" applyFont="1" applyFill="1" applyBorder="1"/>
    <xf numFmtId="0" fontId="0" fillId="5" borderId="20" xfId="0" applyFill="1" applyBorder="1"/>
    <xf numFmtId="0" fontId="7" fillId="4" borderId="20" xfId="0" applyFont="1" applyFill="1" applyBorder="1" applyAlignment="1">
      <alignment vertical="center"/>
    </xf>
    <xf numFmtId="0" fontId="0" fillId="4" borderId="0" xfId="0" applyFill="1"/>
    <xf numFmtId="0" fontId="0" fillId="4" borderId="14" xfId="0" applyFill="1" applyBorder="1"/>
    <xf numFmtId="0" fontId="10" fillId="5" borderId="0" xfId="0" applyFont="1" applyFill="1" applyAlignment="1">
      <alignment vertical="center"/>
    </xf>
    <xf numFmtId="0" fontId="9" fillId="4" borderId="0" xfId="1" applyFont="1" applyFill="1"/>
    <xf numFmtId="0" fontId="6" fillId="4" borderId="0" xfId="1" applyFont="1" applyFill="1"/>
    <xf numFmtId="0" fontId="1" fillId="4" borderId="0" xfId="0" applyFont="1" applyFill="1"/>
    <xf numFmtId="0" fontId="10" fillId="5" borderId="1" xfId="0" applyFont="1" applyFill="1" applyBorder="1"/>
    <xf numFmtId="0" fontId="6" fillId="5" borderId="10" xfId="0" applyFont="1" applyFill="1" applyBorder="1"/>
    <xf numFmtId="0" fontId="6" fillId="5" borderId="2" xfId="0" applyFont="1" applyFill="1" applyBorder="1"/>
    <xf numFmtId="0" fontId="10" fillId="4" borderId="3" xfId="0" applyFont="1" applyFill="1" applyBorder="1"/>
    <xf numFmtId="0" fontId="6" fillId="4" borderId="0" xfId="0" applyFont="1" applyFill="1"/>
    <xf numFmtId="0" fontId="6" fillId="4" borderId="4" xfId="0" applyFont="1" applyFill="1" applyBorder="1"/>
    <xf numFmtId="0" fontId="6" fillId="5" borderId="3" xfId="0" applyFont="1" applyFill="1" applyBorder="1"/>
    <xf numFmtId="0" fontId="6" fillId="5" borderId="4" xfId="0" applyFont="1" applyFill="1" applyBorder="1"/>
    <xf numFmtId="0" fontId="6" fillId="5" borderId="5" xfId="0" applyFont="1" applyFill="1" applyBorder="1"/>
    <xf numFmtId="0" fontId="6" fillId="5" borderId="11" xfId="0" applyFont="1" applyFill="1" applyBorder="1"/>
    <xf numFmtId="0" fontId="6" fillId="5" borderId="9" xfId="0" applyFont="1" applyFill="1" applyBorder="1"/>
    <xf numFmtId="0" fontId="10" fillId="5" borderId="3" xfId="0" applyFont="1" applyFill="1" applyBorder="1"/>
    <xf numFmtId="0" fontId="10" fillId="0" borderId="0" xfId="1" applyFont="1" applyAlignment="1">
      <alignment horizontal="center"/>
    </xf>
    <xf numFmtId="0" fontId="6" fillId="0" borderId="0" xfId="1" applyFont="1"/>
    <xf numFmtId="14" fontId="6" fillId="0" borderId="0" xfId="1" applyNumberFormat="1" applyFont="1"/>
    <xf numFmtId="0" fontId="8" fillId="0" borderId="0" xfId="1" applyFont="1"/>
    <xf numFmtId="0" fontId="6" fillId="0" borderId="0" xfId="1" applyFont="1" applyAlignment="1">
      <alignment wrapText="1"/>
    </xf>
    <xf numFmtId="0" fontId="6" fillId="0" borderId="3" xfId="1" applyFont="1" applyBorder="1" applyAlignment="1">
      <alignment wrapText="1"/>
    </xf>
    <xf numFmtId="0" fontId="6" fillId="0" borderId="4" xfId="1" applyFont="1" applyBorder="1"/>
    <xf numFmtId="0" fontId="10" fillId="0" borderId="0" xfId="0" applyFont="1"/>
    <xf numFmtId="0" fontId="6" fillId="0" borderId="10" xfId="0" applyFont="1" applyBorder="1"/>
    <xf numFmtId="0" fontId="6" fillId="0" borderId="2" xfId="0" applyFont="1" applyBorder="1"/>
    <xf numFmtId="0" fontId="6" fillId="0" borderId="3" xfId="0" applyFont="1" applyBorder="1"/>
    <xf numFmtId="0" fontId="6" fillId="0" borderId="4" xfId="0" applyFont="1" applyBorder="1"/>
    <xf numFmtId="0" fontId="6" fillId="0" borderId="11" xfId="0" applyFont="1" applyBorder="1"/>
    <xf numFmtId="0" fontId="6" fillId="0" borderId="9" xfId="0" applyFont="1" applyBorder="1"/>
    <xf numFmtId="0" fontId="6" fillId="0" borderId="18" xfId="0" applyFont="1" applyBorder="1"/>
    <xf numFmtId="0" fontId="6" fillId="0" borderId="17" xfId="0" applyFont="1" applyBorder="1"/>
    <xf numFmtId="0" fontId="6" fillId="0" borderId="0" xfId="0" applyFont="1" applyAlignment="1">
      <alignment vertical="top"/>
    </xf>
    <xf numFmtId="0" fontId="6" fillId="0" borderId="0" xfId="0" applyFont="1" applyAlignment="1">
      <alignment horizontal="center"/>
    </xf>
    <xf numFmtId="0" fontId="10" fillId="0" borderId="3" xfId="0" applyFont="1" applyBorder="1"/>
    <xf numFmtId="0" fontId="6" fillId="9" borderId="0" xfId="0" applyFont="1" applyFill="1"/>
    <xf numFmtId="0" fontId="10" fillId="5" borderId="31" xfId="0" applyFont="1" applyFill="1" applyBorder="1" applyAlignment="1">
      <alignment horizontal="center" vertical="center"/>
    </xf>
    <xf numFmtId="0" fontId="10" fillId="5" borderId="30" xfId="0" applyFont="1" applyFill="1" applyBorder="1" applyAlignment="1">
      <alignment horizontal="center" vertical="center" wrapText="1"/>
    </xf>
    <xf numFmtId="0" fontId="10" fillId="5" borderId="29" xfId="0" applyFont="1" applyFill="1" applyBorder="1" applyAlignment="1">
      <alignment horizontal="center" vertical="center" wrapText="1"/>
    </xf>
    <xf numFmtId="0" fontId="6" fillId="5" borderId="0" xfId="0" applyFont="1" applyFill="1" applyAlignment="1">
      <alignment vertical="top"/>
    </xf>
    <xf numFmtId="0" fontId="6" fillId="5" borderId="28" xfId="0" applyFont="1" applyFill="1" applyBorder="1" applyAlignment="1">
      <alignment horizontal="center"/>
    </xf>
    <xf numFmtId="0" fontId="6" fillId="5" borderId="27" xfId="0" applyFont="1" applyFill="1" applyBorder="1" applyAlignment="1">
      <alignment horizontal="center"/>
    </xf>
    <xf numFmtId="0" fontId="6" fillId="5" borderId="26" xfId="0" applyFont="1" applyFill="1" applyBorder="1" applyAlignment="1">
      <alignment horizontal="center"/>
    </xf>
    <xf numFmtId="0" fontId="6" fillId="5" borderId="25" xfId="0" applyFont="1" applyFill="1" applyBorder="1" applyAlignment="1">
      <alignment horizontal="center"/>
    </xf>
    <xf numFmtId="0" fontId="6" fillId="5" borderId="18" xfId="0" applyFont="1" applyFill="1" applyBorder="1" applyAlignment="1">
      <alignment horizontal="center"/>
    </xf>
    <xf numFmtId="0" fontId="6" fillId="5" borderId="17" xfId="0" applyFont="1" applyFill="1" applyBorder="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22" xfId="0" applyFont="1" applyFill="1" applyBorder="1" applyAlignment="1">
      <alignment horizontal="center"/>
    </xf>
    <xf numFmtId="0" fontId="10" fillId="6" borderId="3" xfId="0" applyFont="1" applyFill="1" applyBorder="1"/>
    <xf numFmtId="0" fontId="6" fillId="6" borderId="0" xfId="0" applyFont="1" applyFill="1"/>
    <xf numFmtId="0" fontId="6" fillId="6" borderId="4" xfId="0" applyFont="1" applyFill="1" applyBorder="1"/>
    <xf numFmtId="0" fontId="10" fillId="7" borderId="3" xfId="0" applyFont="1" applyFill="1" applyBorder="1"/>
    <xf numFmtId="0" fontId="6" fillId="7" borderId="0" xfId="0" applyFont="1" applyFill="1"/>
    <xf numFmtId="0" fontId="6" fillId="7" borderId="4" xfId="0" applyFont="1" applyFill="1" applyBorder="1"/>
    <xf numFmtId="0" fontId="6" fillId="0" borderId="20" xfId="0" applyFont="1" applyBorder="1"/>
    <xf numFmtId="0" fontId="6" fillId="0" borderId="15" xfId="0" applyFont="1" applyBorder="1"/>
    <xf numFmtId="0" fontId="10" fillId="7" borderId="0" xfId="0" applyFont="1" applyFill="1"/>
    <xf numFmtId="0" fontId="6" fillId="0" borderId="27" xfId="0" applyFont="1" applyBorder="1"/>
    <xf numFmtId="0" fontId="6" fillId="0" borderId="26" xfId="0" applyFont="1" applyBorder="1"/>
    <xf numFmtId="0" fontId="10" fillId="7" borderId="1" xfId="0" applyFont="1" applyFill="1" applyBorder="1"/>
    <xf numFmtId="0" fontId="10" fillId="7" borderId="10" xfId="0" applyFont="1" applyFill="1" applyBorder="1"/>
    <xf numFmtId="0" fontId="10" fillId="7" borderId="2" xfId="0" applyFont="1" applyFill="1" applyBorder="1"/>
    <xf numFmtId="0" fontId="10" fillId="7" borderId="4" xfId="0" applyFont="1" applyFill="1" applyBorder="1"/>
    <xf numFmtId="0" fontId="6" fillId="0" borderId="23" xfId="0" applyFont="1" applyBorder="1"/>
    <xf numFmtId="0" fontId="6" fillId="0" borderId="22" xfId="0" applyFont="1" applyBorder="1"/>
    <xf numFmtId="0" fontId="6" fillId="0" borderId="3" xfId="0" applyFont="1" applyBorder="1" applyAlignment="1">
      <alignment wrapText="1"/>
    </xf>
    <xf numFmtId="0" fontId="6" fillId="0" borderId="4" xfId="0" applyFont="1" applyBorder="1" applyAlignment="1">
      <alignment horizontal="center"/>
    </xf>
    <xf numFmtId="0" fontId="6" fillId="0" borderId="50" xfId="0" applyFont="1" applyBorder="1"/>
    <xf numFmtId="0" fontId="6" fillId="0" borderId="51" xfId="0" applyFont="1" applyBorder="1"/>
    <xf numFmtId="0" fontId="6" fillId="0" borderId="33" xfId="0" applyFont="1" applyBorder="1"/>
    <xf numFmtId="0" fontId="6" fillId="0" borderId="43" xfId="0" applyFont="1" applyBorder="1"/>
    <xf numFmtId="0" fontId="6" fillId="0" borderId="32" xfId="0" applyFont="1" applyBorder="1"/>
    <xf numFmtId="0" fontId="6" fillId="0" borderId="44" xfId="0" applyFont="1" applyBorder="1"/>
    <xf numFmtId="0" fontId="6" fillId="0" borderId="41" xfId="0" applyFont="1" applyBorder="1"/>
    <xf numFmtId="0" fontId="10" fillId="0" borderId="49" xfId="0" applyFont="1" applyBorder="1" applyAlignment="1">
      <alignment horizontal="center"/>
    </xf>
    <xf numFmtId="0" fontId="10" fillId="0" borderId="30" xfId="0" applyFont="1" applyBorder="1" applyAlignment="1">
      <alignment horizontal="center"/>
    </xf>
    <xf numFmtId="0" fontId="10" fillId="0" borderId="29" xfId="0" applyFont="1" applyBorder="1" applyAlignment="1">
      <alignment horizontal="center"/>
    </xf>
    <xf numFmtId="0" fontId="10" fillId="0" borderId="52" xfId="0" applyFont="1" applyBorder="1" applyAlignment="1">
      <alignment horizontal="center"/>
    </xf>
    <xf numFmtId="0" fontId="6" fillId="0" borderId="53" xfId="0" applyFont="1" applyBorder="1"/>
    <xf numFmtId="0" fontId="6" fillId="0" borderId="54" xfId="0" applyFont="1" applyBorder="1"/>
    <xf numFmtId="0" fontId="6" fillId="0" borderId="55" xfId="0" applyFont="1" applyBorder="1"/>
    <xf numFmtId="0" fontId="10" fillId="0" borderId="56" xfId="0" applyFont="1" applyBorder="1" applyAlignment="1">
      <alignment horizontal="center"/>
    </xf>
    <xf numFmtId="0" fontId="6" fillId="0" borderId="57" xfId="0" applyFont="1" applyBorder="1"/>
    <xf numFmtId="0" fontId="10" fillId="0" borderId="38" xfId="0" applyFont="1" applyBorder="1" applyAlignment="1">
      <alignment horizontal="center"/>
    </xf>
    <xf numFmtId="0" fontId="6" fillId="0" borderId="58" xfId="0" applyFont="1" applyBorder="1"/>
    <xf numFmtId="0" fontId="6" fillId="0" borderId="59" xfId="0" applyFont="1" applyBorder="1"/>
    <xf numFmtId="0" fontId="6" fillId="0" borderId="60" xfId="0" applyFont="1" applyBorder="1"/>
    <xf numFmtId="0" fontId="10" fillId="0" borderId="61" xfId="0" applyFont="1" applyBorder="1" applyAlignment="1">
      <alignment horizontal="center"/>
    </xf>
    <xf numFmtId="0" fontId="6" fillId="0" borderId="61" xfId="0" applyFont="1" applyBorder="1"/>
    <xf numFmtId="0" fontId="6" fillId="0" borderId="59" xfId="0" applyFont="1" applyBorder="1" applyAlignment="1">
      <alignment wrapText="1"/>
    </xf>
    <xf numFmtId="0" fontId="6" fillId="0" borderId="40" xfId="0" applyFont="1" applyBorder="1" applyAlignment="1">
      <alignment horizontal="center"/>
    </xf>
    <xf numFmtId="0" fontId="6" fillId="0" borderId="39" xfId="0" applyFont="1" applyBorder="1" applyAlignment="1">
      <alignment horizontal="center"/>
    </xf>
    <xf numFmtId="0" fontId="6" fillId="0" borderId="3" xfId="0" applyFont="1" applyBorder="1" applyAlignment="1">
      <alignment horizontal="center"/>
    </xf>
    <xf numFmtId="0" fontId="6" fillId="0" borderId="5" xfId="0" applyFont="1" applyBorder="1" applyAlignment="1">
      <alignment horizontal="center"/>
    </xf>
    <xf numFmtId="0" fontId="6" fillId="0" borderId="9" xfId="0" applyFont="1" applyBorder="1" applyAlignment="1">
      <alignment horizontal="center"/>
    </xf>
    <xf numFmtId="0" fontId="10" fillId="0" borderId="42" xfId="0" applyFont="1" applyBorder="1"/>
    <xf numFmtId="0" fontId="10" fillId="0" borderId="21" xfId="0" applyFont="1" applyBorder="1"/>
    <xf numFmtId="0" fontId="6" fillId="0" borderId="16" xfId="0" applyFont="1" applyBorder="1"/>
    <xf numFmtId="0" fontId="10" fillId="0" borderId="19" xfId="0" applyFont="1" applyBorder="1"/>
    <xf numFmtId="0" fontId="6" fillId="0" borderId="13" xfId="0" applyFont="1" applyBorder="1"/>
    <xf numFmtId="0" fontId="6" fillId="0" borderId="14" xfId="0" applyFont="1" applyBorder="1"/>
    <xf numFmtId="0" fontId="6" fillId="0" borderId="19" xfId="0" applyFont="1" applyBorder="1"/>
    <xf numFmtId="0" fontId="6" fillId="0" borderId="38" xfId="0" applyFont="1" applyBorder="1" applyAlignment="1">
      <alignment horizontal="center"/>
    </xf>
    <xf numFmtId="0" fontId="6" fillId="0" borderId="0" xfId="0" applyFont="1" applyAlignment="1">
      <alignment vertical="top" wrapText="1"/>
    </xf>
    <xf numFmtId="0" fontId="6" fillId="0" borderId="4" xfId="0" applyFont="1" applyBorder="1" applyAlignment="1">
      <alignment vertical="top"/>
    </xf>
    <xf numFmtId="0" fontId="9" fillId="4" borderId="0" xfId="0" applyFont="1" applyFill="1"/>
    <xf numFmtId="0" fontId="6" fillId="5" borderId="1" xfId="0" applyFont="1" applyFill="1" applyBorder="1"/>
    <xf numFmtId="0" fontId="6" fillId="9" borderId="41" xfId="0" applyFont="1" applyFill="1" applyBorder="1"/>
    <xf numFmtId="0" fontId="6" fillId="9" borderId="16" xfId="0" applyFont="1" applyFill="1" applyBorder="1"/>
    <xf numFmtId="0" fontId="6" fillId="9" borderId="14" xfId="0" applyFont="1" applyFill="1" applyBorder="1"/>
    <xf numFmtId="0" fontId="6" fillId="9" borderId="13" xfId="0" applyFont="1" applyFill="1" applyBorder="1"/>
    <xf numFmtId="0" fontId="10" fillId="0" borderId="42" xfId="0" applyFont="1" applyBorder="1" applyAlignment="1">
      <alignment wrapText="1"/>
    </xf>
    <xf numFmtId="0" fontId="6" fillId="9" borderId="41" xfId="0" applyFont="1" applyFill="1" applyBorder="1" applyAlignment="1">
      <alignment vertical="center"/>
    </xf>
    <xf numFmtId="0" fontId="6" fillId="9" borderId="8" xfId="0" applyFont="1" applyFill="1" applyBorder="1"/>
    <xf numFmtId="0" fontId="10" fillId="6" borderId="0" xfId="0" applyFont="1" applyFill="1"/>
    <xf numFmtId="0" fontId="6" fillId="0" borderId="21" xfId="0" applyFont="1" applyBorder="1"/>
    <xf numFmtId="0" fontId="6" fillId="0" borderId="36" xfId="0" applyFont="1" applyBorder="1" applyAlignment="1">
      <alignment horizontal="center"/>
    </xf>
    <xf numFmtId="0" fontId="6" fillId="0" borderId="20" xfId="0" applyFont="1" applyBorder="1" applyAlignment="1">
      <alignment horizontal="center"/>
    </xf>
    <xf numFmtId="0" fontId="6" fillId="0" borderId="12" xfId="0" applyFont="1" applyBorder="1"/>
    <xf numFmtId="0" fontId="6" fillId="0" borderId="1" xfId="0" applyFont="1" applyBorder="1"/>
    <xf numFmtId="0" fontId="6" fillId="9" borderId="62" xfId="0" applyFont="1" applyFill="1" applyBorder="1"/>
    <xf numFmtId="0" fontId="10" fillId="6" borderId="4" xfId="0" applyFont="1" applyFill="1" applyBorder="1"/>
    <xf numFmtId="0" fontId="6" fillId="9" borderId="47" xfId="0" applyFont="1" applyFill="1" applyBorder="1"/>
    <xf numFmtId="0" fontId="6" fillId="0" borderId="48" xfId="0" applyFont="1" applyBorder="1"/>
    <xf numFmtId="0" fontId="6" fillId="0" borderId="3" xfId="0" applyFont="1" applyBorder="1" applyAlignment="1">
      <alignment horizontal="right"/>
    </xf>
    <xf numFmtId="0" fontId="6" fillId="0" borderId="0" xfId="0" applyFont="1" applyAlignment="1">
      <alignment horizontal="left"/>
    </xf>
    <xf numFmtId="0" fontId="6" fillId="4" borderId="0" xfId="0" applyFont="1" applyFill="1" applyAlignment="1">
      <alignment horizontal="center"/>
    </xf>
    <xf numFmtId="0" fontId="6" fillId="0" borderId="11" xfId="0" applyFont="1" applyBorder="1" applyAlignment="1">
      <alignment horizontal="center"/>
    </xf>
    <xf numFmtId="0" fontId="6" fillId="0" borderId="34" xfId="0" applyFont="1" applyBorder="1"/>
    <xf numFmtId="0" fontId="6" fillId="0" borderId="63" xfId="0" applyFont="1" applyBorder="1"/>
    <xf numFmtId="0" fontId="6" fillId="0" borderId="65" xfId="0" applyFont="1" applyBorder="1"/>
    <xf numFmtId="0" fontId="6" fillId="0" borderId="46" xfId="0" applyFont="1" applyBorder="1" applyAlignment="1">
      <alignment horizontal="center"/>
    </xf>
    <xf numFmtId="0" fontId="6" fillId="0" borderId="19" xfId="0" applyFont="1" applyBorder="1" applyAlignment="1">
      <alignment horizontal="center"/>
    </xf>
    <xf numFmtId="0" fontId="6" fillId="0" borderId="12" xfId="0" applyFont="1" applyBorder="1" applyAlignment="1">
      <alignment horizontal="center"/>
    </xf>
    <xf numFmtId="0" fontId="6" fillId="0" borderId="48" xfId="0" applyFont="1" applyBorder="1" applyAlignment="1">
      <alignment horizontal="center"/>
    </xf>
    <xf numFmtId="0" fontId="10" fillId="0" borderId="37" xfId="0" applyFont="1" applyBorder="1"/>
    <xf numFmtId="0" fontId="10" fillId="0" borderId="63" xfId="0" applyFont="1" applyBorder="1"/>
    <xf numFmtId="0" fontId="10" fillId="0" borderId="65" xfId="0" applyFont="1" applyBorder="1"/>
    <xf numFmtId="0" fontId="10" fillId="0" borderId="35" xfId="0" applyFont="1" applyBorder="1"/>
    <xf numFmtId="0" fontId="10" fillId="6" borderId="0" xfId="0" applyFont="1" applyFill="1" applyAlignment="1">
      <alignment horizontal="center"/>
    </xf>
    <xf numFmtId="0" fontId="10" fillId="7" borderId="10" xfId="0" applyFont="1" applyFill="1" applyBorder="1" applyAlignment="1">
      <alignment horizontal="center"/>
    </xf>
    <xf numFmtId="0" fontId="10" fillId="0" borderId="0" xfId="0" applyFont="1" applyAlignment="1">
      <alignment vertical="top" wrapText="1"/>
    </xf>
    <xf numFmtId="0" fontId="6" fillId="9" borderId="14" xfId="0" applyFont="1" applyFill="1" applyBorder="1" applyAlignment="1">
      <alignment horizontal="center"/>
    </xf>
    <xf numFmtId="0" fontId="6" fillId="0" borderId="14" xfId="0" applyFont="1" applyBorder="1" applyAlignment="1">
      <alignment horizontal="center"/>
    </xf>
    <xf numFmtId="0" fontId="6" fillId="0" borderId="13" xfId="0" applyFont="1" applyBorder="1" applyAlignment="1">
      <alignment horizontal="center"/>
    </xf>
    <xf numFmtId="0" fontId="10" fillId="9" borderId="41" xfId="0" applyFont="1" applyFill="1" applyBorder="1" applyAlignment="1">
      <alignment horizontal="center"/>
    </xf>
    <xf numFmtId="0" fontId="6" fillId="0" borderId="42" xfId="0" quotePrefix="1" applyFont="1" applyBorder="1" applyAlignment="1">
      <alignment horizontal="center"/>
    </xf>
    <xf numFmtId="0" fontId="6" fillId="0" borderId="41" xfId="0" quotePrefix="1" applyFont="1" applyBorder="1" applyAlignment="1">
      <alignment horizontal="center"/>
    </xf>
    <xf numFmtId="0" fontId="6" fillId="9" borderId="41" xfId="0" applyFont="1" applyFill="1" applyBorder="1" applyAlignment="1">
      <alignment horizontal="center"/>
    </xf>
    <xf numFmtId="0" fontId="6" fillId="0" borderId="0" xfId="0" applyFont="1" applyAlignment="1">
      <alignment wrapText="1"/>
    </xf>
    <xf numFmtId="0" fontId="6" fillId="0" borderId="32" xfId="0" applyFont="1" applyBorder="1" applyAlignment="1">
      <alignment horizontal="right"/>
    </xf>
    <xf numFmtId="0" fontId="10" fillId="0" borderId="44" xfId="0" applyFont="1" applyBorder="1" applyAlignment="1">
      <alignment horizontal="center" wrapText="1"/>
    </xf>
    <xf numFmtId="0" fontId="10" fillId="0" borderId="45" xfId="0" quotePrefix="1" applyFont="1" applyBorder="1" applyAlignment="1">
      <alignment horizontal="center" wrapText="1"/>
    </xf>
    <xf numFmtId="0" fontId="10" fillId="0" borderId="44" xfId="0" quotePrefix="1" applyFont="1" applyBorder="1" applyAlignment="1">
      <alignment horizontal="center" wrapText="1"/>
    </xf>
    <xf numFmtId="0" fontId="6" fillId="8" borderId="0" xfId="0" applyFont="1" applyFill="1" applyAlignment="1">
      <alignment horizontal="center"/>
    </xf>
    <xf numFmtId="0" fontId="6" fillId="0" borderId="0" xfId="0" applyFont="1" applyAlignment="1">
      <alignment horizontal="center" wrapText="1"/>
    </xf>
    <xf numFmtId="0" fontId="6" fillId="0" borderId="4" xfId="0" applyFont="1" applyBorder="1" applyAlignment="1">
      <alignment horizontal="right"/>
    </xf>
    <xf numFmtId="0" fontId="6" fillId="0" borderId="5" xfId="0" applyFont="1" applyBorder="1" applyAlignment="1">
      <alignment horizontal="right"/>
    </xf>
    <xf numFmtId="0" fontId="6" fillId="0" borderId="9" xfId="0" applyFont="1" applyBorder="1" applyAlignment="1">
      <alignment horizontal="right"/>
    </xf>
    <xf numFmtId="0" fontId="9" fillId="0" borderId="0" xfId="0" applyFont="1"/>
    <xf numFmtId="0" fontId="10" fillId="6" borderId="0" xfId="0" applyFont="1" applyFill="1" applyAlignment="1">
      <alignment horizontal="right"/>
    </xf>
    <xf numFmtId="0" fontId="6" fillId="7" borderId="10" xfId="0" applyFont="1" applyFill="1" applyBorder="1"/>
    <xf numFmtId="0" fontId="6" fillId="7" borderId="10" xfId="0" applyFont="1" applyFill="1" applyBorder="1" applyAlignment="1">
      <alignment horizontal="center"/>
    </xf>
    <xf numFmtId="0" fontId="6" fillId="7" borderId="2" xfId="0" applyFont="1" applyFill="1" applyBorder="1" applyAlignment="1">
      <alignment horizontal="center"/>
    </xf>
    <xf numFmtId="0" fontId="10" fillId="6" borderId="4" xfId="0" applyFont="1" applyFill="1" applyBorder="1" applyAlignment="1">
      <alignment horizontal="center"/>
    </xf>
    <xf numFmtId="0" fontId="8" fillId="0" borderId="0" xfId="0" applyFont="1"/>
    <xf numFmtId="0" fontId="6" fillId="9" borderId="16" xfId="0" applyFont="1" applyFill="1" applyBorder="1" applyAlignment="1">
      <alignment horizontal="right"/>
    </xf>
    <xf numFmtId="0" fontId="6" fillId="0" borderId="14" xfId="0" applyFont="1" applyBorder="1" applyAlignment="1">
      <alignment horizontal="right"/>
    </xf>
    <xf numFmtId="0" fontId="6" fillId="0" borderId="15" xfId="0" applyFont="1" applyBorder="1" applyAlignment="1">
      <alignment horizontal="left"/>
    </xf>
    <xf numFmtId="0" fontId="6" fillId="0" borderId="12" xfId="0" applyFont="1" applyBorder="1" applyAlignment="1">
      <alignment horizontal="left"/>
    </xf>
    <xf numFmtId="0" fontId="15" fillId="0" borderId="44" xfId="2" applyFont="1" applyBorder="1" applyAlignment="1">
      <alignment horizontal="center"/>
    </xf>
    <xf numFmtId="14" fontId="16" fillId="0" borderId="43" xfId="2" applyNumberFormat="1" applyFont="1" applyBorder="1" applyAlignment="1">
      <alignment horizontal="center"/>
    </xf>
    <xf numFmtId="14" fontId="16" fillId="0" borderId="32" xfId="2" applyNumberFormat="1" applyFont="1" applyBorder="1" applyAlignment="1">
      <alignment horizontal="center"/>
    </xf>
    <xf numFmtId="0" fontId="6" fillId="2" borderId="16" xfId="0" applyFont="1" applyFill="1" applyBorder="1"/>
    <xf numFmtId="0" fontId="6" fillId="2" borderId="14" xfId="0" applyFont="1" applyFill="1" applyBorder="1"/>
    <xf numFmtId="0" fontId="6" fillId="0" borderId="4" xfId="0" applyFont="1" applyBorder="1" applyAlignment="1">
      <alignment wrapText="1"/>
    </xf>
    <xf numFmtId="0" fontId="15" fillId="0" borderId="64" xfId="2" applyFont="1" applyBorder="1" applyAlignment="1">
      <alignment horizontal="center"/>
    </xf>
    <xf numFmtId="0" fontId="16" fillId="0" borderId="3" xfId="2" applyFont="1" applyBorder="1" applyAlignment="1">
      <alignment horizontal="center"/>
    </xf>
    <xf numFmtId="14" fontId="6" fillId="0" borderId="0" xfId="0" applyNumberFormat="1" applyFont="1"/>
    <xf numFmtId="0" fontId="16" fillId="0" borderId="65" xfId="2" applyFont="1" applyBorder="1" applyAlignment="1">
      <alignment horizontal="center"/>
    </xf>
    <xf numFmtId="0" fontId="16" fillId="0" borderId="3" xfId="2" applyFont="1" applyBorder="1" applyAlignment="1">
      <alignment horizontal="left"/>
    </xf>
    <xf numFmtId="10" fontId="6" fillId="0" borderId="0" xfId="0" applyNumberFormat="1" applyFont="1" applyAlignment="1">
      <alignment wrapText="1"/>
    </xf>
    <xf numFmtId="10" fontId="6" fillId="0" borderId="0" xfId="1" applyNumberFormat="1" applyFont="1"/>
    <xf numFmtId="0" fontId="6" fillId="9" borderId="41" xfId="1" applyFont="1" applyFill="1" applyBorder="1" applyAlignment="1">
      <alignment horizontal="center" vertical="center" wrapText="1"/>
    </xf>
    <xf numFmtId="0" fontId="6" fillId="8" borderId="42" xfId="1" applyFont="1" applyFill="1" applyBorder="1" applyAlignment="1">
      <alignment horizontal="center" vertical="center" wrapText="1"/>
    </xf>
    <xf numFmtId="0" fontId="6" fillId="8" borderId="44" xfId="1" applyFont="1" applyFill="1" applyBorder="1" applyAlignment="1">
      <alignment horizontal="center" vertical="center" wrapText="1"/>
    </xf>
    <xf numFmtId="0" fontId="8" fillId="5" borderId="3" xfId="1" applyFont="1" applyFill="1" applyBorder="1"/>
    <xf numFmtId="0" fontId="6" fillId="5" borderId="0" xfId="1" applyFont="1" applyFill="1"/>
    <xf numFmtId="0" fontId="6" fillId="5" borderId="4" xfId="1" applyFont="1" applyFill="1" applyBorder="1"/>
    <xf numFmtId="0" fontId="10" fillId="4" borderId="1" xfId="1" applyFont="1" applyFill="1" applyBorder="1"/>
    <xf numFmtId="0" fontId="6" fillId="4" borderId="10" xfId="1" applyFont="1" applyFill="1" applyBorder="1"/>
    <xf numFmtId="0" fontId="6" fillId="4" borderId="2" xfId="1" applyFont="1" applyFill="1" applyBorder="1"/>
    <xf numFmtId="0" fontId="10" fillId="4" borderId="3" xfId="1" applyFont="1" applyFill="1" applyBorder="1"/>
    <xf numFmtId="0" fontId="6" fillId="4" borderId="4" xfId="1" applyFont="1" applyFill="1" applyBorder="1"/>
    <xf numFmtId="10" fontId="6" fillId="3" borderId="0" xfId="1" applyNumberFormat="1" applyFont="1" applyFill="1" applyAlignment="1">
      <alignment wrapText="1"/>
    </xf>
    <xf numFmtId="10" fontId="6" fillId="3" borderId="4" xfId="1" applyNumberFormat="1" applyFont="1" applyFill="1" applyBorder="1" applyAlignment="1">
      <alignment wrapText="1"/>
    </xf>
    <xf numFmtId="10" fontId="6" fillId="3" borderId="11" xfId="1" applyNumberFormat="1" applyFont="1" applyFill="1" applyBorder="1" applyAlignment="1">
      <alignment wrapText="1"/>
    </xf>
    <xf numFmtId="10" fontId="6" fillId="3" borderId="11" xfId="1" applyNumberFormat="1" applyFont="1" applyFill="1" applyBorder="1"/>
    <xf numFmtId="10" fontId="6" fillId="3" borderId="9" xfId="1" applyNumberFormat="1" applyFont="1" applyFill="1" applyBorder="1"/>
    <xf numFmtId="0" fontId="10" fillId="0" borderId="66" xfId="1" applyFont="1" applyBorder="1" applyAlignment="1">
      <alignment wrapText="1"/>
    </xf>
    <xf numFmtId="0" fontId="10" fillId="0" borderId="7" xfId="1" applyFont="1" applyBorder="1" applyAlignment="1">
      <alignment wrapText="1"/>
    </xf>
    <xf numFmtId="10" fontId="6" fillId="3" borderId="66" xfId="1" applyNumberFormat="1" applyFont="1" applyFill="1" applyBorder="1"/>
    <xf numFmtId="10" fontId="6" fillId="3" borderId="66" xfId="1" applyNumberFormat="1" applyFont="1" applyFill="1" applyBorder="1" applyAlignment="1">
      <alignment wrapText="1"/>
    </xf>
    <xf numFmtId="10" fontId="6" fillId="3" borderId="7" xfId="1" applyNumberFormat="1" applyFont="1" applyFill="1" applyBorder="1" applyAlignment="1">
      <alignment wrapText="1"/>
    </xf>
    <xf numFmtId="0" fontId="10" fillId="9" borderId="0" xfId="0" applyFont="1" applyFill="1" applyAlignment="1">
      <alignment horizontal="left"/>
    </xf>
    <xf numFmtId="0" fontId="6" fillId="0" borderId="5" xfId="0" applyFont="1" applyBorder="1" applyAlignment="1">
      <alignment horizontal="left" vertical="top" wrapText="1"/>
    </xf>
    <xf numFmtId="0" fontId="6" fillId="0" borderId="11" xfId="0" applyFont="1" applyBorder="1" applyAlignment="1">
      <alignment horizontal="left" vertical="top" wrapText="1"/>
    </xf>
    <xf numFmtId="0" fontId="6" fillId="0" borderId="9" xfId="0" applyFont="1" applyBorder="1" applyAlignment="1">
      <alignment horizontal="left" vertical="top" wrapText="1"/>
    </xf>
    <xf numFmtId="0" fontId="10" fillId="9" borderId="0" xfId="0" quotePrefix="1" applyFont="1" applyFill="1" applyAlignment="1">
      <alignment horizontal="left"/>
    </xf>
    <xf numFmtId="0" fontId="6" fillId="0" borderId="3" xfId="0" applyFont="1" applyBorder="1" applyAlignment="1">
      <alignment horizontal="left"/>
    </xf>
    <xf numFmtId="0" fontId="6" fillId="0" borderId="0" xfId="0" applyFont="1" applyAlignment="1">
      <alignment horizontal="left"/>
    </xf>
    <xf numFmtId="0" fontId="6" fillId="0" borderId="4" xfId="0" applyFont="1" applyBorder="1" applyAlignment="1">
      <alignment horizontal="left"/>
    </xf>
    <xf numFmtId="0" fontId="6" fillId="0" borderId="3" xfId="0" applyFont="1" applyBorder="1" applyAlignment="1">
      <alignment horizontal="left" vertical="top" wrapText="1"/>
    </xf>
    <xf numFmtId="0" fontId="6" fillId="0" borderId="0" xfId="0" applyFont="1" applyAlignment="1">
      <alignment horizontal="left" vertical="top" wrapText="1"/>
    </xf>
    <xf numFmtId="0" fontId="6" fillId="0" borderId="4" xfId="0" applyFont="1" applyBorder="1" applyAlignment="1">
      <alignment horizontal="left" vertical="top" wrapText="1"/>
    </xf>
    <xf numFmtId="0" fontId="6" fillId="0" borderId="3" xfId="0" applyFont="1" applyBorder="1" applyAlignment="1">
      <alignment horizontal="left" wrapText="1"/>
    </xf>
    <xf numFmtId="0" fontId="6" fillId="0" borderId="0" xfId="0" applyFont="1" applyAlignment="1">
      <alignment horizontal="left" wrapText="1"/>
    </xf>
    <xf numFmtId="0" fontId="6" fillId="0" borderId="4" xfId="0" applyFont="1" applyBorder="1" applyAlignment="1">
      <alignment horizontal="left" wrapText="1"/>
    </xf>
    <xf numFmtId="0" fontId="6" fillId="8" borderId="0" xfId="0" quotePrefix="1" applyFont="1" applyFill="1" applyAlignment="1">
      <alignment horizontal="right"/>
    </xf>
    <xf numFmtId="0" fontId="6" fillId="8" borderId="0" xfId="0" applyFont="1" applyFill="1" applyAlignment="1">
      <alignment horizontal="right"/>
    </xf>
    <xf numFmtId="0" fontId="17" fillId="0" borderId="0" xfId="1" applyFont="1" applyAlignment="1">
      <alignment horizontal="left" vertical="center" wrapText="1"/>
    </xf>
    <xf numFmtId="0" fontId="10" fillId="5" borderId="3" xfId="0" applyFont="1" applyFill="1" applyBorder="1" applyAlignment="1">
      <alignment horizontal="left"/>
    </xf>
    <xf numFmtId="0" fontId="10" fillId="5" borderId="0" xfId="0" applyFont="1" applyFill="1" applyAlignment="1">
      <alignment horizontal="left"/>
    </xf>
    <xf numFmtId="0" fontId="10" fillId="5" borderId="4" xfId="0" applyFont="1" applyFill="1" applyBorder="1" applyAlignment="1">
      <alignment horizontal="left"/>
    </xf>
    <xf numFmtId="0" fontId="6" fillId="5" borderId="3" xfId="0" applyFont="1" applyFill="1" applyBorder="1" applyAlignment="1">
      <alignment horizontal="left"/>
    </xf>
    <xf numFmtId="0" fontId="6" fillId="5" borderId="0" xfId="0" applyFont="1" applyFill="1" applyAlignment="1">
      <alignment horizontal="left"/>
    </xf>
    <xf numFmtId="0" fontId="6" fillId="5" borderId="4" xfId="0" applyFont="1" applyFill="1" applyBorder="1" applyAlignment="1">
      <alignment horizontal="left"/>
    </xf>
    <xf numFmtId="0" fontId="10" fillId="5" borderId="3" xfId="0" applyFont="1" applyFill="1" applyBorder="1" applyAlignment="1">
      <alignment horizontal="left" vertical="top" wrapText="1"/>
    </xf>
    <xf numFmtId="0" fontId="10" fillId="5" borderId="0" xfId="0" applyFont="1" applyFill="1" applyAlignment="1">
      <alignment horizontal="left" vertical="top" wrapText="1"/>
    </xf>
    <xf numFmtId="0" fontId="10" fillId="5" borderId="4" xfId="0" applyFont="1" applyFill="1" applyBorder="1" applyAlignment="1">
      <alignment horizontal="left" vertical="top" wrapText="1"/>
    </xf>
    <xf numFmtId="0" fontId="6" fillId="0" borderId="3" xfId="0" applyFont="1" applyBorder="1" applyAlignment="1">
      <alignment wrapText="1"/>
    </xf>
    <xf numFmtId="0" fontId="6" fillId="0" borderId="0" xfId="0" applyFont="1" applyAlignment="1">
      <alignment wrapText="1"/>
    </xf>
    <xf numFmtId="0" fontId="6" fillId="0" borderId="4" xfId="0" applyFont="1" applyBorder="1" applyAlignment="1">
      <alignment wrapText="1"/>
    </xf>
    <xf numFmtId="0" fontId="6" fillId="0" borderId="5" xfId="0" applyFont="1" applyBorder="1" applyAlignment="1">
      <alignment horizontal="left" wrapText="1"/>
    </xf>
    <xf numFmtId="0" fontId="6" fillId="0" borderId="11" xfId="0" applyFont="1" applyBorder="1" applyAlignment="1">
      <alignment horizontal="left" wrapText="1"/>
    </xf>
    <xf numFmtId="0" fontId="6" fillId="0" borderId="9" xfId="0" applyFont="1" applyBorder="1" applyAlignment="1">
      <alignment horizontal="left" wrapText="1"/>
    </xf>
    <xf numFmtId="0" fontId="10" fillId="6" borderId="3" xfId="0" applyFont="1" applyFill="1" applyBorder="1" applyAlignment="1">
      <alignment horizontal="left"/>
    </xf>
    <xf numFmtId="0" fontId="10" fillId="6" borderId="0" xfId="0" applyFont="1" applyFill="1" applyAlignment="1">
      <alignment horizontal="left"/>
    </xf>
    <xf numFmtId="0" fontId="10" fillId="6" borderId="4" xfId="0" applyFont="1" applyFill="1" applyBorder="1" applyAlignment="1">
      <alignment horizontal="left"/>
    </xf>
    <xf numFmtId="0" fontId="10" fillId="0" borderId="6" xfId="1" applyFont="1" applyBorder="1" applyAlignment="1">
      <alignment horizontal="center" wrapText="1"/>
    </xf>
    <xf numFmtId="0" fontId="10" fillId="0" borderId="7" xfId="1" applyFont="1" applyBorder="1" applyAlignment="1">
      <alignment horizontal="center" wrapText="1"/>
    </xf>
    <xf numFmtId="0" fontId="10" fillId="8" borderId="0" xfId="1" applyFont="1" applyFill="1" applyAlignment="1">
      <alignment horizontal="center" wrapText="1"/>
    </xf>
    <xf numFmtId="0" fontId="6" fillId="5" borderId="3" xfId="1" applyFont="1" applyFill="1" applyBorder="1" applyAlignment="1">
      <alignment horizontal="left" vertical="top" wrapText="1"/>
    </xf>
    <xf numFmtId="0" fontId="6" fillId="5" borderId="0" xfId="1" applyFont="1" applyFill="1" applyAlignment="1">
      <alignment horizontal="left" vertical="top" wrapText="1"/>
    </xf>
    <xf numFmtId="0" fontId="6" fillId="5" borderId="4" xfId="1" applyFont="1" applyFill="1" applyBorder="1" applyAlignment="1">
      <alignment horizontal="left" vertical="top" wrapText="1"/>
    </xf>
    <xf numFmtId="0" fontId="6" fillId="5" borderId="5" xfId="1" quotePrefix="1" applyFont="1" applyFill="1" applyBorder="1" applyAlignment="1">
      <alignment horizontal="left" vertical="top" wrapText="1"/>
    </xf>
    <xf numFmtId="0" fontId="6" fillId="5" borderId="11" xfId="1" quotePrefix="1" applyFont="1" applyFill="1" applyBorder="1" applyAlignment="1">
      <alignment horizontal="left" vertical="top" wrapText="1"/>
    </xf>
    <xf numFmtId="0" fontId="6" fillId="5" borderId="9" xfId="1" quotePrefix="1" applyFont="1" applyFill="1" applyBorder="1" applyAlignment="1">
      <alignment horizontal="left" vertical="top" wrapText="1"/>
    </xf>
    <xf numFmtId="0" fontId="6" fillId="0" borderId="1" xfId="1" applyFont="1" applyBorder="1" applyAlignment="1">
      <alignment horizontal="left" vertical="top" wrapText="1"/>
    </xf>
    <xf numFmtId="0" fontId="6" fillId="0" borderId="10" xfId="1" applyFont="1" applyBorder="1" applyAlignment="1">
      <alignment horizontal="left" vertical="top" wrapText="1"/>
    </xf>
    <xf numFmtId="0" fontId="6" fillId="0" borderId="2" xfId="1" applyFont="1" applyBorder="1" applyAlignment="1">
      <alignment horizontal="left" vertical="top" wrapText="1"/>
    </xf>
    <xf numFmtId="0" fontId="6" fillId="0" borderId="3" xfId="1" applyFont="1" applyBorder="1" applyAlignment="1">
      <alignment horizontal="left" vertical="top" wrapText="1"/>
    </xf>
    <xf numFmtId="0" fontId="6" fillId="0" borderId="0" xfId="1" applyFont="1" applyAlignment="1">
      <alignment horizontal="left" vertical="top" wrapText="1"/>
    </xf>
    <xf numFmtId="0" fontId="6" fillId="0" borderId="4" xfId="1" applyFont="1" applyBorder="1" applyAlignment="1">
      <alignment horizontal="left" vertical="top" wrapText="1"/>
    </xf>
    <xf numFmtId="0" fontId="6" fillId="10" borderId="5" xfId="1" applyFont="1" applyFill="1" applyBorder="1" applyAlignment="1">
      <alignment horizontal="left" vertical="top" wrapText="1"/>
    </xf>
    <xf numFmtId="0" fontId="6" fillId="10" borderId="11" xfId="1" applyFont="1" applyFill="1" applyBorder="1" applyAlignment="1">
      <alignment horizontal="left" vertical="top" wrapText="1"/>
    </xf>
    <xf numFmtId="0" fontId="6" fillId="10" borderId="9" xfId="1" applyFont="1" applyFill="1" applyBorder="1" applyAlignment="1">
      <alignment horizontal="left" vertical="top" wrapText="1"/>
    </xf>
    <xf numFmtId="0" fontId="10" fillId="0" borderId="3" xfId="1" applyFont="1" applyBorder="1" applyAlignment="1">
      <alignment horizontal="center" wrapText="1"/>
    </xf>
    <xf numFmtId="0" fontId="10" fillId="0" borderId="4" xfId="1" applyFont="1" applyBorder="1" applyAlignment="1">
      <alignment horizontal="center" wrapText="1"/>
    </xf>
    <xf numFmtId="0" fontId="10" fillId="0" borderId="5" xfId="1" applyFont="1" applyBorder="1" applyAlignment="1">
      <alignment horizontal="center" wrapText="1"/>
    </xf>
    <xf numFmtId="0" fontId="10" fillId="0" borderId="9" xfId="1" applyFont="1" applyBorder="1" applyAlignment="1">
      <alignment horizontal="center" wrapText="1"/>
    </xf>
    <xf numFmtId="0" fontId="6" fillId="0" borderId="0" xfId="0" applyNumberFormat="1" applyFont="1"/>
    <xf numFmtId="168" fontId="6" fillId="0" borderId="0" xfId="0" applyNumberFormat="1" applyFont="1"/>
  </cellXfs>
  <cellStyles count="3">
    <cellStyle name="Standard" xfId="0" builtinId="0"/>
    <cellStyle name="Standard 2" xfId="1" xr:uid="{00000000-0005-0000-0000-000002000000}"/>
    <cellStyle name="Standard_Tabelle1" xfId="2" xr:uid="{00000000-0005-0000-0000-000003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val>
            <c:numRef>
              <c:f>Aufgabe1!$G$35</c:f>
              <c:numCache>
                <c:formatCode>General</c:formatCode>
                <c:ptCount val="1"/>
                <c:pt idx="0">
                  <c:v>10</c:v>
                </c:pt>
              </c:numCache>
            </c:numRef>
          </c:val>
          <c:extLst>
            <c:ext xmlns:c16="http://schemas.microsoft.com/office/drawing/2014/chart" uri="{C3380CC4-5D6E-409C-BE32-E72D297353CC}">
              <c16:uniqueId val="{00000000-92EC-449B-972A-022D226E481B}"/>
            </c:ext>
          </c:extLst>
        </c:ser>
        <c:ser>
          <c:idx val="1"/>
          <c:order val="1"/>
          <c:spPr>
            <a:solidFill>
              <a:schemeClr val="accent2"/>
            </a:solidFill>
            <a:ln>
              <a:noFill/>
            </a:ln>
            <a:effectLst/>
          </c:spPr>
          <c:invertIfNegative val="0"/>
          <c:val>
            <c:numRef>
              <c:f>Aufgabe1!$G$36</c:f>
              <c:numCache>
                <c:formatCode>General</c:formatCode>
                <c:ptCount val="1"/>
                <c:pt idx="0">
                  <c:v>6</c:v>
                </c:pt>
              </c:numCache>
            </c:numRef>
          </c:val>
          <c:extLst>
            <c:ext xmlns:c16="http://schemas.microsoft.com/office/drawing/2014/chart" uri="{C3380CC4-5D6E-409C-BE32-E72D297353CC}">
              <c16:uniqueId val="{00000001-92EC-449B-972A-022D226E481B}"/>
            </c:ext>
          </c:extLst>
        </c:ser>
        <c:ser>
          <c:idx val="2"/>
          <c:order val="2"/>
          <c:spPr>
            <a:solidFill>
              <a:schemeClr val="accent3"/>
            </a:solidFill>
            <a:ln>
              <a:noFill/>
            </a:ln>
            <a:effectLst/>
          </c:spPr>
          <c:invertIfNegative val="0"/>
          <c:val>
            <c:numRef>
              <c:f>Aufgabe1!$G$37</c:f>
              <c:numCache>
                <c:formatCode>General</c:formatCode>
                <c:ptCount val="1"/>
                <c:pt idx="0">
                  <c:v>3</c:v>
                </c:pt>
              </c:numCache>
            </c:numRef>
          </c:val>
          <c:extLst>
            <c:ext xmlns:c16="http://schemas.microsoft.com/office/drawing/2014/chart" uri="{C3380CC4-5D6E-409C-BE32-E72D297353CC}">
              <c16:uniqueId val="{00000002-92EC-449B-972A-022D226E481B}"/>
            </c:ext>
          </c:extLst>
        </c:ser>
        <c:ser>
          <c:idx val="3"/>
          <c:order val="3"/>
          <c:spPr>
            <a:solidFill>
              <a:schemeClr val="accent4"/>
            </a:solidFill>
            <a:ln>
              <a:noFill/>
            </a:ln>
            <a:effectLst/>
          </c:spPr>
          <c:invertIfNegative val="0"/>
          <c:val>
            <c:numRef>
              <c:f>Aufgabe1!$G$38</c:f>
              <c:numCache>
                <c:formatCode>General</c:formatCode>
                <c:ptCount val="1"/>
                <c:pt idx="0">
                  <c:v>6</c:v>
                </c:pt>
              </c:numCache>
            </c:numRef>
          </c:val>
          <c:extLst>
            <c:ext xmlns:c16="http://schemas.microsoft.com/office/drawing/2014/chart" uri="{C3380CC4-5D6E-409C-BE32-E72D297353CC}">
              <c16:uniqueId val="{00000003-92EC-449B-972A-022D226E481B}"/>
            </c:ext>
          </c:extLst>
        </c:ser>
        <c:ser>
          <c:idx val="4"/>
          <c:order val="4"/>
          <c:spPr>
            <a:solidFill>
              <a:schemeClr val="accent5"/>
            </a:solidFill>
            <a:ln>
              <a:noFill/>
            </a:ln>
            <a:effectLst/>
          </c:spPr>
          <c:invertIfNegative val="0"/>
          <c:val>
            <c:numRef>
              <c:f>Aufgabe1!$G$39</c:f>
              <c:numCache>
                <c:formatCode>General</c:formatCode>
                <c:ptCount val="1"/>
                <c:pt idx="0">
                  <c:v>0</c:v>
                </c:pt>
              </c:numCache>
            </c:numRef>
          </c:val>
          <c:extLst>
            <c:ext xmlns:c16="http://schemas.microsoft.com/office/drawing/2014/chart" uri="{C3380CC4-5D6E-409C-BE32-E72D297353CC}">
              <c16:uniqueId val="{00000004-92EC-449B-972A-022D226E481B}"/>
            </c:ext>
          </c:extLst>
        </c:ser>
        <c:ser>
          <c:idx val="5"/>
          <c:order val="5"/>
          <c:spPr>
            <a:solidFill>
              <a:schemeClr val="accent6"/>
            </a:solidFill>
            <a:ln>
              <a:noFill/>
            </a:ln>
            <a:effectLst/>
          </c:spPr>
          <c:invertIfNegative val="0"/>
          <c:val>
            <c:numRef>
              <c:f>Aufgabe1!$G$40</c:f>
              <c:numCache>
                <c:formatCode>General</c:formatCode>
                <c:ptCount val="1"/>
                <c:pt idx="0">
                  <c:v>3</c:v>
                </c:pt>
              </c:numCache>
            </c:numRef>
          </c:val>
          <c:extLst>
            <c:ext xmlns:c16="http://schemas.microsoft.com/office/drawing/2014/chart" uri="{C3380CC4-5D6E-409C-BE32-E72D297353CC}">
              <c16:uniqueId val="{00000007-92EC-449B-972A-022D226E481B}"/>
            </c:ext>
          </c:extLst>
        </c:ser>
        <c:ser>
          <c:idx val="6"/>
          <c:order val="6"/>
          <c:spPr>
            <a:solidFill>
              <a:schemeClr val="accent1">
                <a:lumMod val="60000"/>
              </a:schemeClr>
            </a:solidFill>
            <a:ln>
              <a:noFill/>
            </a:ln>
            <a:effectLst/>
          </c:spPr>
          <c:invertIfNegative val="0"/>
          <c:val>
            <c:numRef>
              <c:f>Aufgabe1!$G$41</c:f>
              <c:numCache>
                <c:formatCode>General</c:formatCode>
                <c:ptCount val="1"/>
                <c:pt idx="0">
                  <c:v>2</c:v>
                </c:pt>
              </c:numCache>
            </c:numRef>
          </c:val>
          <c:extLst>
            <c:ext xmlns:c16="http://schemas.microsoft.com/office/drawing/2014/chart" uri="{C3380CC4-5D6E-409C-BE32-E72D297353CC}">
              <c16:uniqueId val="{00000008-92EC-449B-972A-022D226E481B}"/>
            </c:ext>
          </c:extLst>
        </c:ser>
        <c:dLbls>
          <c:showLegendKey val="0"/>
          <c:showVal val="0"/>
          <c:showCatName val="0"/>
          <c:showSerName val="0"/>
          <c:showPercent val="0"/>
          <c:showBubbleSize val="0"/>
        </c:dLbls>
        <c:gapWidth val="219"/>
        <c:overlap val="-27"/>
        <c:axId val="462066880"/>
        <c:axId val="462065920"/>
      </c:barChart>
      <c:catAx>
        <c:axId val="4620668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62065920"/>
        <c:crosses val="autoZero"/>
        <c:auto val="1"/>
        <c:lblAlgn val="ctr"/>
        <c:lblOffset val="100"/>
        <c:noMultiLvlLbl val="0"/>
      </c:catAx>
      <c:valAx>
        <c:axId val="46206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6206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DAX 1999 bis 2010</a:t>
            </a:r>
          </a:p>
        </c:rich>
      </c:tx>
      <c:overlay val="0"/>
    </c:title>
    <c:autoTitleDeleted val="0"/>
    <c:plotArea>
      <c:layout/>
      <c:lineChart>
        <c:grouping val="standard"/>
        <c:varyColors val="0"/>
        <c:ser>
          <c:idx val="0"/>
          <c:order val="0"/>
          <c:marker>
            <c:symbol val="none"/>
          </c:marker>
          <c:cat>
            <c:numRef>
              <c:f>'Aufgabe 4'!$B$54:$B$4955</c:f>
              <c:numCache>
                <c:formatCode>m/d/yyyy</c:formatCode>
                <c:ptCount val="4902"/>
                <c:pt idx="0">
                  <c:v>33203</c:v>
                </c:pt>
                <c:pt idx="1">
                  <c:v>33204</c:v>
                </c:pt>
                <c:pt idx="2">
                  <c:v>33205</c:v>
                </c:pt>
                <c:pt idx="3">
                  <c:v>33206</c:v>
                </c:pt>
                <c:pt idx="4">
                  <c:v>33207</c:v>
                </c:pt>
                <c:pt idx="5">
                  <c:v>33210</c:v>
                </c:pt>
                <c:pt idx="6">
                  <c:v>33211</c:v>
                </c:pt>
                <c:pt idx="7">
                  <c:v>33212</c:v>
                </c:pt>
                <c:pt idx="8">
                  <c:v>33213</c:v>
                </c:pt>
                <c:pt idx="9">
                  <c:v>33214</c:v>
                </c:pt>
                <c:pt idx="10">
                  <c:v>33217</c:v>
                </c:pt>
                <c:pt idx="11">
                  <c:v>33218</c:v>
                </c:pt>
                <c:pt idx="12">
                  <c:v>33219</c:v>
                </c:pt>
                <c:pt idx="13">
                  <c:v>33220</c:v>
                </c:pt>
                <c:pt idx="14">
                  <c:v>33221</c:v>
                </c:pt>
                <c:pt idx="15">
                  <c:v>33224</c:v>
                </c:pt>
                <c:pt idx="16">
                  <c:v>33225</c:v>
                </c:pt>
                <c:pt idx="17">
                  <c:v>33226</c:v>
                </c:pt>
                <c:pt idx="18">
                  <c:v>33227</c:v>
                </c:pt>
                <c:pt idx="19">
                  <c:v>33228</c:v>
                </c:pt>
                <c:pt idx="20">
                  <c:v>33234</c:v>
                </c:pt>
                <c:pt idx="21">
                  <c:v>33235</c:v>
                </c:pt>
                <c:pt idx="22">
                  <c:v>33240</c:v>
                </c:pt>
                <c:pt idx="23">
                  <c:v>33241</c:v>
                </c:pt>
                <c:pt idx="24">
                  <c:v>33242</c:v>
                </c:pt>
                <c:pt idx="25">
                  <c:v>33245</c:v>
                </c:pt>
                <c:pt idx="26">
                  <c:v>33246</c:v>
                </c:pt>
                <c:pt idx="27">
                  <c:v>33247</c:v>
                </c:pt>
                <c:pt idx="28">
                  <c:v>33248</c:v>
                </c:pt>
                <c:pt idx="29">
                  <c:v>33249</c:v>
                </c:pt>
                <c:pt idx="30">
                  <c:v>33252</c:v>
                </c:pt>
                <c:pt idx="31">
                  <c:v>33253</c:v>
                </c:pt>
                <c:pt idx="32">
                  <c:v>33254</c:v>
                </c:pt>
                <c:pt idx="33">
                  <c:v>33255</c:v>
                </c:pt>
                <c:pt idx="34">
                  <c:v>33256</c:v>
                </c:pt>
                <c:pt idx="35">
                  <c:v>33259</c:v>
                </c:pt>
                <c:pt idx="36">
                  <c:v>33260</c:v>
                </c:pt>
                <c:pt idx="37">
                  <c:v>33261</c:v>
                </c:pt>
                <c:pt idx="38">
                  <c:v>33262</c:v>
                </c:pt>
                <c:pt idx="39">
                  <c:v>33263</c:v>
                </c:pt>
                <c:pt idx="40">
                  <c:v>33266</c:v>
                </c:pt>
                <c:pt idx="41">
                  <c:v>33267</c:v>
                </c:pt>
                <c:pt idx="42">
                  <c:v>33268</c:v>
                </c:pt>
                <c:pt idx="43">
                  <c:v>33269</c:v>
                </c:pt>
                <c:pt idx="44">
                  <c:v>33270</c:v>
                </c:pt>
                <c:pt idx="45">
                  <c:v>33273</c:v>
                </c:pt>
                <c:pt idx="46">
                  <c:v>33274</c:v>
                </c:pt>
                <c:pt idx="47">
                  <c:v>33275</c:v>
                </c:pt>
                <c:pt idx="48">
                  <c:v>33276</c:v>
                </c:pt>
                <c:pt idx="49">
                  <c:v>33277</c:v>
                </c:pt>
                <c:pt idx="50">
                  <c:v>33280</c:v>
                </c:pt>
                <c:pt idx="51">
                  <c:v>33281</c:v>
                </c:pt>
                <c:pt idx="52">
                  <c:v>33282</c:v>
                </c:pt>
                <c:pt idx="53">
                  <c:v>33283</c:v>
                </c:pt>
                <c:pt idx="54">
                  <c:v>33284</c:v>
                </c:pt>
                <c:pt idx="55">
                  <c:v>33287</c:v>
                </c:pt>
                <c:pt idx="56">
                  <c:v>33288</c:v>
                </c:pt>
                <c:pt idx="57">
                  <c:v>33289</c:v>
                </c:pt>
                <c:pt idx="58">
                  <c:v>33290</c:v>
                </c:pt>
                <c:pt idx="59">
                  <c:v>33291</c:v>
                </c:pt>
                <c:pt idx="60">
                  <c:v>33294</c:v>
                </c:pt>
                <c:pt idx="61">
                  <c:v>33295</c:v>
                </c:pt>
                <c:pt idx="62">
                  <c:v>33296</c:v>
                </c:pt>
                <c:pt idx="63">
                  <c:v>33297</c:v>
                </c:pt>
                <c:pt idx="64">
                  <c:v>33298</c:v>
                </c:pt>
                <c:pt idx="65">
                  <c:v>33301</c:v>
                </c:pt>
                <c:pt idx="66">
                  <c:v>33302</c:v>
                </c:pt>
                <c:pt idx="67">
                  <c:v>33303</c:v>
                </c:pt>
                <c:pt idx="68">
                  <c:v>33304</c:v>
                </c:pt>
                <c:pt idx="69">
                  <c:v>33305</c:v>
                </c:pt>
                <c:pt idx="70">
                  <c:v>33308</c:v>
                </c:pt>
                <c:pt idx="71">
                  <c:v>33309</c:v>
                </c:pt>
                <c:pt idx="72">
                  <c:v>33310</c:v>
                </c:pt>
                <c:pt idx="73">
                  <c:v>33311</c:v>
                </c:pt>
                <c:pt idx="74">
                  <c:v>33312</c:v>
                </c:pt>
                <c:pt idx="75">
                  <c:v>33315</c:v>
                </c:pt>
                <c:pt idx="76">
                  <c:v>33316</c:v>
                </c:pt>
                <c:pt idx="77">
                  <c:v>33317</c:v>
                </c:pt>
                <c:pt idx="78">
                  <c:v>33318</c:v>
                </c:pt>
                <c:pt idx="79">
                  <c:v>33319</c:v>
                </c:pt>
                <c:pt idx="80">
                  <c:v>33322</c:v>
                </c:pt>
                <c:pt idx="81">
                  <c:v>33323</c:v>
                </c:pt>
                <c:pt idx="82">
                  <c:v>33324</c:v>
                </c:pt>
                <c:pt idx="83">
                  <c:v>33325</c:v>
                </c:pt>
                <c:pt idx="84">
                  <c:v>33330</c:v>
                </c:pt>
                <c:pt idx="85">
                  <c:v>33331</c:v>
                </c:pt>
                <c:pt idx="86">
                  <c:v>33332</c:v>
                </c:pt>
                <c:pt idx="87">
                  <c:v>33333</c:v>
                </c:pt>
                <c:pt idx="88">
                  <c:v>33336</c:v>
                </c:pt>
                <c:pt idx="89">
                  <c:v>33337</c:v>
                </c:pt>
                <c:pt idx="90">
                  <c:v>33338</c:v>
                </c:pt>
                <c:pt idx="91">
                  <c:v>33339</c:v>
                </c:pt>
                <c:pt idx="92">
                  <c:v>33340</c:v>
                </c:pt>
                <c:pt idx="93">
                  <c:v>33343</c:v>
                </c:pt>
                <c:pt idx="94">
                  <c:v>33344</c:v>
                </c:pt>
                <c:pt idx="95">
                  <c:v>33345</c:v>
                </c:pt>
                <c:pt idx="96">
                  <c:v>33346</c:v>
                </c:pt>
                <c:pt idx="97">
                  <c:v>33347</c:v>
                </c:pt>
                <c:pt idx="98">
                  <c:v>33350</c:v>
                </c:pt>
                <c:pt idx="99">
                  <c:v>33351</c:v>
                </c:pt>
                <c:pt idx="100">
                  <c:v>33352</c:v>
                </c:pt>
                <c:pt idx="101">
                  <c:v>33353</c:v>
                </c:pt>
                <c:pt idx="102">
                  <c:v>33354</c:v>
                </c:pt>
                <c:pt idx="103">
                  <c:v>33357</c:v>
                </c:pt>
                <c:pt idx="104">
                  <c:v>33358</c:v>
                </c:pt>
                <c:pt idx="105">
                  <c:v>33360</c:v>
                </c:pt>
                <c:pt idx="106">
                  <c:v>33361</c:v>
                </c:pt>
                <c:pt idx="107">
                  <c:v>33364</c:v>
                </c:pt>
                <c:pt idx="108">
                  <c:v>33365</c:v>
                </c:pt>
                <c:pt idx="109">
                  <c:v>33366</c:v>
                </c:pt>
                <c:pt idx="110">
                  <c:v>33368</c:v>
                </c:pt>
                <c:pt idx="111">
                  <c:v>33371</c:v>
                </c:pt>
                <c:pt idx="112">
                  <c:v>33372</c:v>
                </c:pt>
                <c:pt idx="113">
                  <c:v>33373</c:v>
                </c:pt>
                <c:pt idx="114">
                  <c:v>33374</c:v>
                </c:pt>
                <c:pt idx="115">
                  <c:v>33375</c:v>
                </c:pt>
                <c:pt idx="116">
                  <c:v>33379</c:v>
                </c:pt>
                <c:pt idx="117">
                  <c:v>33380</c:v>
                </c:pt>
                <c:pt idx="118">
                  <c:v>33381</c:v>
                </c:pt>
                <c:pt idx="119">
                  <c:v>33382</c:v>
                </c:pt>
                <c:pt idx="120">
                  <c:v>33385</c:v>
                </c:pt>
                <c:pt idx="121">
                  <c:v>33386</c:v>
                </c:pt>
                <c:pt idx="122">
                  <c:v>33387</c:v>
                </c:pt>
                <c:pt idx="123">
                  <c:v>33389</c:v>
                </c:pt>
                <c:pt idx="124">
                  <c:v>33392</c:v>
                </c:pt>
                <c:pt idx="125">
                  <c:v>33393</c:v>
                </c:pt>
                <c:pt idx="126">
                  <c:v>33394</c:v>
                </c:pt>
                <c:pt idx="127">
                  <c:v>33395</c:v>
                </c:pt>
                <c:pt idx="128">
                  <c:v>33396</c:v>
                </c:pt>
                <c:pt idx="129">
                  <c:v>33399</c:v>
                </c:pt>
                <c:pt idx="130">
                  <c:v>33400</c:v>
                </c:pt>
                <c:pt idx="131">
                  <c:v>33401</c:v>
                </c:pt>
                <c:pt idx="132">
                  <c:v>33402</c:v>
                </c:pt>
                <c:pt idx="133">
                  <c:v>33403</c:v>
                </c:pt>
                <c:pt idx="134">
                  <c:v>33406</c:v>
                </c:pt>
                <c:pt idx="135">
                  <c:v>33407</c:v>
                </c:pt>
                <c:pt idx="136">
                  <c:v>33408</c:v>
                </c:pt>
                <c:pt idx="137">
                  <c:v>33409</c:v>
                </c:pt>
                <c:pt idx="138">
                  <c:v>33410</c:v>
                </c:pt>
                <c:pt idx="139">
                  <c:v>33413</c:v>
                </c:pt>
                <c:pt idx="140">
                  <c:v>33414</c:v>
                </c:pt>
                <c:pt idx="141">
                  <c:v>33415</c:v>
                </c:pt>
                <c:pt idx="142">
                  <c:v>33416</c:v>
                </c:pt>
                <c:pt idx="143">
                  <c:v>33417</c:v>
                </c:pt>
                <c:pt idx="144">
                  <c:v>33420</c:v>
                </c:pt>
                <c:pt idx="145">
                  <c:v>33421</c:v>
                </c:pt>
                <c:pt idx="146">
                  <c:v>33422</c:v>
                </c:pt>
                <c:pt idx="147">
                  <c:v>33423</c:v>
                </c:pt>
                <c:pt idx="148">
                  <c:v>33424</c:v>
                </c:pt>
                <c:pt idx="149">
                  <c:v>33427</c:v>
                </c:pt>
                <c:pt idx="150">
                  <c:v>33428</c:v>
                </c:pt>
                <c:pt idx="151">
                  <c:v>33429</c:v>
                </c:pt>
                <c:pt idx="152">
                  <c:v>33430</c:v>
                </c:pt>
                <c:pt idx="153">
                  <c:v>33431</c:v>
                </c:pt>
                <c:pt idx="154">
                  <c:v>33434</c:v>
                </c:pt>
                <c:pt idx="155">
                  <c:v>33435</c:v>
                </c:pt>
                <c:pt idx="156">
                  <c:v>33436</c:v>
                </c:pt>
                <c:pt idx="157">
                  <c:v>33437</c:v>
                </c:pt>
                <c:pt idx="158">
                  <c:v>33438</c:v>
                </c:pt>
                <c:pt idx="159">
                  <c:v>33441</c:v>
                </c:pt>
                <c:pt idx="160">
                  <c:v>33442</c:v>
                </c:pt>
                <c:pt idx="161">
                  <c:v>33443</c:v>
                </c:pt>
                <c:pt idx="162">
                  <c:v>33444</c:v>
                </c:pt>
                <c:pt idx="163">
                  <c:v>33445</c:v>
                </c:pt>
                <c:pt idx="164">
                  <c:v>33448</c:v>
                </c:pt>
                <c:pt idx="165">
                  <c:v>33449</c:v>
                </c:pt>
                <c:pt idx="166">
                  <c:v>33450</c:v>
                </c:pt>
                <c:pt idx="167">
                  <c:v>33451</c:v>
                </c:pt>
                <c:pt idx="168">
                  <c:v>33452</c:v>
                </c:pt>
                <c:pt idx="169">
                  <c:v>33455</c:v>
                </c:pt>
                <c:pt idx="170">
                  <c:v>33456</c:v>
                </c:pt>
                <c:pt idx="171">
                  <c:v>33457</c:v>
                </c:pt>
                <c:pt idx="172">
                  <c:v>33458</c:v>
                </c:pt>
                <c:pt idx="173">
                  <c:v>33459</c:v>
                </c:pt>
                <c:pt idx="174">
                  <c:v>33462</c:v>
                </c:pt>
                <c:pt idx="175">
                  <c:v>33463</c:v>
                </c:pt>
                <c:pt idx="176">
                  <c:v>33464</c:v>
                </c:pt>
                <c:pt idx="177">
                  <c:v>33465</c:v>
                </c:pt>
                <c:pt idx="178">
                  <c:v>33466</c:v>
                </c:pt>
                <c:pt idx="179">
                  <c:v>33469</c:v>
                </c:pt>
                <c:pt idx="180">
                  <c:v>33470</c:v>
                </c:pt>
                <c:pt idx="181">
                  <c:v>33471</c:v>
                </c:pt>
                <c:pt idx="182">
                  <c:v>33472</c:v>
                </c:pt>
                <c:pt idx="183">
                  <c:v>33473</c:v>
                </c:pt>
                <c:pt idx="184">
                  <c:v>33476</c:v>
                </c:pt>
                <c:pt idx="185">
                  <c:v>33477</c:v>
                </c:pt>
                <c:pt idx="186">
                  <c:v>33478</c:v>
                </c:pt>
                <c:pt idx="187">
                  <c:v>33479</c:v>
                </c:pt>
                <c:pt idx="188">
                  <c:v>33480</c:v>
                </c:pt>
                <c:pt idx="189">
                  <c:v>33483</c:v>
                </c:pt>
                <c:pt idx="190">
                  <c:v>33484</c:v>
                </c:pt>
                <c:pt idx="191">
                  <c:v>33485</c:v>
                </c:pt>
                <c:pt idx="192">
                  <c:v>33486</c:v>
                </c:pt>
                <c:pt idx="193">
                  <c:v>33487</c:v>
                </c:pt>
                <c:pt idx="194">
                  <c:v>33490</c:v>
                </c:pt>
                <c:pt idx="195">
                  <c:v>33491</c:v>
                </c:pt>
                <c:pt idx="196">
                  <c:v>33492</c:v>
                </c:pt>
                <c:pt idx="197">
                  <c:v>33493</c:v>
                </c:pt>
                <c:pt idx="198">
                  <c:v>33494</c:v>
                </c:pt>
                <c:pt idx="199">
                  <c:v>33497</c:v>
                </c:pt>
                <c:pt idx="200">
                  <c:v>33498</c:v>
                </c:pt>
                <c:pt idx="201">
                  <c:v>33499</c:v>
                </c:pt>
                <c:pt idx="202">
                  <c:v>33500</c:v>
                </c:pt>
                <c:pt idx="203">
                  <c:v>33501</c:v>
                </c:pt>
                <c:pt idx="204">
                  <c:v>33504</c:v>
                </c:pt>
                <c:pt idx="205">
                  <c:v>33505</c:v>
                </c:pt>
                <c:pt idx="206">
                  <c:v>33506</c:v>
                </c:pt>
                <c:pt idx="207">
                  <c:v>33507</c:v>
                </c:pt>
                <c:pt idx="208">
                  <c:v>33508</c:v>
                </c:pt>
                <c:pt idx="209">
                  <c:v>33511</c:v>
                </c:pt>
                <c:pt idx="210">
                  <c:v>33512</c:v>
                </c:pt>
                <c:pt idx="211">
                  <c:v>33513</c:v>
                </c:pt>
                <c:pt idx="212">
                  <c:v>33515</c:v>
                </c:pt>
                <c:pt idx="213">
                  <c:v>33518</c:v>
                </c:pt>
                <c:pt idx="214">
                  <c:v>33519</c:v>
                </c:pt>
                <c:pt idx="215">
                  <c:v>33520</c:v>
                </c:pt>
                <c:pt idx="216">
                  <c:v>33521</c:v>
                </c:pt>
                <c:pt idx="217">
                  <c:v>33522</c:v>
                </c:pt>
                <c:pt idx="218">
                  <c:v>33525</c:v>
                </c:pt>
                <c:pt idx="219">
                  <c:v>33526</c:v>
                </c:pt>
                <c:pt idx="220">
                  <c:v>33527</c:v>
                </c:pt>
                <c:pt idx="221">
                  <c:v>33528</c:v>
                </c:pt>
                <c:pt idx="222">
                  <c:v>33529</c:v>
                </c:pt>
                <c:pt idx="223">
                  <c:v>33532</c:v>
                </c:pt>
                <c:pt idx="224">
                  <c:v>33533</c:v>
                </c:pt>
                <c:pt idx="225">
                  <c:v>33534</c:v>
                </c:pt>
                <c:pt idx="226">
                  <c:v>33535</c:v>
                </c:pt>
                <c:pt idx="227">
                  <c:v>33536</c:v>
                </c:pt>
                <c:pt idx="228">
                  <c:v>33539</c:v>
                </c:pt>
                <c:pt idx="229">
                  <c:v>33540</c:v>
                </c:pt>
                <c:pt idx="230">
                  <c:v>33541</c:v>
                </c:pt>
                <c:pt idx="231">
                  <c:v>33542</c:v>
                </c:pt>
                <c:pt idx="232">
                  <c:v>33543</c:v>
                </c:pt>
                <c:pt idx="233">
                  <c:v>33546</c:v>
                </c:pt>
                <c:pt idx="234">
                  <c:v>33547</c:v>
                </c:pt>
                <c:pt idx="235">
                  <c:v>33548</c:v>
                </c:pt>
                <c:pt idx="236">
                  <c:v>33549</c:v>
                </c:pt>
                <c:pt idx="237">
                  <c:v>33550</c:v>
                </c:pt>
                <c:pt idx="238">
                  <c:v>33553</c:v>
                </c:pt>
                <c:pt idx="239">
                  <c:v>33554</c:v>
                </c:pt>
                <c:pt idx="240">
                  <c:v>33555</c:v>
                </c:pt>
                <c:pt idx="241">
                  <c:v>33556</c:v>
                </c:pt>
                <c:pt idx="242">
                  <c:v>33557</c:v>
                </c:pt>
                <c:pt idx="243">
                  <c:v>33560</c:v>
                </c:pt>
                <c:pt idx="244">
                  <c:v>33561</c:v>
                </c:pt>
                <c:pt idx="245">
                  <c:v>33563</c:v>
                </c:pt>
                <c:pt idx="246">
                  <c:v>33564</c:v>
                </c:pt>
                <c:pt idx="247">
                  <c:v>33567</c:v>
                </c:pt>
                <c:pt idx="248">
                  <c:v>33568</c:v>
                </c:pt>
                <c:pt idx="249">
                  <c:v>33569</c:v>
                </c:pt>
                <c:pt idx="250">
                  <c:v>33570</c:v>
                </c:pt>
                <c:pt idx="251">
                  <c:v>33571</c:v>
                </c:pt>
                <c:pt idx="252">
                  <c:v>33574</c:v>
                </c:pt>
                <c:pt idx="253">
                  <c:v>33575</c:v>
                </c:pt>
                <c:pt idx="254">
                  <c:v>33576</c:v>
                </c:pt>
                <c:pt idx="255">
                  <c:v>33577</c:v>
                </c:pt>
                <c:pt idx="256">
                  <c:v>33578</c:v>
                </c:pt>
                <c:pt idx="257">
                  <c:v>33581</c:v>
                </c:pt>
                <c:pt idx="258">
                  <c:v>33582</c:v>
                </c:pt>
                <c:pt idx="259">
                  <c:v>33583</c:v>
                </c:pt>
                <c:pt idx="260">
                  <c:v>33584</c:v>
                </c:pt>
                <c:pt idx="261">
                  <c:v>33585</c:v>
                </c:pt>
                <c:pt idx="262">
                  <c:v>33588</c:v>
                </c:pt>
                <c:pt idx="263">
                  <c:v>33589</c:v>
                </c:pt>
                <c:pt idx="264">
                  <c:v>33590</c:v>
                </c:pt>
                <c:pt idx="265">
                  <c:v>33591</c:v>
                </c:pt>
                <c:pt idx="266">
                  <c:v>33592</c:v>
                </c:pt>
                <c:pt idx="267">
                  <c:v>33595</c:v>
                </c:pt>
                <c:pt idx="268">
                  <c:v>33599</c:v>
                </c:pt>
                <c:pt idx="269">
                  <c:v>33602</c:v>
                </c:pt>
                <c:pt idx="270">
                  <c:v>33605</c:v>
                </c:pt>
                <c:pt idx="271">
                  <c:v>33606</c:v>
                </c:pt>
                <c:pt idx="272">
                  <c:v>33609</c:v>
                </c:pt>
                <c:pt idx="273">
                  <c:v>33610</c:v>
                </c:pt>
                <c:pt idx="274">
                  <c:v>33611</c:v>
                </c:pt>
                <c:pt idx="275">
                  <c:v>33612</c:v>
                </c:pt>
                <c:pt idx="276">
                  <c:v>33613</c:v>
                </c:pt>
                <c:pt idx="277">
                  <c:v>33616</c:v>
                </c:pt>
                <c:pt idx="278">
                  <c:v>33617</c:v>
                </c:pt>
                <c:pt idx="279">
                  <c:v>33618</c:v>
                </c:pt>
                <c:pt idx="280">
                  <c:v>33619</c:v>
                </c:pt>
                <c:pt idx="281">
                  <c:v>33620</c:v>
                </c:pt>
                <c:pt idx="282">
                  <c:v>33623</c:v>
                </c:pt>
                <c:pt idx="283">
                  <c:v>33624</c:v>
                </c:pt>
                <c:pt idx="284">
                  <c:v>33625</c:v>
                </c:pt>
                <c:pt idx="285">
                  <c:v>33626</c:v>
                </c:pt>
                <c:pt idx="286">
                  <c:v>33627</c:v>
                </c:pt>
                <c:pt idx="287">
                  <c:v>33630</c:v>
                </c:pt>
                <c:pt idx="288">
                  <c:v>33631</c:v>
                </c:pt>
                <c:pt idx="289">
                  <c:v>33632</c:v>
                </c:pt>
                <c:pt idx="290">
                  <c:v>33633</c:v>
                </c:pt>
                <c:pt idx="291">
                  <c:v>33634</c:v>
                </c:pt>
                <c:pt idx="292">
                  <c:v>33637</c:v>
                </c:pt>
                <c:pt idx="293">
                  <c:v>33638</c:v>
                </c:pt>
                <c:pt idx="294">
                  <c:v>33639</c:v>
                </c:pt>
                <c:pt idx="295">
                  <c:v>33640</c:v>
                </c:pt>
                <c:pt idx="296">
                  <c:v>33641</c:v>
                </c:pt>
                <c:pt idx="297">
                  <c:v>33644</c:v>
                </c:pt>
                <c:pt idx="298">
                  <c:v>33645</c:v>
                </c:pt>
                <c:pt idx="299">
                  <c:v>33646</c:v>
                </c:pt>
                <c:pt idx="300">
                  <c:v>33647</c:v>
                </c:pt>
                <c:pt idx="301">
                  <c:v>33648</c:v>
                </c:pt>
                <c:pt idx="302">
                  <c:v>33651</c:v>
                </c:pt>
                <c:pt idx="303">
                  <c:v>33652</c:v>
                </c:pt>
                <c:pt idx="304">
                  <c:v>33653</c:v>
                </c:pt>
                <c:pt idx="305">
                  <c:v>33654</c:v>
                </c:pt>
                <c:pt idx="306">
                  <c:v>33655</c:v>
                </c:pt>
                <c:pt idx="307">
                  <c:v>33658</c:v>
                </c:pt>
                <c:pt idx="308">
                  <c:v>33659</c:v>
                </c:pt>
                <c:pt idx="309">
                  <c:v>33660</c:v>
                </c:pt>
                <c:pt idx="310">
                  <c:v>33661</c:v>
                </c:pt>
                <c:pt idx="311">
                  <c:v>33662</c:v>
                </c:pt>
                <c:pt idx="312">
                  <c:v>33665</c:v>
                </c:pt>
                <c:pt idx="313">
                  <c:v>33666</c:v>
                </c:pt>
                <c:pt idx="314">
                  <c:v>33667</c:v>
                </c:pt>
                <c:pt idx="315">
                  <c:v>33668</c:v>
                </c:pt>
                <c:pt idx="316">
                  <c:v>33669</c:v>
                </c:pt>
                <c:pt idx="317">
                  <c:v>33672</c:v>
                </c:pt>
                <c:pt idx="318">
                  <c:v>33673</c:v>
                </c:pt>
                <c:pt idx="319">
                  <c:v>33674</c:v>
                </c:pt>
                <c:pt idx="320">
                  <c:v>33675</c:v>
                </c:pt>
                <c:pt idx="321">
                  <c:v>33676</c:v>
                </c:pt>
                <c:pt idx="322">
                  <c:v>33679</c:v>
                </c:pt>
                <c:pt idx="323">
                  <c:v>33680</c:v>
                </c:pt>
                <c:pt idx="324">
                  <c:v>33681</c:v>
                </c:pt>
                <c:pt idx="325">
                  <c:v>33682</c:v>
                </c:pt>
                <c:pt idx="326">
                  <c:v>33683</c:v>
                </c:pt>
                <c:pt idx="327">
                  <c:v>33686</c:v>
                </c:pt>
                <c:pt idx="328">
                  <c:v>33687</c:v>
                </c:pt>
                <c:pt idx="329">
                  <c:v>33688</c:v>
                </c:pt>
                <c:pt idx="330">
                  <c:v>33689</c:v>
                </c:pt>
                <c:pt idx="331">
                  <c:v>33690</c:v>
                </c:pt>
                <c:pt idx="332">
                  <c:v>33693</c:v>
                </c:pt>
                <c:pt idx="333">
                  <c:v>33694</c:v>
                </c:pt>
                <c:pt idx="334">
                  <c:v>33695</c:v>
                </c:pt>
                <c:pt idx="335">
                  <c:v>33696</c:v>
                </c:pt>
                <c:pt idx="336">
                  <c:v>33697</c:v>
                </c:pt>
                <c:pt idx="337">
                  <c:v>33700</c:v>
                </c:pt>
                <c:pt idx="338">
                  <c:v>33701</c:v>
                </c:pt>
                <c:pt idx="339">
                  <c:v>33702</c:v>
                </c:pt>
                <c:pt idx="340">
                  <c:v>33703</c:v>
                </c:pt>
                <c:pt idx="341">
                  <c:v>33704</c:v>
                </c:pt>
                <c:pt idx="342">
                  <c:v>33707</c:v>
                </c:pt>
                <c:pt idx="343">
                  <c:v>33708</c:v>
                </c:pt>
                <c:pt idx="344">
                  <c:v>33709</c:v>
                </c:pt>
                <c:pt idx="345">
                  <c:v>33710</c:v>
                </c:pt>
                <c:pt idx="346">
                  <c:v>33715</c:v>
                </c:pt>
                <c:pt idx="347">
                  <c:v>33716</c:v>
                </c:pt>
                <c:pt idx="348">
                  <c:v>33717</c:v>
                </c:pt>
                <c:pt idx="349">
                  <c:v>33718</c:v>
                </c:pt>
                <c:pt idx="350">
                  <c:v>33721</c:v>
                </c:pt>
                <c:pt idx="351">
                  <c:v>33722</c:v>
                </c:pt>
                <c:pt idx="352">
                  <c:v>33723</c:v>
                </c:pt>
                <c:pt idx="353">
                  <c:v>33724</c:v>
                </c:pt>
                <c:pt idx="354">
                  <c:v>33728</c:v>
                </c:pt>
                <c:pt idx="355">
                  <c:v>33729</c:v>
                </c:pt>
                <c:pt idx="356">
                  <c:v>33730</c:v>
                </c:pt>
                <c:pt idx="357">
                  <c:v>33731</c:v>
                </c:pt>
                <c:pt idx="358">
                  <c:v>33732</c:v>
                </c:pt>
                <c:pt idx="359">
                  <c:v>33735</c:v>
                </c:pt>
                <c:pt idx="360">
                  <c:v>33736</c:v>
                </c:pt>
                <c:pt idx="361">
                  <c:v>33737</c:v>
                </c:pt>
                <c:pt idx="362">
                  <c:v>33738</c:v>
                </c:pt>
                <c:pt idx="363">
                  <c:v>33739</c:v>
                </c:pt>
                <c:pt idx="364">
                  <c:v>33742</c:v>
                </c:pt>
                <c:pt idx="365">
                  <c:v>33743</c:v>
                </c:pt>
                <c:pt idx="366">
                  <c:v>33744</c:v>
                </c:pt>
                <c:pt idx="367">
                  <c:v>33745</c:v>
                </c:pt>
                <c:pt idx="368">
                  <c:v>33746</c:v>
                </c:pt>
                <c:pt idx="369">
                  <c:v>33749</c:v>
                </c:pt>
                <c:pt idx="370">
                  <c:v>33750</c:v>
                </c:pt>
                <c:pt idx="371">
                  <c:v>33751</c:v>
                </c:pt>
                <c:pt idx="372">
                  <c:v>33753</c:v>
                </c:pt>
                <c:pt idx="373">
                  <c:v>33756</c:v>
                </c:pt>
                <c:pt idx="374">
                  <c:v>33757</c:v>
                </c:pt>
                <c:pt idx="375">
                  <c:v>33758</c:v>
                </c:pt>
                <c:pt idx="376">
                  <c:v>33759</c:v>
                </c:pt>
                <c:pt idx="377">
                  <c:v>33760</c:v>
                </c:pt>
                <c:pt idx="378">
                  <c:v>33764</c:v>
                </c:pt>
                <c:pt idx="379">
                  <c:v>33765</c:v>
                </c:pt>
                <c:pt idx="380">
                  <c:v>33766</c:v>
                </c:pt>
                <c:pt idx="381">
                  <c:v>33767</c:v>
                </c:pt>
                <c:pt idx="382">
                  <c:v>33770</c:v>
                </c:pt>
                <c:pt idx="383">
                  <c:v>33771</c:v>
                </c:pt>
                <c:pt idx="384">
                  <c:v>33772</c:v>
                </c:pt>
                <c:pt idx="385">
                  <c:v>33774</c:v>
                </c:pt>
                <c:pt idx="386">
                  <c:v>33777</c:v>
                </c:pt>
                <c:pt idx="387">
                  <c:v>33778</c:v>
                </c:pt>
                <c:pt idx="388">
                  <c:v>33779</c:v>
                </c:pt>
                <c:pt idx="389">
                  <c:v>33780</c:v>
                </c:pt>
                <c:pt idx="390">
                  <c:v>33781</c:v>
                </c:pt>
                <c:pt idx="391">
                  <c:v>33784</c:v>
                </c:pt>
                <c:pt idx="392">
                  <c:v>33785</c:v>
                </c:pt>
                <c:pt idx="393">
                  <c:v>33786</c:v>
                </c:pt>
                <c:pt idx="394">
                  <c:v>33787</c:v>
                </c:pt>
                <c:pt idx="395">
                  <c:v>33788</c:v>
                </c:pt>
                <c:pt idx="396">
                  <c:v>33791</c:v>
                </c:pt>
                <c:pt idx="397">
                  <c:v>33792</c:v>
                </c:pt>
                <c:pt idx="398">
                  <c:v>33793</c:v>
                </c:pt>
                <c:pt idx="399">
                  <c:v>33794</c:v>
                </c:pt>
                <c:pt idx="400">
                  <c:v>33795</c:v>
                </c:pt>
                <c:pt idx="401">
                  <c:v>33798</c:v>
                </c:pt>
                <c:pt idx="402">
                  <c:v>33799</c:v>
                </c:pt>
                <c:pt idx="403">
                  <c:v>33800</c:v>
                </c:pt>
                <c:pt idx="404">
                  <c:v>33801</c:v>
                </c:pt>
                <c:pt idx="405">
                  <c:v>33802</c:v>
                </c:pt>
                <c:pt idx="406">
                  <c:v>33805</c:v>
                </c:pt>
                <c:pt idx="407">
                  <c:v>33806</c:v>
                </c:pt>
                <c:pt idx="408">
                  <c:v>33807</c:v>
                </c:pt>
                <c:pt idx="409">
                  <c:v>33808</c:v>
                </c:pt>
                <c:pt idx="410">
                  <c:v>33809</c:v>
                </c:pt>
                <c:pt idx="411">
                  <c:v>33812</c:v>
                </c:pt>
                <c:pt idx="412">
                  <c:v>33813</c:v>
                </c:pt>
                <c:pt idx="413">
                  <c:v>33814</c:v>
                </c:pt>
                <c:pt idx="414">
                  <c:v>33815</c:v>
                </c:pt>
                <c:pt idx="415">
                  <c:v>33816</c:v>
                </c:pt>
                <c:pt idx="416">
                  <c:v>33819</c:v>
                </c:pt>
                <c:pt idx="417">
                  <c:v>33820</c:v>
                </c:pt>
                <c:pt idx="418">
                  <c:v>33821</c:v>
                </c:pt>
                <c:pt idx="419">
                  <c:v>33822</c:v>
                </c:pt>
                <c:pt idx="420">
                  <c:v>33823</c:v>
                </c:pt>
                <c:pt idx="421">
                  <c:v>33826</c:v>
                </c:pt>
                <c:pt idx="422">
                  <c:v>33827</c:v>
                </c:pt>
                <c:pt idx="423">
                  <c:v>33828</c:v>
                </c:pt>
                <c:pt idx="424">
                  <c:v>33829</c:v>
                </c:pt>
                <c:pt idx="425">
                  <c:v>33830</c:v>
                </c:pt>
                <c:pt idx="426">
                  <c:v>33833</c:v>
                </c:pt>
                <c:pt idx="427">
                  <c:v>33834</c:v>
                </c:pt>
                <c:pt idx="428">
                  <c:v>33835</c:v>
                </c:pt>
                <c:pt idx="429">
                  <c:v>33836</c:v>
                </c:pt>
                <c:pt idx="430">
                  <c:v>33837</c:v>
                </c:pt>
                <c:pt idx="431">
                  <c:v>33840</c:v>
                </c:pt>
                <c:pt idx="432">
                  <c:v>33841</c:v>
                </c:pt>
                <c:pt idx="433">
                  <c:v>33842</c:v>
                </c:pt>
                <c:pt idx="434">
                  <c:v>33843</c:v>
                </c:pt>
                <c:pt idx="435">
                  <c:v>33844</c:v>
                </c:pt>
                <c:pt idx="436">
                  <c:v>33847</c:v>
                </c:pt>
                <c:pt idx="437">
                  <c:v>33848</c:v>
                </c:pt>
                <c:pt idx="438">
                  <c:v>33849</c:v>
                </c:pt>
                <c:pt idx="439">
                  <c:v>33850</c:v>
                </c:pt>
                <c:pt idx="440">
                  <c:v>33851</c:v>
                </c:pt>
                <c:pt idx="441">
                  <c:v>33854</c:v>
                </c:pt>
                <c:pt idx="442">
                  <c:v>33855</c:v>
                </c:pt>
                <c:pt idx="443">
                  <c:v>33856</c:v>
                </c:pt>
                <c:pt idx="444">
                  <c:v>33857</c:v>
                </c:pt>
                <c:pt idx="445">
                  <c:v>33858</c:v>
                </c:pt>
                <c:pt idx="446">
                  <c:v>33861</c:v>
                </c:pt>
                <c:pt idx="447">
                  <c:v>33862</c:v>
                </c:pt>
                <c:pt idx="448">
                  <c:v>33863</c:v>
                </c:pt>
                <c:pt idx="449">
                  <c:v>33864</c:v>
                </c:pt>
                <c:pt idx="450">
                  <c:v>33865</c:v>
                </c:pt>
                <c:pt idx="451">
                  <c:v>33868</c:v>
                </c:pt>
                <c:pt idx="452">
                  <c:v>33869</c:v>
                </c:pt>
                <c:pt idx="453">
                  <c:v>33870</c:v>
                </c:pt>
                <c:pt idx="454">
                  <c:v>33871</c:v>
                </c:pt>
                <c:pt idx="455">
                  <c:v>33872</c:v>
                </c:pt>
                <c:pt idx="456">
                  <c:v>33875</c:v>
                </c:pt>
                <c:pt idx="457">
                  <c:v>33876</c:v>
                </c:pt>
                <c:pt idx="458">
                  <c:v>33877</c:v>
                </c:pt>
                <c:pt idx="459">
                  <c:v>33878</c:v>
                </c:pt>
                <c:pt idx="460">
                  <c:v>33879</c:v>
                </c:pt>
                <c:pt idx="461">
                  <c:v>33882</c:v>
                </c:pt>
                <c:pt idx="462">
                  <c:v>33883</c:v>
                </c:pt>
                <c:pt idx="463">
                  <c:v>33884</c:v>
                </c:pt>
                <c:pt idx="464">
                  <c:v>33885</c:v>
                </c:pt>
                <c:pt idx="465">
                  <c:v>33886</c:v>
                </c:pt>
                <c:pt idx="466">
                  <c:v>33889</c:v>
                </c:pt>
                <c:pt idx="467">
                  <c:v>33890</c:v>
                </c:pt>
                <c:pt idx="468">
                  <c:v>33891</c:v>
                </c:pt>
                <c:pt idx="469">
                  <c:v>33892</c:v>
                </c:pt>
                <c:pt idx="470">
                  <c:v>33893</c:v>
                </c:pt>
                <c:pt idx="471">
                  <c:v>33896</c:v>
                </c:pt>
                <c:pt idx="472">
                  <c:v>33897</c:v>
                </c:pt>
                <c:pt idx="473">
                  <c:v>33898</c:v>
                </c:pt>
                <c:pt idx="474">
                  <c:v>33899</c:v>
                </c:pt>
                <c:pt idx="475">
                  <c:v>33900</c:v>
                </c:pt>
                <c:pt idx="476">
                  <c:v>33903</c:v>
                </c:pt>
                <c:pt idx="477">
                  <c:v>33904</c:v>
                </c:pt>
                <c:pt idx="478">
                  <c:v>33905</c:v>
                </c:pt>
                <c:pt idx="479">
                  <c:v>33906</c:v>
                </c:pt>
                <c:pt idx="480">
                  <c:v>33907</c:v>
                </c:pt>
                <c:pt idx="481">
                  <c:v>33910</c:v>
                </c:pt>
                <c:pt idx="482">
                  <c:v>33911</c:v>
                </c:pt>
                <c:pt idx="483">
                  <c:v>33912</c:v>
                </c:pt>
                <c:pt idx="484">
                  <c:v>33913</c:v>
                </c:pt>
                <c:pt idx="485">
                  <c:v>33914</c:v>
                </c:pt>
                <c:pt idx="486">
                  <c:v>33917</c:v>
                </c:pt>
                <c:pt idx="487">
                  <c:v>33918</c:v>
                </c:pt>
                <c:pt idx="488">
                  <c:v>33919</c:v>
                </c:pt>
                <c:pt idx="489">
                  <c:v>33920</c:v>
                </c:pt>
                <c:pt idx="490">
                  <c:v>33921</c:v>
                </c:pt>
                <c:pt idx="491">
                  <c:v>33924</c:v>
                </c:pt>
                <c:pt idx="492">
                  <c:v>33925</c:v>
                </c:pt>
                <c:pt idx="493">
                  <c:v>33927</c:v>
                </c:pt>
                <c:pt idx="494">
                  <c:v>33928</c:v>
                </c:pt>
                <c:pt idx="495">
                  <c:v>33931</c:v>
                </c:pt>
                <c:pt idx="496">
                  <c:v>33932</c:v>
                </c:pt>
                <c:pt idx="497">
                  <c:v>33933</c:v>
                </c:pt>
                <c:pt idx="498">
                  <c:v>33934</c:v>
                </c:pt>
                <c:pt idx="499">
                  <c:v>33935</c:v>
                </c:pt>
                <c:pt idx="500">
                  <c:v>33938</c:v>
                </c:pt>
                <c:pt idx="501">
                  <c:v>33939</c:v>
                </c:pt>
                <c:pt idx="502">
                  <c:v>33940</c:v>
                </c:pt>
                <c:pt idx="503">
                  <c:v>33941</c:v>
                </c:pt>
                <c:pt idx="504">
                  <c:v>33942</c:v>
                </c:pt>
                <c:pt idx="505">
                  <c:v>33945</c:v>
                </c:pt>
                <c:pt idx="506">
                  <c:v>33946</c:v>
                </c:pt>
                <c:pt idx="507">
                  <c:v>33947</c:v>
                </c:pt>
                <c:pt idx="508">
                  <c:v>33948</c:v>
                </c:pt>
                <c:pt idx="509">
                  <c:v>33949</c:v>
                </c:pt>
                <c:pt idx="510">
                  <c:v>33952</c:v>
                </c:pt>
                <c:pt idx="511">
                  <c:v>33953</c:v>
                </c:pt>
                <c:pt idx="512">
                  <c:v>33954</c:v>
                </c:pt>
                <c:pt idx="513">
                  <c:v>33955</c:v>
                </c:pt>
                <c:pt idx="514">
                  <c:v>33956</c:v>
                </c:pt>
                <c:pt idx="515">
                  <c:v>33959</c:v>
                </c:pt>
                <c:pt idx="516">
                  <c:v>33960</c:v>
                </c:pt>
                <c:pt idx="517">
                  <c:v>33961</c:v>
                </c:pt>
                <c:pt idx="518">
                  <c:v>33966</c:v>
                </c:pt>
                <c:pt idx="519">
                  <c:v>33967</c:v>
                </c:pt>
                <c:pt idx="520">
                  <c:v>33968</c:v>
                </c:pt>
                <c:pt idx="521">
                  <c:v>33973</c:v>
                </c:pt>
                <c:pt idx="522">
                  <c:v>33974</c:v>
                </c:pt>
                <c:pt idx="523">
                  <c:v>33975</c:v>
                </c:pt>
                <c:pt idx="524">
                  <c:v>33976</c:v>
                </c:pt>
                <c:pt idx="525">
                  <c:v>33977</c:v>
                </c:pt>
                <c:pt idx="526">
                  <c:v>33980</c:v>
                </c:pt>
                <c:pt idx="527">
                  <c:v>33981</c:v>
                </c:pt>
                <c:pt idx="528">
                  <c:v>33982</c:v>
                </c:pt>
                <c:pt idx="529">
                  <c:v>33983</c:v>
                </c:pt>
                <c:pt idx="530">
                  <c:v>33984</c:v>
                </c:pt>
                <c:pt idx="531">
                  <c:v>33987</c:v>
                </c:pt>
                <c:pt idx="532">
                  <c:v>33988</c:v>
                </c:pt>
                <c:pt idx="533">
                  <c:v>33989</c:v>
                </c:pt>
                <c:pt idx="534">
                  <c:v>33990</c:v>
                </c:pt>
                <c:pt idx="535">
                  <c:v>33991</c:v>
                </c:pt>
                <c:pt idx="536">
                  <c:v>33994</c:v>
                </c:pt>
                <c:pt idx="537">
                  <c:v>33995</c:v>
                </c:pt>
                <c:pt idx="538">
                  <c:v>33996</c:v>
                </c:pt>
                <c:pt idx="539">
                  <c:v>33997</c:v>
                </c:pt>
                <c:pt idx="540">
                  <c:v>33998</c:v>
                </c:pt>
                <c:pt idx="541">
                  <c:v>34001</c:v>
                </c:pt>
                <c:pt idx="542">
                  <c:v>34002</c:v>
                </c:pt>
                <c:pt idx="543">
                  <c:v>34003</c:v>
                </c:pt>
                <c:pt idx="544">
                  <c:v>34004</c:v>
                </c:pt>
                <c:pt idx="545">
                  <c:v>34005</c:v>
                </c:pt>
                <c:pt idx="546">
                  <c:v>34008</c:v>
                </c:pt>
                <c:pt idx="547">
                  <c:v>34009</c:v>
                </c:pt>
                <c:pt idx="548">
                  <c:v>34010</c:v>
                </c:pt>
                <c:pt idx="549">
                  <c:v>34011</c:v>
                </c:pt>
                <c:pt idx="550">
                  <c:v>34012</c:v>
                </c:pt>
                <c:pt idx="551">
                  <c:v>34015</c:v>
                </c:pt>
                <c:pt idx="552">
                  <c:v>34016</c:v>
                </c:pt>
                <c:pt idx="553">
                  <c:v>34017</c:v>
                </c:pt>
                <c:pt idx="554">
                  <c:v>34018</c:v>
                </c:pt>
                <c:pt idx="555">
                  <c:v>34019</c:v>
                </c:pt>
                <c:pt idx="556">
                  <c:v>34022</c:v>
                </c:pt>
                <c:pt idx="557">
                  <c:v>34023</c:v>
                </c:pt>
                <c:pt idx="558">
                  <c:v>34024</c:v>
                </c:pt>
                <c:pt idx="559">
                  <c:v>34025</c:v>
                </c:pt>
                <c:pt idx="560">
                  <c:v>34026</c:v>
                </c:pt>
                <c:pt idx="561">
                  <c:v>34029</c:v>
                </c:pt>
                <c:pt idx="562">
                  <c:v>34030</c:v>
                </c:pt>
                <c:pt idx="563">
                  <c:v>34031</c:v>
                </c:pt>
                <c:pt idx="564">
                  <c:v>34032</c:v>
                </c:pt>
                <c:pt idx="565">
                  <c:v>34033</c:v>
                </c:pt>
                <c:pt idx="566">
                  <c:v>34036</c:v>
                </c:pt>
                <c:pt idx="567">
                  <c:v>34037</c:v>
                </c:pt>
                <c:pt idx="568">
                  <c:v>34038</c:v>
                </c:pt>
                <c:pt idx="569">
                  <c:v>34039</c:v>
                </c:pt>
                <c:pt idx="570">
                  <c:v>34040</c:v>
                </c:pt>
                <c:pt idx="571">
                  <c:v>34043</c:v>
                </c:pt>
                <c:pt idx="572">
                  <c:v>34044</c:v>
                </c:pt>
                <c:pt idx="573">
                  <c:v>34045</c:v>
                </c:pt>
                <c:pt idx="574">
                  <c:v>34046</c:v>
                </c:pt>
                <c:pt idx="575">
                  <c:v>34047</c:v>
                </c:pt>
                <c:pt idx="576">
                  <c:v>34050</c:v>
                </c:pt>
                <c:pt idx="577">
                  <c:v>34051</c:v>
                </c:pt>
                <c:pt idx="578">
                  <c:v>34052</c:v>
                </c:pt>
                <c:pt idx="579">
                  <c:v>34053</c:v>
                </c:pt>
                <c:pt idx="580">
                  <c:v>34054</c:v>
                </c:pt>
                <c:pt idx="581">
                  <c:v>34057</c:v>
                </c:pt>
                <c:pt idx="582">
                  <c:v>34058</c:v>
                </c:pt>
                <c:pt idx="583">
                  <c:v>34059</c:v>
                </c:pt>
                <c:pt idx="584">
                  <c:v>34060</c:v>
                </c:pt>
                <c:pt idx="585">
                  <c:v>34061</c:v>
                </c:pt>
                <c:pt idx="586">
                  <c:v>34064</c:v>
                </c:pt>
                <c:pt idx="587">
                  <c:v>34065</c:v>
                </c:pt>
                <c:pt idx="588">
                  <c:v>34066</c:v>
                </c:pt>
                <c:pt idx="589">
                  <c:v>34067</c:v>
                </c:pt>
                <c:pt idx="590">
                  <c:v>34072</c:v>
                </c:pt>
                <c:pt idx="591">
                  <c:v>34073</c:v>
                </c:pt>
                <c:pt idx="592">
                  <c:v>34074</c:v>
                </c:pt>
                <c:pt idx="593">
                  <c:v>34075</c:v>
                </c:pt>
                <c:pt idx="594">
                  <c:v>34078</c:v>
                </c:pt>
                <c:pt idx="595">
                  <c:v>34079</c:v>
                </c:pt>
                <c:pt idx="596">
                  <c:v>34080</c:v>
                </c:pt>
                <c:pt idx="597">
                  <c:v>34081</c:v>
                </c:pt>
                <c:pt idx="598">
                  <c:v>34082</c:v>
                </c:pt>
                <c:pt idx="599">
                  <c:v>34085</c:v>
                </c:pt>
                <c:pt idx="600">
                  <c:v>34086</c:v>
                </c:pt>
                <c:pt idx="601">
                  <c:v>34087</c:v>
                </c:pt>
                <c:pt idx="602">
                  <c:v>34088</c:v>
                </c:pt>
                <c:pt idx="603">
                  <c:v>34089</c:v>
                </c:pt>
                <c:pt idx="604">
                  <c:v>34092</c:v>
                </c:pt>
                <c:pt idx="605">
                  <c:v>34093</c:v>
                </c:pt>
                <c:pt idx="606">
                  <c:v>34094</c:v>
                </c:pt>
                <c:pt idx="607">
                  <c:v>34095</c:v>
                </c:pt>
                <c:pt idx="608">
                  <c:v>34096</c:v>
                </c:pt>
                <c:pt idx="609">
                  <c:v>34099</c:v>
                </c:pt>
                <c:pt idx="610">
                  <c:v>34100</c:v>
                </c:pt>
                <c:pt idx="611">
                  <c:v>34101</c:v>
                </c:pt>
                <c:pt idx="612">
                  <c:v>34102</c:v>
                </c:pt>
                <c:pt idx="613">
                  <c:v>34103</c:v>
                </c:pt>
                <c:pt idx="614">
                  <c:v>34106</c:v>
                </c:pt>
                <c:pt idx="615">
                  <c:v>34107</c:v>
                </c:pt>
                <c:pt idx="616">
                  <c:v>34108</c:v>
                </c:pt>
                <c:pt idx="617">
                  <c:v>34110</c:v>
                </c:pt>
                <c:pt idx="618">
                  <c:v>34113</c:v>
                </c:pt>
                <c:pt idx="619">
                  <c:v>34114</c:v>
                </c:pt>
                <c:pt idx="620">
                  <c:v>34115</c:v>
                </c:pt>
                <c:pt idx="621">
                  <c:v>34116</c:v>
                </c:pt>
                <c:pt idx="622">
                  <c:v>34117</c:v>
                </c:pt>
                <c:pt idx="623">
                  <c:v>34121</c:v>
                </c:pt>
                <c:pt idx="624">
                  <c:v>34122</c:v>
                </c:pt>
                <c:pt idx="625">
                  <c:v>34123</c:v>
                </c:pt>
                <c:pt idx="626">
                  <c:v>34124</c:v>
                </c:pt>
                <c:pt idx="627">
                  <c:v>34127</c:v>
                </c:pt>
                <c:pt idx="628">
                  <c:v>34128</c:v>
                </c:pt>
                <c:pt idx="629">
                  <c:v>34129</c:v>
                </c:pt>
                <c:pt idx="630">
                  <c:v>34131</c:v>
                </c:pt>
                <c:pt idx="631">
                  <c:v>34134</c:v>
                </c:pt>
                <c:pt idx="632">
                  <c:v>34135</c:v>
                </c:pt>
                <c:pt idx="633">
                  <c:v>34136</c:v>
                </c:pt>
                <c:pt idx="634">
                  <c:v>34137</c:v>
                </c:pt>
                <c:pt idx="635">
                  <c:v>34138</c:v>
                </c:pt>
                <c:pt idx="636">
                  <c:v>34141</c:v>
                </c:pt>
                <c:pt idx="637">
                  <c:v>34142</c:v>
                </c:pt>
                <c:pt idx="638">
                  <c:v>34143</c:v>
                </c:pt>
                <c:pt idx="639">
                  <c:v>34144</c:v>
                </c:pt>
                <c:pt idx="640">
                  <c:v>34145</c:v>
                </c:pt>
                <c:pt idx="641">
                  <c:v>34148</c:v>
                </c:pt>
                <c:pt idx="642">
                  <c:v>34149</c:v>
                </c:pt>
                <c:pt idx="643">
                  <c:v>34150</c:v>
                </c:pt>
                <c:pt idx="644">
                  <c:v>34151</c:v>
                </c:pt>
                <c:pt idx="645">
                  <c:v>34152</c:v>
                </c:pt>
                <c:pt idx="646">
                  <c:v>34155</c:v>
                </c:pt>
                <c:pt idx="647">
                  <c:v>34156</c:v>
                </c:pt>
                <c:pt idx="648">
                  <c:v>34157</c:v>
                </c:pt>
                <c:pt idx="649">
                  <c:v>34158</c:v>
                </c:pt>
                <c:pt idx="650">
                  <c:v>34159</c:v>
                </c:pt>
                <c:pt idx="651">
                  <c:v>34162</c:v>
                </c:pt>
                <c:pt idx="652">
                  <c:v>34163</c:v>
                </c:pt>
                <c:pt idx="653">
                  <c:v>34164</c:v>
                </c:pt>
                <c:pt idx="654">
                  <c:v>34165</c:v>
                </c:pt>
                <c:pt idx="655">
                  <c:v>34166</c:v>
                </c:pt>
                <c:pt idx="656">
                  <c:v>34169</c:v>
                </c:pt>
                <c:pt idx="657">
                  <c:v>34170</c:v>
                </c:pt>
                <c:pt idx="658">
                  <c:v>34171</c:v>
                </c:pt>
                <c:pt idx="659">
                  <c:v>34172</c:v>
                </c:pt>
                <c:pt idx="660">
                  <c:v>34173</c:v>
                </c:pt>
                <c:pt idx="661">
                  <c:v>34176</c:v>
                </c:pt>
                <c:pt idx="662">
                  <c:v>34177</c:v>
                </c:pt>
                <c:pt idx="663">
                  <c:v>34178</c:v>
                </c:pt>
                <c:pt idx="664">
                  <c:v>34179</c:v>
                </c:pt>
                <c:pt idx="665">
                  <c:v>34180</c:v>
                </c:pt>
                <c:pt idx="666">
                  <c:v>34183</c:v>
                </c:pt>
                <c:pt idx="667">
                  <c:v>34184</c:v>
                </c:pt>
                <c:pt idx="668">
                  <c:v>34185</c:v>
                </c:pt>
                <c:pt idx="669">
                  <c:v>34186</c:v>
                </c:pt>
                <c:pt idx="670">
                  <c:v>34187</c:v>
                </c:pt>
                <c:pt idx="671">
                  <c:v>34190</c:v>
                </c:pt>
                <c:pt idx="672">
                  <c:v>34191</c:v>
                </c:pt>
                <c:pt idx="673">
                  <c:v>34192</c:v>
                </c:pt>
                <c:pt idx="674">
                  <c:v>34193</c:v>
                </c:pt>
                <c:pt idx="675">
                  <c:v>34194</c:v>
                </c:pt>
                <c:pt idx="676">
                  <c:v>34197</c:v>
                </c:pt>
                <c:pt idx="677">
                  <c:v>34198</c:v>
                </c:pt>
                <c:pt idx="678">
                  <c:v>34199</c:v>
                </c:pt>
                <c:pt idx="679">
                  <c:v>34200</c:v>
                </c:pt>
                <c:pt idx="680">
                  <c:v>34201</c:v>
                </c:pt>
                <c:pt idx="681">
                  <c:v>34204</c:v>
                </c:pt>
                <c:pt idx="682">
                  <c:v>34205</c:v>
                </c:pt>
                <c:pt idx="683">
                  <c:v>34206</c:v>
                </c:pt>
                <c:pt idx="684">
                  <c:v>34207</c:v>
                </c:pt>
                <c:pt idx="685">
                  <c:v>34208</c:v>
                </c:pt>
                <c:pt idx="686">
                  <c:v>34211</c:v>
                </c:pt>
                <c:pt idx="687">
                  <c:v>34212</c:v>
                </c:pt>
                <c:pt idx="688">
                  <c:v>34213</c:v>
                </c:pt>
                <c:pt idx="689">
                  <c:v>34214</c:v>
                </c:pt>
                <c:pt idx="690">
                  <c:v>34215</c:v>
                </c:pt>
                <c:pt idx="691">
                  <c:v>34218</c:v>
                </c:pt>
                <c:pt idx="692">
                  <c:v>34219</c:v>
                </c:pt>
                <c:pt idx="693">
                  <c:v>34220</c:v>
                </c:pt>
                <c:pt idx="694">
                  <c:v>34221</c:v>
                </c:pt>
                <c:pt idx="695">
                  <c:v>34222</c:v>
                </c:pt>
                <c:pt idx="696">
                  <c:v>34225</c:v>
                </c:pt>
                <c:pt idx="697">
                  <c:v>34226</c:v>
                </c:pt>
                <c:pt idx="698">
                  <c:v>34227</c:v>
                </c:pt>
                <c:pt idx="699">
                  <c:v>34228</c:v>
                </c:pt>
                <c:pt idx="700">
                  <c:v>34229</c:v>
                </c:pt>
                <c:pt idx="701">
                  <c:v>34232</c:v>
                </c:pt>
                <c:pt idx="702">
                  <c:v>34233</c:v>
                </c:pt>
                <c:pt idx="703">
                  <c:v>34234</c:v>
                </c:pt>
                <c:pt idx="704">
                  <c:v>34235</c:v>
                </c:pt>
                <c:pt idx="705">
                  <c:v>34236</c:v>
                </c:pt>
                <c:pt idx="706">
                  <c:v>34239</c:v>
                </c:pt>
                <c:pt idx="707">
                  <c:v>34240</c:v>
                </c:pt>
                <c:pt idx="708">
                  <c:v>34241</c:v>
                </c:pt>
                <c:pt idx="709">
                  <c:v>34242</c:v>
                </c:pt>
                <c:pt idx="710">
                  <c:v>34243</c:v>
                </c:pt>
                <c:pt idx="711">
                  <c:v>34246</c:v>
                </c:pt>
                <c:pt idx="712">
                  <c:v>34247</c:v>
                </c:pt>
                <c:pt idx="713">
                  <c:v>34248</c:v>
                </c:pt>
                <c:pt idx="714">
                  <c:v>34249</c:v>
                </c:pt>
                <c:pt idx="715">
                  <c:v>34250</c:v>
                </c:pt>
                <c:pt idx="716">
                  <c:v>34253</c:v>
                </c:pt>
                <c:pt idx="717">
                  <c:v>34254</c:v>
                </c:pt>
                <c:pt idx="718">
                  <c:v>34255</c:v>
                </c:pt>
                <c:pt idx="719">
                  <c:v>34256</c:v>
                </c:pt>
                <c:pt idx="720">
                  <c:v>34257</c:v>
                </c:pt>
                <c:pt idx="721">
                  <c:v>34260</c:v>
                </c:pt>
                <c:pt idx="722">
                  <c:v>34261</c:v>
                </c:pt>
                <c:pt idx="723">
                  <c:v>34262</c:v>
                </c:pt>
                <c:pt idx="724">
                  <c:v>34263</c:v>
                </c:pt>
                <c:pt idx="725">
                  <c:v>34264</c:v>
                </c:pt>
                <c:pt idx="726">
                  <c:v>34267</c:v>
                </c:pt>
                <c:pt idx="727">
                  <c:v>34268</c:v>
                </c:pt>
                <c:pt idx="728">
                  <c:v>34269</c:v>
                </c:pt>
                <c:pt idx="729">
                  <c:v>34270</c:v>
                </c:pt>
                <c:pt idx="730">
                  <c:v>34271</c:v>
                </c:pt>
                <c:pt idx="731">
                  <c:v>34274</c:v>
                </c:pt>
                <c:pt idx="732">
                  <c:v>34275</c:v>
                </c:pt>
                <c:pt idx="733">
                  <c:v>34276</c:v>
                </c:pt>
                <c:pt idx="734">
                  <c:v>34277</c:v>
                </c:pt>
                <c:pt idx="735">
                  <c:v>34278</c:v>
                </c:pt>
                <c:pt idx="736">
                  <c:v>34281</c:v>
                </c:pt>
                <c:pt idx="737">
                  <c:v>34282</c:v>
                </c:pt>
                <c:pt idx="738">
                  <c:v>34283</c:v>
                </c:pt>
                <c:pt idx="739">
                  <c:v>34284</c:v>
                </c:pt>
                <c:pt idx="740">
                  <c:v>34285</c:v>
                </c:pt>
                <c:pt idx="741">
                  <c:v>34288</c:v>
                </c:pt>
                <c:pt idx="742">
                  <c:v>34289</c:v>
                </c:pt>
                <c:pt idx="743">
                  <c:v>34291</c:v>
                </c:pt>
                <c:pt idx="744">
                  <c:v>34292</c:v>
                </c:pt>
                <c:pt idx="745">
                  <c:v>34295</c:v>
                </c:pt>
                <c:pt idx="746">
                  <c:v>34296</c:v>
                </c:pt>
                <c:pt idx="747">
                  <c:v>34297</c:v>
                </c:pt>
                <c:pt idx="748">
                  <c:v>34298</c:v>
                </c:pt>
                <c:pt idx="749">
                  <c:v>34299</c:v>
                </c:pt>
                <c:pt idx="750">
                  <c:v>34302</c:v>
                </c:pt>
                <c:pt idx="751">
                  <c:v>34303</c:v>
                </c:pt>
                <c:pt idx="752">
                  <c:v>34304</c:v>
                </c:pt>
                <c:pt idx="753">
                  <c:v>34305</c:v>
                </c:pt>
                <c:pt idx="754">
                  <c:v>34306</c:v>
                </c:pt>
                <c:pt idx="755">
                  <c:v>34309</c:v>
                </c:pt>
                <c:pt idx="756">
                  <c:v>34310</c:v>
                </c:pt>
                <c:pt idx="757">
                  <c:v>34311</c:v>
                </c:pt>
                <c:pt idx="758">
                  <c:v>34312</c:v>
                </c:pt>
                <c:pt idx="759">
                  <c:v>34313</c:v>
                </c:pt>
                <c:pt idx="760">
                  <c:v>34316</c:v>
                </c:pt>
                <c:pt idx="761">
                  <c:v>34317</c:v>
                </c:pt>
                <c:pt idx="762">
                  <c:v>34318</c:v>
                </c:pt>
                <c:pt idx="763">
                  <c:v>34319</c:v>
                </c:pt>
                <c:pt idx="764">
                  <c:v>34320</c:v>
                </c:pt>
                <c:pt idx="765">
                  <c:v>34323</c:v>
                </c:pt>
                <c:pt idx="766">
                  <c:v>34324</c:v>
                </c:pt>
                <c:pt idx="767">
                  <c:v>34325</c:v>
                </c:pt>
                <c:pt idx="768">
                  <c:v>34326</c:v>
                </c:pt>
                <c:pt idx="769">
                  <c:v>34330</c:v>
                </c:pt>
                <c:pt idx="770">
                  <c:v>34331</c:v>
                </c:pt>
                <c:pt idx="771">
                  <c:v>34332</c:v>
                </c:pt>
                <c:pt idx="772">
                  <c:v>34333</c:v>
                </c:pt>
                <c:pt idx="773">
                  <c:v>34337</c:v>
                </c:pt>
                <c:pt idx="774">
                  <c:v>34338</c:v>
                </c:pt>
                <c:pt idx="775">
                  <c:v>34339</c:v>
                </c:pt>
                <c:pt idx="776">
                  <c:v>34340</c:v>
                </c:pt>
                <c:pt idx="777">
                  <c:v>34341</c:v>
                </c:pt>
                <c:pt idx="778">
                  <c:v>34344</c:v>
                </c:pt>
                <c:pt idx="779">
                  <c:v>34345</c:v>
                </c:pt>
                <c:pt idx="780">
                  <c:v>34346</c:v>
                </c:pt>
                <c:pt idx="781">
                  <c:v>34347</c:v>
                </c:pt>
                <c:pt idx="782">
                  <c:v>34348</c:v>
                </c:pt>
                <c:pt idx="783">
                  <c:v>34351</c:v>
                </c:pt>
                <c:pt idx="784">
                  <c:v>34352</c:v>
                </c:pt>
                <c:pt idx="785">
                  <c:v>34353</c:v>
                </c:pt>
                <c:pt idx="786">
                  <c:v>34354</c:v>
                </c:pt>
                <c:pt idx="787">
                  <c:v>34355</c:v>
                </c:pt>
                <c:pt idx="788">
                  <c:v>34358</c:v>
                </c:pt>
                <c:pt idx="789">
                  <c:v>34359</c:v>
                </c:pt>
                <c:pt idx="790">
                  <c:v>34360</c:v>
                </c:pt>
                <c:pt idx="791">
                  <c:v>34361</c:v>
                </c:pt>
                <c:pt idx="792">
                  <c:v>34362</c:v>
                </c:pt>
                <c:pt idx="793">
                  <c:v>34365</c:v>
                </c:pt>
                <c:pt idx="794">
                  <c:v>34366</c:v>
                </c:pt>
                <c:pt idx="795">
                  <c:v>34367</c:v>
                </c:pt>
                <c:pt idx="796">
                  <c:v>34368</c:v>
                </c:pt>
                <c:pt idx="797">
                  <c:v>34369</c:v>
                </c:pt>
                <c:pt idx="798">
                  <c:v>34372</c:v>
                </c:pt>
                <c:pt idx="799">
                  <c:v>34373</c:v>
                </c:pt>
                <c:pt idx="800">
                  <c:v>34374</c:v>
                </c:pt>
                <c:pt idx="801">
                  <c:v>34375</c:v>
                </c:pt>
                <c:pt idx="802">
                  <c:v>34376</c:v>
                </c:pt>
                <c:pt idx="803">
                  <c:v>34379</c:v>
                </c:pt>
                <c:pt idx="804">
                  <c:v>34380</c:v>
                </c:pt>
                <c:pt idx="805">
                  <c:v>34381</c:v>
                </c:pt>
                <c:pt idx="806">
                  <c:v>34382</c:v>
                </c:pt>
                <c:pt idx="807">
                  <c:v>34383</c:v>
                </c:pt>
                <c:pt idx="808">
                  <c:v>34386</c:v>
                </c:pt>
                <c:pt idx="809">
                  <c:v>34387</c:v>
                </c:pt>
                <c:pt idx="810">
                  <c:v>34388</c:v>
                </c:pt>
                <c:pt idx="811">
                  <c:v>34389</c:v>
                </c:pt>
                <c:pt idx="812">
                  <c:v>34390</c:v>
                </c:pt>
                <c:pt idx="813">
                  <c:v>34393</c:v>
                </c:pt>
                <c:pt idx="814">
                  <c:v>34394</c:v>
                </c:pt>
                <c:pt idx="815">
                  <c:v>34395</c:v>
                </c:pt>
                <c:pt idx="816">
                  <c:v>34396</c:v>
                </c:pt>
                <c:pt idx="817">
                  <c:v>34397</c:v>
                </c:pt>
                <c:pt idx="818">
                  <c:v>34400</c:v>
                </c:pt>
                <c:pt idx="819">
                  <c:v>34401</c:v>
                </c:pt>
                <c:pt idx="820">
                  <c:v>34402</c:v>
                </c:pt>
                <c:pt idx="821">
                  <c:v>34403</c:v>
                </c:pt>
                <c:pt idx="822">
                  <c:v>34404</c:v>
                </c:pt>
                <c:pt idx="823">
                  <c:v>34407</c:v>
                </c:pt>
                <c:pt idx="824">
                  <c:v>34408</c:v>
                </c:pt>
                <c:pt idx="825">
                  <c:v>34409</c:v>
                </c:pt>
                <c:pt idx="826">
                  <c:v>34410</c:v>
                </c:pt>
                <c:pt idx="827">
                  <c:v>34411</c:v>
                </c:pt>
                <c:pt idx="828">
                  <c:v>34414</c:v>
                </c:pt>
                <c:pt idx="829">
                  <c:v>34415</c:v>
                </c:pt>
                <c:pt idx="830">
                  <c:v>34416</c:v>
                </c:pt>
                <c:pt idx="831">
                  <c:v>34417</c:v>
                </c:pt>
                <c:pt idx="832">
                  <c:v>34418</c:v>
                </c:pt>
                <c:pt idx="833">
                  <c:v>34421</c:v>
                </c:pt>
                <c:pt idx="834">
                  <c:v>34422</c:v>
                </c:pt>
                <c:pt idx="835">
                  <c:v>34423</c:v>
                </c:pt>
                <c:pt idx="836">
                  <c:v>34424</c:v>
                </c:pt>
                <c:pt idx="837">
                  <c:v>34429</c:v>
                </c:pt>
                <c:pt idx="838">
                  <c:v>34430</c:v>
                </c:pt>
                <c:pt idx="839">
                  <c:v>34431</c:v>
                </c:pt>
                <c:pt idx="840">
                  <c:v>34432</c:v>
                </c:pt>
                <c:pt idx="841">
                  <c:v>34435</c:v>
                </c:pt>
                <c:pt idx="842">
                  <c:v>34436</c:v>
                </c:pt>
                <c:pt idx="843">
                  <c:v>34437</c:v>
                </c:pt>
                <c:pt idx="844">
                  <c:v>34438</c:v>
                </c:pt>
                <c:pt idx="845">
                  <c:v>34439</c:v>
                </c:pt>
                <c:pt idx="846">
                  <c:v>34442</c:v>
                </c:pt>
                <c:pt idx="847">
                  <c:v>34443</c:v>
                </c:pt>
                <c:pt idx="848">
                  <c:v>34444</c:v>
                </c:pt>
                <c:pt idx="849">
                  <c:v>34445</c:v>
                </c:pt>
                <c:pt idx="850">
                  <c:v>34446</c:v>
                </c:pt>
                <c:pt idx="851">
                  <c:v>34449</c:v>
                </c:pt>
                <c:pt idx="852">
                  <c:v>34450</c:v>
                </c:pt>
                <c:pt idx="853">
                  <c:v>34451</c:v>
                </c:pt>
                <c:pt idx="854">
                  <c:v>34452</c:v>
                </c:pt>
                <c:pt idx="855">
                  <c:v>34453</c:v>
                </c:pt>
                <c:pt idx="856">
                  <c:v>34456</c:v>
                </c:pt>
                <c:pt idx="857">
                  <c:v>34457</c:v>
                </c:pt>
                <c:pt idx="858">
                  <c:v>34458</c:v>
                </c:pt>
                <c:pt idx="859">
                  <c:v>34459</c:v>
                </c:pt>
                <c:pt idx="860">
                  <c:v>34460</c:v>
                </c:pt>
                <c:pt idx="861">
                  <c:v>34463</c:v>
                </c:pt>
                <c:pt idx="862">
                  <c:v>34464</c:v>
                </c:pt>
                <c:pt idx="863">
                  <c:v>34465</c:v>
                </c:pt>
                <c:pt idx="864">
                  <c:v>34467</c:v>
                </c:pt>
                <c:pt idx="865">
                  <c:v>34470</c:v>
                </c:pt>
                <c:pt idx="866">
                  <c:v>34471</c:v>
                </c:pt>
                <c:pt idx="867">
                  <c:v>34472</c:v>
                </c:pt>
                <c:pt idx="868">
                  <c:v>34473</c:v>
                </c:pt>
                <c:pt idx="869">
                  <c:v>34474</c:v>
                </c:pt>
                <c:pt idx="870">
                  <c:v>34478</c:v>
                </c:pt>
                <c:pt idx="871">
                  <c:v>34479</c:v>
                </c:pt>
                <c:pt idx="872">
                  <c:v>34480</c:v>
                </c:pt>
                <c:pt idx="873">
                  <c:v>34481</c:v>
                </c:pt>
                <c:pt idx="874">
                  <c:v>34484</c:v>
                </c:pt>
                <c:pt idx="875">
                  <c:v>34485</c:v>
                </c:pt>
                <c:pt idx="876">
                  <c:v>34486</c:v>
                </c:pt>
                <c:pt idx="877">
                  <c:v>34488</c:v>
                </c:pt>
                <c:pt idx="878">
                  <c:v>34491</c:v>
                </c:pt>
                <c:pt idx="879">
                  <c:v>34492</c:v>
                </c:pt>
                <c:pt idx="880">
                  <c:v>34493</c:v>
                </c:pt>
                <c:pt idx="881">
                  <c:v>34494</c:v>
                </c:pt>
                <c:pt idx="882">
                  <c:v>34495</c:v>
                </c:pt>
                <c:pt idx="883">
                  <c:v>34498</c:v>
                </c:pt>
                <c:pt idx="884">
                  <c:v>34499</c:v>
                </c:pt>
                <c:pt idx="885">
                  <c:v>34500</c:v>
                </c:pt>
                <c:pt idx="886">
                  <c:v>34501</c:v>
                </c:pt>
                <c:pt idx="887">
                  <c:v>34502</c:v>
                </c:pt>
                <c:pt idx="888">
                  <c:v>34505</c:v>
                </c:pt>
                <c:pt idx="889">
                  <c:v>34506</c:v>
                </c:pt>
                <c:pt idx="890">
                  <c:v>34507</c:v>
                </c:pt>
                <c:pt idx="891">
                  <c:v>34508</c:v>
                </c:pt>
                <c:pt idx="892">
                  <c:v>34509</c:v>
                </c:pt>
                <c:pt idx="893">
                  <c:v>34512</c:v>
                </c:pt>
                <c:pt idx="894">
                  <c:v>34513</c:v>
                </c:pt>
                <c:pt idx="895">
                  <c:v>34514</c:v>
                </c:pt>
                <c:pt idx="896">
                  <c:v>34515</c:v>
                </c:pt>
                <c:pt idx="897">
                  <c:v>34516</c:v>
                </c:pt>
                <c:pt idx="898">
                  <c:v>34519</c:v>
                </c:pt>
                <c:pt idx="899">
                  <c:v>34520</c:v>
                </c:pt>
                <c:pt idx="900">
                  <c:v>34521</c:v>
                </c:pt>
                <c:pt idx="901">
                  <c:v>34522</c:v>
                </c:pt>
                <c:pt idx="902">
                  <c:v>34523</c:v>
                </c:pt>
                <c:pt idx="903">
                  <c:v>34526</c:v>
                </c:pt>
                <c:pt idx="904">
                  <c:v>34527</c:v>
                </c:pt>
                <c:pt idx="905">
                  <c:v>34528</c:v>
                </c:pt>
                <c:pt idx="906">
                  <c:v>34529</c:v>
                </c:pt>
                <c:pt idx="907">
                  <c:v>34530</c:v>
                </c:pt>
                <c:pt idx="908">
                  <c:v>34533</c:v>
                </c:pt>
                <c:pt idx="909">
                  <c:v>34534</c:v>
                </c:pt>
                <c:pt idx="910">
                  <c:v>34535</c:v>
                </c:pt>
                <c:pt idx="911">
                  <c:v>34536</c:v>
                </c:pt>
                <c:pt idx="912">
                  <c:v>34537</c:v>
                </c:pt>
                <c:pt idx="913">
                  <c:v>34540</c:v>
                </c:pt>
                <c:pt idx="914">
                  <c:v>34541</c:v>
                </c:pt>
                <c:pt idx="915">
                  <c:v>34542</c:v>
                </c:pt>
                <c:pt idx="916">
                  <c:v>34543</c:v>
                </c:pt>
                <c:pt idx="917">
                  <c:v>34544</c:v>
                </c:pt>
                <c:pt idx="918">
                  <c:v>34547</c:v>
                </c:pt>
                <c:pt idx="919">
                  <c:v>34548</c:v>
                </c:pt>
                <c:pt idx="920">
                  <c:v>34549</c:v>
                </c:pt>
                <c:pt idx="921">
                  <c:v>34550</c:v>
                </c:pt>
                <c:pt idx="922">
                  <c:v>34551</c:v>
                </c:pt>
                <c:pt idx="923">
                  <c:v>34554</c:v>
                </c:pt>
                <c:pt idx="924">
                  <c:v>34555</c:v>
                </c:pt>
                <c:pt idx="925">
                  <c:v>34556</c:v>
                </c:pt>
                <c:pt idx="926">
                  <c:v>34557</c:v>
                </c:pt>
                <c:pt idx="927">
                  <c:v>34558</c:v>
                </c:pt>
                <c:pt idx="928">
                  <c:v>34561</c:v>
                </c:pt>
                <c:pt idx="929">
                  <c:v>34562</c:v>
                </c:pt>
                <c:pt idx="930">
                  <c:v>34563</c:v>
                </c:pt>
                <c:pt idx="931">
                  <c:v>34564</c:v>
                </c:pt>
                <c:pt idx="932">
                  <c:v>34565</c:v>
                </c:pt>
                <c:pt idx="933">
                  <c:v>34568</c:v>
                </c:pt>
                <c:pt idx="934">
                  <c:v>34569</c:v>
                </c:pt>
                <c:pt idx="935">
                  <c:v>34570</c:v>
                </c:pt>
                <c:pt idx="936">
                  <c:v>34571</c:v>
                </c:pt>
                <c:pt idx="937">
                  <c:v>34572</c:v>
                </c:pt>
                <c:pt idx="938">
                  <c:v>34575</c:v>
                </c:pt>
                <c:pt idx="939">
                  <c:v>34576</c:v>
                </c:pt>
                <c:pt idx="940">
                  <c:v>34577</c:v>
                </c:pt>
                <c:pt idx="941">
                  <c:v>34578</c:v>
                </c:pt>
                <c:pt idx="942">
                  <c:v>34579</c:v>
                </c:pt>
                <c:pt idx="943">
                  <c:v>34582</c:v>
                </c:pt>
                <c:pt idx="944">
                  <c:v>34583</c:v>
                </c:pt>
                <c:pt idx="945">
                  <c:v>34584</c:v>
                </c:pt>
                <c:pt idx="946">
                  <c:v>34585</c:v>
                </c:pt>
                <c:pt idx="947">
                  <c:v>34586</c:v>
                </c:pt>
                <c:pt idx="948">
                  <c:v>34589</c:v>
                </c:pt>
                <c:pt idx="949">
                  <c:v>34590</c:v>
                </c:pt>
                <c:pt idx="950">
                  <c:v>34591</c:v>
                </c:pt>
                <c:pt idx="951">
                  <c:v>34592</c:v>
                </c:pt>
                <c:pt idx="952">
                  <c:v>34593</c:v>
                </c:pt>
                <c:pt idx="953">
                  <c:v>34596</c:v>
                </c:pt>
                <c:pt idx="954">
                  <c:v>34597</c:v>
                </c:pt>
                <c:pt idx="955">
                  <c:v>34598</c:v>
                </c:pt>
                <c:pt idx="956">
                  <c:v>34599</c:v>
                </c:pt>
                <c:pt idx="957">
                  <c:v>34600</c:v>
                </c:pt>
                <c:pt idx="958">
                  <c:v>34603</c:v>
                </c:pt>
                <c:pt idx="959">
                  <c:v>34604</c:v>
                </c:pt>
                <c:pt idx="960">
                  <c:v>34605</c:v>
                </c:pt>
                <c:pt idx="961">
                  <c:v>34606</c:v>
                </c:pt>
                <c:pt idx="962">
                  <c:v>34607</c:v>
                </c:pt>
                <c:pt idx="963">
                  <c:v>34611</c:v>
                </c:pt>
                <c:pt idx="964">
                  <c:v>34612</c:v>
                </c:pt>
                <c:pt idx="965">
                  <c:v>34613</c:v>
                </c:pt>
                <c:pt idx="966">
                  <c:v>34614</c:v>
                </c:pt>
                <c:pt idx="967">
                  <c:v>34617</c:v>
                </c:pt>
                <c:pt idx="968">
                  <c:v>34618</c:v>
                </c:pt>
                <c:pt idx="969">
                  <c:v>34619</c:v>
                </c:pt>
                <c:pt idx="970">
                  <c:v>34620</c:v>
                </c:pt>
                <c:pt idx="971">
                  <c:v>34621</c:v>
                </c:pt>
                <c:pt idx="972">
                  <c:v>34624</c:v>
                </c:pt>
                <c:pt idx="973">
                  <c:v>34625</c:v>
                </c:pt>
                <c:pt idx="974">
                  <c:v>34626</c:v>
                </c:pt>
                <c:pt idx="975">
                  <c:v>34627</c:v>
                </c:pt>
                <c:pt idx="976">
                  <c:v>34628</c:v>
                </c:pt>
                <c:pt idx="977">
                  <c:v>34631</c:v>
                </c:pt>
                <c:pt idx="978">
                  <c:v>34632</c:v>
                </c:pt>
                <c:pt idx="979">
                  <c:v>34633</c:v>
                </c:pt>
                <c:pt idx="980">
                  <c:v>34634</c:v>
                </c:pt>
                <c:pt idx="981">
                  <c:v>34635</c:v>
                </c:pt>
                <c:pt idx="982">
                  <c:v>34638</c:v>
                </c:pt>
                <c:pt idx="983">
                  <c:v>34639</c:v>
                </c:pt>
                <c:pt idx="984">
                  <c:v>34640</c:v>
                </c:pt>
                <c:pt idx="985">
                  <c:v>34641</c:v>
                </c:pt>
                <c:pt idx="986">
                  <c:v>34642</c:v>
                </c:pt>
                <c:pt idx="987">
                  <c:v>34645</c:v>
                </c:pt>
                <c:pt idx="988">
                  <c:v>34646</c:v>
                </c:pt>
                <c:pt idx="989">
                  <c:v>34647</c:v>
                </c:pt>
                <c:pt idx="990">
                  <c:v>34648</c:v>
                </c:pt>
                <c:pt idx="991">
                  <c:v>34649</c:v>
                </c:pt>
                <c:pt idx="992">
                  <c:v>34652</c:v>
                </c:pt>
                <c:pt idx="993">
                  <c:v>34653</c:v>
                </c:pt>
                <c:pt idx="994">
                  <c:v>34655</c:v>
                </c:pt>
                <c:pt idx="995">
                  <c:v>34656</c:v>
                </c:pt>
                <c:pt idx="996">
                  <c:v>34659</c:v>
                </c:pt>
                <c:pt idx="997">
                  <c:v>34660</c:v>
                </c:pt>
                <c:pt idx="998">
                  <c:v>34661</c:v>
                </c:pt>
                <c:pt idx="999">
                  <c:v>34662</c:v>
                </c:pt>
                <c:pt idx="1000">
                  <c:v>34663</c:v>
                </c:pt>
                <c:pt idx="1001">
                  <c:v>34666</c:v>
                </c:pt>
                <c:pt idx="1002">
                  <c:v>34667</c:v>
                </c:pt>
                <c:pt idx="1003">
                  <c:v>34668</c:v>
                </c:pt>
                <c:pt idx="1004">
                  <c:v>34669</c:v>
                </c:pt>
                <c:pt idx="1005">
                  <c:v>34670</c:v>
                </c:pt>
                <c:pt idx="1006">
                  <c:v>34673</c:v>
                </c:pt>
                <c:pt idx="1007">
                  <c:v>34674</c:v>
                </c:pt>
                <c:pt idx="1008">
                  <c:v>34675</c:v>
                </c:pt>
                <c:pt idx="1009">
                  <c:v>34676</c:v>
                </c:pt>
                <c:pt idx="1010">
                  <c:v>34677</c:v>
                </c:pt>
                <c:pt idx="1011">
                  <c:v>34680</c:v>
                </c:pt>
                <c:pt idx="1012">
                  <c:v>34681</c:v>
                </c:pt>
                <c:pt idx="1013">
                  <c:v>34682</c:v>
                </c:pt>
                <c:pt idx="1014">
                  <c:v>34683</c:v>
                </c:pt>
                <c:pt idx="1015">
                  <c:v>34684</c:v>
                </c:pt>
                <c:pt idx="1016">
                  <c:v>34687</c:v>
                </c:pt>
                <c:pt idx="1017">
                  <c:v>34688</c:v>
                </c:pt>
                <c:pt idx="1018">
                  <c:v>34689</c:v>
                </c:pt>
                <c:pt idx="1019">
                  <c:v>34690</c:v>
                </c:pt>
                <c:pt idx="1020">
                  <c:v>34691</c:v>
                </c:pt>
                <c:pt idx="1021">
                  <c:v>34695</c:v>
                </c:pt>
                <c:pt idx="1022">
                  <c:v>34696</c:v>
                </c:pt>
                <c:pt idx="1023">
                  <c:v>34697</c:v>
                </c:pt>
                <c:pt idx="1024">
                  <c:v>34698</c:v>
                </c:pt>
                <c:pt idx="1025">
                  <c:v>34701</c:v>
                </c:pt>
                <c:pt idx="1026">
                  <c:v>34702</c:v>
                </c:pt>
                <c:pt idx="1027">
                  <c:v>34703</c:v>
                </c:pt>
                <c:pt idx="1028">
                  <c:v>34704</c:v>
                </c:pt>
                <c:pt idx="1029">
                  <c:v>34705</c:v>
                </c:pt>
                <c:pt idx="1030">
                  <c:v>34708</c:v>
                </c:pt>
                <c:pt idx="1031">
                  <c:v>34709</c:v>
                </c:pt>
                <c:pt idx="1032">
                  <c:v>34710</c:v>
                </c:pt>
                <c:pt idx="1033">
                  <c:v>34711</c:v>
                </c:pt>
                <c:pt idx="1034">
                  <c:v>34712</c:v>
                </c:pt>
                <c:pt idx="1035">
                  <c:v>34715</c:v>
                </c:pt>
                <c:pt idx="1036">
                  <c:v>34716</c:v>
                </c:pt>
                <c:pt idx="1037">
                  <c:v>34717</c:v>
                </c:pt>
                <c:pt idx="1038">
                  <c:v>34718</c:v>
                </c:pt>
                <c:pt idx="1039">
                  <c:v>34719</c:v>
                </c:pt>
                <c:pt idx="1040">
                  <c:v>34722</c:v>
                </c:pt>
                <c:pt idx="1041">
                  <c:v>34723</c:v>
                </c:pt>
                <c:pt idx="1042">
                  <c:v>34724</c:v>
                </c:pt>
                <c:pt idx="1043">
                  <c:v>34725</c:v>
                </c:pt>
                <c:pt idx="1044">
                  <c:v>34726</c:v>
                </c:pt>
                <c:pt idx="1045">
                  <c:v>34729</c:v>
                </c:pt>
                <c:pt idx="1046">
                  <c:v>34730</c:v>
                </c:pt>
                <c:pt idx="1047">
                  <c:v>34731</c:v>
                </c:pt>
                <c:pt idx="1048">
                  <c:v>34732</c:v>
                </c:pt>
                <c:pt idx="1049">
                  <c:v>34733</c:v>
                </c:pt>
                <c:pt idx="1050">
                  <c:v>34736</c:v>
                </c:pt>
                <c:pt idx="1051">
                  <c:v>34737</c:v>
                </c:pt>
                <c:pt idx="1052">
                  <c:v>34738</c:v>
                </c:pt>
                <c:pt idx="1053">
                  <c:v>34739</c:v>
                </c:pt>
                <c:pt idx="1054">
                  <c:v>34740</c:v>
                </c:pt>
                <c:pt idx="1055">
                  <c:v>34743</c:v>
                </c:pt>
                <c:pt idx="1056">
                  <c:v>34744</c:v>
                </c:pt>
                <c:pt idx="1057">
                  <c:v>34745</c:v>
                </c:pt>
                <c:pt idx="1058">
                  <c:v>34746</c:v>
                </c:pt>
                <c:pt idx="1059">
                  <c:v>34747</c:v>
                </c:pt>
                <c:pt idx="1060">
                  <c:v>34750</c:v>
                </c:pt>
                <c:pt idx="1061">
                  <c:v>34751</c:v>
                </c:pt>
                <c:pt idx="1062">
                  <c:v>34752</c:v>
                </c:pt>
                <c:pt idx="1063">
                  <c:v>34753</c:v>
                </c:pt>
                <c:pt idx="1064">
                  <c:v>34754</c:v>
                </c:pt>
                <c:pt idx="1065">
                  <c:v>34757</c:v>
                </c:pt>
                <c:pt idx="1066">
                  <c:v>34758</c:v>
                </c:pt>
                <c:pt idx="1067">
                  <c:v>34759</c:v>
                </c:pt>
                <c:pt idx="1068">
                  <c:v>34760</c:v>
                </c:pt>
                <c:pt idx="1069">
                  <c:v>34761</c:v>
                </c:pt>
                <c:pt idx="1070">
                  <c:v>34764</c:v>
                </c:pt>
                <c:pt idx="1071">
                  <c:v>34765</c:v>
                </c:pt>
                <c:pt idx="1072">
                  <c:v>34766</c:v>
                </c:pt>
                <c:pt idx="1073">
                  <c:v>34767</c:v>
                </c:pt>
                <c:pt idx="1074">
                  <c:v>34768</c:v>
                </c:pt>
                <c:pt idx="1075">
                  <c:v>34771</c:v>
                </c:pt>
                <c:pt idx="1076">
                  <c:v>34772</c:v>
                </c:pt>
                <c:pt idx="1077">
                  <c:v>34773</c:v>
                </c:pt>
                <c:pt idx="1078">
                  <c:v>34774</c:v>
                </c:pt>
                <c:pt idx="1079">
                  <c:v>34775</c:v>
                </c:pt>
                <c:pt idx="1080">
                  <c:v>34778</c:v>
                </c:pt>
                <c:pt idx="1081">
                  <c:v>34779</c:v>
                </c:pt>
                <c:pt idx="1082">
                  <c:v>34780</c:v>
                </c:pt>
                <c:pt idx="1083">
                  <c:v>34781</c:v>
                </c:pt>
                <c:pt idx="1084">
                  <c:v>34782</c:v>
                </c:pt>
                <c:pt idx="1085">
                  <c:v>34785</c:v>
                </c:pt>
                <c:pt idx="1086">
                  <c:v>34786</c:v>
                </c:pt>
                <c:pt idx="1087">
                  <c:v>34787</c:v>
                </c:pt>
                <c:pt idx="1088">
                  <c:v>34788</c:v>
                </c:pt>
                <c:pt idx="1089">
                  <c:v>34789</c:v>
                </c:pt>
                <c:pt idx="1090">
                  <c:v>34792</c:v>
                </c:pt>
                <c:pt idx="1091">
                  <c:v>34793</c:v>
                </c:pt>
                <c:pt idx="1092">
                  <c:v>34794</c:v>
                </c:pt>
                <c:pt idx="1093">
                  <c:v>34795</c:v>
                </c:pt>
                <c:pt idx="1094">
                  <c:v>34796</c:v>
                </c:pt>
                <c:pt idx="1095">
                  <c:v>34799</c:v>
                </c:pt>
                <c:pt idx="1096">
                  <c:v>34800</c:v>
                </c:pt>
                <c:pt idx="1097">
                  <c:v>34801</c:v>
                </c:pt>
                <c:pt idx="1098">
                  <c:v>34802</c:v>
                </c:pt>
                <c:pt idx="1099">
                  <c:v>34807</c:v>
                </c:pt>
                <c:pt idx="1100">
                  <c:v>34808</c:v>
                </c:pt>
                <c:pt idx="1101">
                  <c:v>34809</c:v>
                </c:pt>
                <c:pt idx="1102">
                  <c:v>34810</c:v>
                </c:pt>
                <c:pt idx="1103">
                  <c:v>34813</c:v>
                </c:pt>
                <c:pt idx="1104">
                  <c:v>34814</c:v>
                </c:pt>
                <c:pt idx="1105">
                  <c:v>34815</c:v>
                </c:pt>
                <c:pt idx="1106">
                  <c:v>34816</c:v>
                </c:pt>
                <c:pt idx="1107">
                  <c:v>34817</c:v>
                </c:pt>
                <c:pt idx="1108">
                  <c:v>34821</c:v>
                </c:pt>
                <c:pt idx="1109">
                  <c:v>34822</c:v>
                </c:pt>
                <c:pt idx="1110">
                  <c:v>34823</c:v>
                </c:pt>
                <c:pt idx="1111">
                  <c:v>34824</c:v>
                </c:pt>
                <c:pt idx="1112">
                  <c:v>34827</c:v>
                </c:pt>
                <c:pt idx="1113">
                  <c:v>34828</c:v>
                </c:pt>
                <c:pt idx="1114">
                  <c:v>34829</c:v>
                </c:pt>
                <c:pt idx="1115">
                  <c:v>34830</c:v>
                </c:pt>
                <c:pt idx="1116">
                  <c:v>34831</c:v>
                </c:pt>
                <c:pt idx="1117">
                  <c:v>34834</c:v>
                </c:pt>
                <c:pt idx="1118">
                  <c:v>34835</c:v>
                </c:pt>
                <c:pt idx="1119">
                  <c:v>34836</c:v>
                </c:pt>
                <c:pt idx="1120">
                  <c:v>34837</c:v>
                </c:pt>
                <c:pt idx="1121">
                  <c:v>34838</c:v>
                </c:pt>
                <c:pt idx="1122">
                  <c:v>34841</c:v>
                </c:pt>
                <c:pt idx="1123">
                  <c:v>34842</c:v>
                </c:pt>
                <c:pt idx="1124">
                  <c:v>34843</c:v>
                </c:pt>
                <c:pt idx="1125">
                  <c:v>34845</c:v>
                </c:pt>
                <c:pt idx="1126">
                  <c:v>34848</c:v>
                </c:pt>
                <c:pt idx="1127">
                  <c:v>34849</c:v>
                </c:pt>
                <c:pt idx="1128">
                  <c:v>34850</c:v>
                </c:pt>
                <c:pt idx="1129">
                  <c:v>34851</c:v>
                </c:pt>
                <c:pt idx="1130">
                  <c:v>34852</c:v>
                </c:pt>
                <c:pt idx="1131">
                  <c:v>34856</c:v>
                </c:pt>
                <c:pt idx="1132">
                  <c:v>34857</c:v>
                </c:pt>
                <c:pt idx="1133">
                  <c:v>34858</c:v>
                </c:pt>
                <c:pt idx="1134">
                  <c:v>34859</c:v>
                </c:pt>
                <c:pt idx="1135">
                  <c:v>34862</c:v>
                </c:pt>
                <c:pt idx="1136">
                  <c:v>34863</c:v>
                </c:pt>
                <c:pt idx="1137">
                  <c:v>34864</c:v>
                </c:pt>
                <c:pt idx="1138">
                  <c:v>34866</c:v>
                </c:pt>
                <c:pt idx="1139">
                  <c:v>34869</c:v>
                </c:pt>
                <c:pt idx="1140">
                  <c:v>34870</c:v>
                </c:pt>
                <c:pt idx="1141">
                  <c:v>34871</c:v>
                </c:pt>
                <c:pt idx="1142">
                  <c:v>34872</c:v>
                </c:pt>
                <c:pt idx="1143">
                  <c:v>34873</c:v>
                </c:pt>
                <c:pt idx="1144">
                  <c:v>34876</c:v>
                </c:pt>
                <c:pt idx="1145">
                  <c:v>34877</c:v>
                </c:pt>
                <c:pt idx="1146">
                  <c:v>34878</c:v>
                </c:pt>
                <c:pt idx="1147">
                  <c:v>34879</c:v>
                </c:pt>
                <c:pt idx="1148">
                  <c:v>34880</c:v>
                </c:pt>
                <c:pt idx="1149">
                  <c:v>34883</c:v>
                </c:pt>
                <c:pt idx="1150">
                  <c:v>34884</c:v>
                </c:pt>
                <c:pt idx="1151">
                  <c:v>34885</c:v>
                </c:pt>
                <c:pt idx="1152">
                  <c:v>34886</c:v>
                </c:pt>
                <c:pt idx="1153">
                  <c:v>34887</c:v>
                </c:pt>
                <c:pt idx="1154">
                  <c:v>34890</c:v>
                </c:pt>
                <c:pt idx="1155">
                  <c:v>34891</c:v>
                </c:pt>
                <c:pt idx="1156">
                  <c:v>34892</c:v>
                </c:pt>
                <c:pt idx="1157">
                  <c:v>34893</c:v>
                </c:pt>
                <c:pt idx="1158">
                  <c:v>34894</c:v>
                </c:pt>
                <c:pt idx="1159">
                  <c:v>34897</c:v>
                </c:pt>
                <c:pt idx="1160">
                  <c:v>34898</c:v>
                </c:pt>
                <c:pt idx="1161">
                  <c:v>34899</c:v>
                </c:pt>
                <c:pt idx="1162">
                  <c:v>34900</c:v>
                </c:pt>
                <c:pt idx="1163">
                  <c:v>34901</c:v>
                </c:pt>
                <c:pt idx="1164">
                  <c:v>34904</c:v>
                </c:pt>
                <c:pt idx="1165">
                  <c:v>34905</c:v>
                </c:pt>
                <c:pt idx="1166">
                  <c:v>34906</c:v>
                </c:pt>
                <c:pt idx="1167">
                  <c:v>34907</c:v>
                </c:pt>
                <c:pt idx="1168">
                  <c:v>34908</c:v>
                </c:pt>
                <c:pt idx="1169">
                  <c:v>34911</c:v>
                </c:pt>
                <c:pt idx="1170">
                  <c:v>34912</c:v>
                </c:pt>
                <c:pt idx="1171">
                  <c:v>34913</c:v>
                </c:pt>
                <c:pt idx="1172">
                  <c:v>34914</c:v>
                </c:pt>
                <c:pt idx="1173">
                  <c:v>34915</c:v>
                </c:pt>
                <c:pt idx="1174">
                  <c:v>34918</c:v>
                </c:pt>
                <c:pt idx="1175">
                  <c:v>34919</c:v>
                </c:pt>
                <c:pt idx="1176">
                  <c:v>34920</c:v>
                </c:pt>
                <c:pt idx="1177">
                  <c:v>34921</c:v>
                </c:pt>
                <c:pt idx="1178">
                  <c:v>34922</c:v>
                </c:pt>
                <c:pt idx="1179">
                  <c:v>34925</c:v>
                </c:pt>
                <c:pt idx="1180">
                  <c:v>34926</c:v>
                </c:pt>
                <c:pt idx="1181">
                  <c:v>34927</c:v>
                </c:pt>
                <c:pt idx="1182">
                  <c:v>34928</c:v>
                </c:pt>
                <c:pt idx="1183">
                  <c:v>34929</c:v>
                </c:pt>
                <c:pt idx="1184">
                  <c:v>34932</c:v>
                </c:pt>
                <c:pt idx="1185">
                  <c:v>34933</c:v>
                </c:pt>
                <c:pt idx="1186">
                  <c:v>34934</c:v>
                </c:pt>
                <c:pt idx="1187">
                  <c:v>34935</c:v>
                </c:pt>
                <c:pt idx="1188">
                  <c:v>34936</c:v>
                </c:pt>
                <c:pt idx="1189">
                  <c:v>34939</c:v>
                </c:pt>
                <c:pt idx="1190">
                  <c:v>34940</c:v>
                </c:pt>
                <c:pt idx="1191">
                  <c:v>34941</c:v>
                </c:pt>
                <c:pt idx="1192">
                  <c:v>34942</c:v>
                </c:pt>
                <c:pt idx="1193">
                  <c:v>34943</c:v>
                </c:pt>
                <c:pt idx="1194">
                  <c:v>34946</c:v>
                </c:pt>
                <c:pt idx="1195">
                  <c:v>34947</c:v>
                </c:pt>
                <c:pt idx="1196">
                  <c:v>34948</c:v>
                </c:pt>
                <c:pt idx="1197">
                  <c:v>34949</c:v>
                </c:pt>
                <c:pt idx="1198">
                  <c:v>34950</c:v>
                </c:pt>
                <c:pt idx="1199">
                  <c:v>34953</c:v>
                </c:pt>
                <c:pt idx="1200">
                  <c:v>34954</c:v>
                </c:pt>
                <c:pt idx="1201">
                  <c:v>34955</c:v>
                </c:pt>
                <c:pt idx="1202">
                  <c:v>34956</c:v>
                </c:pt>
                <c:pt idx="1203">
                  <c:v>34957</c:v>
                </c:pt>
                <c:pt idx="1204">
                  <c:v>34960</c:v>
                </c:pt>
                <c:pt idx="1205">
                  <c:v>34961</c:v>
                </c:pt>
                <c:pt idx="1206">
                  <c:v>34962</c:v>
                </c:pt>
                <c:pt idx="1207">
                  <c:v>34963</c:v>
                </c:pt>
                <c:pt idx="1208">
                  <c:v>34964</c:v>
                </c:pt>
                <c:pt idx="1209">
                  <c:v>34967</c:v>
                </c:pt>
                <c:pt idx="1210">
                  <c:v>34968</c:v>
                </c:pt>
                <c:pt idx="1211">
                  <c:v>34969</c:v>
                </c:pt>
                <c:pt idx="1212">
                  <c:v>34970</c:v>
                </c:pt>
                <c:pt idx="1213">
                  <c:v>34971</c:v>
                </c:pt>
                <c:pt idx="1214">
                  <c:v>34974</c:v>
                </c:pt>
                <c:pt idx="1215">
                  <c:v>34976</c:v>
                </c:pt>
                <c:pt idx="1216">
                  <c:v>34977</c:v>
                </c:pt>
                <c:pt idx="1217">
                  <c:v>34978</c:v>
                </c:pt>
                <c:pt idx="1218">
                  <c:v>34981</c:v>
                </c:pt>
                <c:pt idx="1219">
                  <c:v>34982</c:v>
                </c:pt>
                <c:pt idx="1220">
                  <c:v>34983</c:v>
                </c:pt>
                <c:pt idx="1221">
                  <c:v>34984</c:v>
                </c:pt>
                <c:pt idx="1222">
                  <c:v>34985</c:v>
                </c:pt>
                <c:pt idx="1223">
                  <c:v>34988</c:v>
                </c:pt>
                <c:pt idx="1224">
                  <c:v>34989</c:v>
                </c:pt>
                <c:pt idx="1225">
                  <c:v>34990</c:v>
                </c:pt>
                <c:pt idx="1226">
                  <c:v>34991</c:v>
                </c:pt>
                <c:pt idx="1227">
                  <c:v>34992</c:v>
                </c:pt>
                <c:pt idx="1228">
                  <c:v>34995</c:v>
                </c:pt>
                <c:pt idx="1229">
                  <c:v>34996</c:v>
                </c:pt>
                <c:pt idx="1230">
                  <c:v>34997</c:v>
                </c:pt>
                <c:pt idx="1231">
                  <c:v>34998</c:v>
                </c:pt>
                <c:pt idx="1232">
                  <c:v>34999</c:v>
                </c:pt>
                <c:pt idx="1233">
                  <c:v>35002</c:v>
                </c:pt>
                <c:pt idx="1234">
                  <c:v>35003</c:v>
                </c:pt>
                <c:pt idx="1235">
                  <c:v>35004</c:v>
                </c:pt>
                <c:pt idx="1236">
                  <c:v>35005</c:v>
                </c:pt>
                <c:pt idx="1237">
                  <c:v>35006</c:v>
                </c:pt>
                <c:pt idx="1238">
                  <c:v>35009</c:v>
                </c:pt>
                <c:pt idx="1239">
                  <c:v>35010</c:v>
                </c:pt>
                <c:pt idx="1240">
                  <c:v>35011</c:v>
                </c:pt>
                <c:pt idx="1241">
                  <c:v>35012</c:v>
                </c:pt>
                <c:pt idx="1242">
                  <c:v>35013</c:v>
                </c:pt>
                <c:pt idx="1243">
                  <c:v>35016</c:v>
                </c:pt>
                <c:pt idx="1244">
                  <c:v>35017</c:v>
                </c:pt>
                <c:pt idx="1245">
                  <c:v>35018</c:v>
                </c:pt>
                <c:pt idx="1246">
                  <c:v>35019</c:v>
                </c:pt>
                <c:pt idx="1247">
                  <c:v>35020</c:v>
                </c:pt>
                <c:pt idx="1248">
                  <c:v>35023</c:v>
                </c:pt>
                <c:pt idx="1249">
                  <c:v>35024</c:v>
                </c:pt>
                <c:pt idx="1250">
                  <c:v>35025</c:v>
                </c:pt>
                <c:pt idx="1251">
                  <c:v>35026</c:v>
                </c:pt>
                <c:pt idx="1252">
                  <c:v>35027</c:v>
                </c:pt>
                <c:pt idx="1253">
                  <c:v>35030</c:v>
                </c:pt>
                <c:pt idx="1254">
                  <c:v>35031</c:v>
                </c:pt>
                <c:pt idx="1255">
                  <c:v>35032</c:v>
                </c:pt>
                <c:pt idx="1256">
                  <c:v>35033</c:v>
                </c:pt>
                <c:pt idx="1257">
                  <c:v>35034</c:v>
                </c:pt>
                <c:pt idx="1258">
                  <c:v>35037</c:v>
                </c:pt>
                <c:pt idx="1259">
                  <c:v>35038</c:v>
                </c:pt>
                <c:pt idx="1260">
                  <c:v>35039</c:v>
                </c:pt>
                <c:pt idx="1261">
                  <c:v>35040</c:v>
                </c:pt>
                <c:pt idx="1262">
                  <c:v>35041</c:v>
                </c:pt>
                <c:pt idx="1263">
                  <c:v>35044</c:v>
                </c:pt>
                <c:pt idx="1264">
                  <c:v>35045</c:v>
                </c:pt>
                <c:pt idx="1265">
                  <c:v>35046</c:v>
                </c:pt>
                <c:pt idx="1266">
                  <c:v>35047</c:v>
                </c:pt>
                <c:pt idx="1267">
                  <c:v>35048</c:v>
                </c:pt>
                <c:pt idx="1268">
                  <c:v>35051</c:v>
                </c:pt>
                <c:pt idx="1269">
                  <c:v>35052</c:v>
                </c:pt>
                <c:pt idx="1270">
                  <c:v>35053</c:v>
                </c:pt>
                <c:pt idx="1271">
                  <c:v>35054</c:v>
                </c:pt>
                <c:pt idx="1272">
                  <c:v>35055</c:v>
                </c:pt>
                <c:pt idx="1273">
                  <c:v>35060</c:v>
                </c:pt>
                <c:pt idx="1274">
                  <c:v>35061</c:v>
                </c:pt>
                <c:pt idx="1275">
                  <c:v>35062</c:v>
                </c:pt>
                <c:pt idx="1276">
                  <c:v>35066</c:v>
                </c:pt>
                <c:pt idx="1277">
                  <c:v>35067</c:v>
                </c:pt>
                <c:pt idx="1278">
                  <c:v>35068</c:v>
                </c:pt>
                <c:pt idx="1279">
                  <c:v>35069</c:v>
                </c:pt>
                <c:pt idx="1280">
                  <c:v>35072</c:v>
                </c:pt>
                <c:pt idx="1281">
                  <c:v>35073</c:v>
                </c:pt>
                <c:pt idx="1282">
                  <c:v>35074</c:v>
                </c:pt>
                <c:pt idx="1283">
                  <c:v>35075</c:v>
                </c:pt>
                <c:pt idx="1284">
                  <c:v>35076</c:v>
                </c:pt>
                <c:pt idx="1285">
                  <c:v>35079</c:v>
                </c:pt>
                <c:pt idx="1286">
                  <c:v>35080</c:v>
                </c:pt>
                <c:pt idx="1287">
                  <c:v>35081</c:v>
                </c:pt>
                <c:pt idx="1288">
                  <c:v>35082</c:v>
                </c:pt>
                <c:pt idx="1289">
                  <c:v>35083</c:v>
                </c:pt>
                <c:pt idx="1290">
                  <c:v>35086</c:v>
                </c:pt>
                <c:pt idx="1291">
                  <c:v>35087</c:v>
                </c:pt>
                <c:pt idx="1292">
                  <c:v>35088</c:v>
                </c:pt>
                <c:pt idx="1293">
                  <c:v>35089</c:v>
                </c:pt>
                <c:pt idx="1294">
                  <c:v>35090</c:v>
                </c:pt>
                <c:pt idx="1295">
                  <c:v>35093</c:v>
                </c:pt>
                <c:pt idx="1296">
                  <c:v>35094</c:v>
                </c:pt>
                <c:pt idx="1297">
                  <c:v>35095</c:v>
                </c:pt>
                <c:pt idx="1298">
                  <c:v>35096</c:v>
                </c:pt>
                <c:pt idx="1299">
                  <c:v>35097</c:v>
                </c:pt>
                <c:pt idx="1300">
                  <c:v>35100</c:v>
                </c:pt>
                <c:pt idx="1301">
                  <c:v>35101</c:v>
                </c:pt>
                <c:pt idx="1302">
                  <c:v>35102</c:v>
                </c:pt>
                <c:pt idx="1303">
                  <c:v>35103</c:v>
                </c:pt>
                <c:pt idx="1304">
                  <c:v>35104</c:v>
                </c:pt>
                <c:pt idx="1305">
                  <c:v>35107</c:v>
                </c:pt>
                <c:pt idx="1306">
                  <c:v>35108</c:v>
                </c:pt>
                <c:pt idx="1307">
                  <c:v>35109</c:v>
                </c:pt>
                <c:pt idx="1308">
                  <c:v>35110</c:v>
                </c:pt>
                <c:pt idx="1309">
                  <c:v>35111</c:v>
                </c:pt>
                <c:pt idx="1310">
                  <c:v>35114</c:v>
                </c:pt>
                <c:pt idx="1311">
                  <c:v>35115</c:v>
                </c:pt>
                <c:pt idx="1312">
                  <c:v>35116</c:v>
                </c:pt>
                <c:pt idx="1313">
                  <c:v>35117</c:v>
                </c:pt>
                <c:pt idx="1314">
                  <c:v>35118</c:v>
                </c:pt>
                <c:pt idx="1315">
                  <c:v>35121</c:v>
                </c:pt>
                <c:pt idx="1316">
                  <c:v>35122</c:v>
                </c:pt>
                <c:pt idx="1317">
                  <c:v>35123</c:v>
                </c:pt>
                <c:pt idx="1318">
                  <c:v>35124</c:v>
                </c:pt>
                <c:pt idx="1319">
                  <c:v>35125</c:v>
                </c:pt>
                <c:pt idx="1320">
                  <c:v>35128</c:v>
                </c:pt>
                <c:pt idx="1321">
                  <c:v>35129</c:v>
                </c:pt>
                <c:pt idx="1322">
                  <c:v>35130</c:v>
                </c:pt>
                <c:pt idx="1323">
                  <c:v>35131</c:v>
                </c:pt>
                <c:pt idx="1324">
                  <c:v>35132</c:v>
                </c:pt>
                <c:pt idx="1325">
                  <c:v>35135</c:v>
                </c:pt>
                <c:pt idx="1326">
                  <c:v>35136</c:v>
                </c:pt>
                <c:pt idx="1327">
                  <c:v>35137</c:v>
                </c:pt>
                <c:pt idx="1328">
                  <c:v>35138</c:v>
                </c:pt>
                <c:pt idx="1329">
                  <c:v>35139</c:v>
                </c:pt>
                <c:pt idx="1330">
                  <c:v>35142</c:v>
                </c:pt>
                <c:pt idx="1331">
                  <c:v>35143</c:v>
                </c:pt>
                <c:pt idx="1332">
                  <c:v>35144</c:v>
                </c:pt>
                <c:pt idx="1333">
                  <c:v>35145</c:v>
                </c:pt>
                <c:pt idx="1334">
                  <c:v>35146</c:v>
                </c:pt>
                <c:pt idx="1335">
                  <c:v>35149</c:v>
                </c:pt>
                <c:pt idx="1336">
                  <c:v>35150</c:v>
                </c:pt>
                <c:pt idx="1337">
                  <c:v>35151</c:v>
                </c:pt>
                <c:pt idx="1338">
                  <c:v>35152</c:v>
                </c:pt>
                <c:pt idx="1339">
                  <c:v>35153</c:v>
                </c:pt>
                <c:pt idx="1340">
                  <c:v>35156</c:v>
                </c:pt>
                <c:pt idx="1341">
                  <c:v>35157</c:v>
                </c:pt>
                <c:pt idx="1342">
                  <c:v>35158</c:v>
                </c:pt>
                <c:pt idx="1343">
                  <c:v>35159</c:v>
                </c:pt>
                <c:pt idx="1344">
                  <c:v>35164</c:v>
                </c:pt>
                <c:pt idx="1345">
                  <c:v>35165</c:v>
                </c:pt>
                <c:pt idx="1346">
                  <c:v>35166</c:v>
                </c:pt>
                <c:pt idx="1347">
                  <c:v>35167</c:v>
                </c:pt>
                <c:pt idx="1348">
                  <c:v>35170</c:v>
                </c:pt>
                <c:pt idx="1349">
                  <c:v>35171</c:v>
                </c:pt>
                <c:pt idx="1350">
                  <c:v>35172</c:v>
                </c:pt>
                <c:pt idx="1351">
                  <c:v>35173</c:v>
                </c:pt>
                <c:pt idx="1352">
                  <c:v>35174</c:v>
                </c:pt>
                <c:pt idx="1353">
                  <c:v>35177</c:v>
                </c:pt>
                <c:pt idx="1354">
                  <c:v>35178</c:v>
                </c:pt>
                <c:pt idx="1355">
                  <c:v>35179</c:v>
                </c:pt>
                <c:pt idx="1356">
                  <c:v>35180</c:v>
                </c:pt>
                <c:pt idx="1357">
                  <c:v>35181</c:v>
                </c:pt>
                <c:pt idx="1358">
                  <c:v>35184</c:v>
                </c:pt>
                <c:pt idx="1359">
                  <c:v>35185</c:v>
                </c:pt>
                <c:pt idx="1360">
                  <c:v>35187</c:v>
                </c:pt>
                <c:pt idx="1361">
                  <c:v>35188</c:v>
                </c:pt>
                <c:pt idx="1362">
                  <c:v>35191</c:v>
                </c:pt>
                <c:pt idx="1363">
                  <c:v>35192</c:v>
                </c:pt>
                <c:pt idx="1364">
                  <c:v>35193</c:v>
                </c:pt>
                <c:pt idx="1365">
                  <c:v>35194</c:v>
                </c:pt>
                <c:pt idx="1366">
                  <c:v>35195</c:v>
                </c:pt>
                <c:pt idx="1367">
                  <c:v>35198</c:v>
                </c:pt>
                <c:pt idx="1368">
                  <c:v>35199</c:v>
                </c:pt>
                <c:pt idx="1369">
                  <c:v>35200</c:v>
                </c:pt>
                <c:pt idx="1370">
                  <c:v>35202</c:v>
                </c:pt>
                <c:pt idx="1371">
                  <c:v>35205</c:v>
                </c:pt>
                <c:pt idx="1372">
                  <c:v>35206</c:v>
                </c:pt>
                <c:pt idx="1373">
                  <c:v>35207</c:v>
                </c:pt>
                <c:pt idx="1374">
                  <c:v>35208</c:v>
                </c:pt>
                <c:pt idx="1375">
                  <c:v>35209</c:v>
                </c:pt>
                <c:pt idx="1376">
                  <c:v>35213</c:v>
                </c:pt>
                <c:pt idx="1377">
                  <c:v>35214</c:v>
                </c:pt>
                <c:pt idx="1378">
                  <c:v>35215</c:v>
                </c:pt>
                <c:pt idx="1379">
                  <c:v>35216</c:v>
                </c:pt>
                <c:pt idx="1380">
                  <c:v>35219</c:v>
                </c:pt>
                <c:pt idx="1381">
                  <c:v>35220</c:v>
                </c:pt>
                <c:pt idx="1382">
                  <c:v>35221</c:v>
                </c:pt>
                <c:pt idx="1383">
                  <c:v>35223</c:v>
                </c:pt>
                <c:pt idx="1384">
                  <c:v>35226</c:v>
                </c:pt>
                <c:pt idx="1385">
                  <c:v>35227</c:v>
                </c:pt>
                <c:pt idx="1386">
                  <c:v>35228</c:v>
                </c:pt>
                <c:pt idx="1387">
                  <c:v>35229</c:v>
                </c:pt>
                <c:pt idx="1388">
                  <c:v>35230</c:v>
                </c:pt>
                <c:pt idx="1389">
                  <c:v>35233</c:v>
                </c:pt>
                <c:pt idx="1390">
                  <c:v>35234</c:v>
                </c:pt>
                <c:pt idx="1391">
                  <c:v>35235</c:v>
                </c:pt>
                <c:pt idx="1392">
                  <c:v>35236</c:v>
                </c:pt>
                <c:pt idx="1393">
                  <c:v>35237</c:v>
                </c:pt>
                <c:pt idx="1394">
                  <c:v>35240</c:v>
                </c:pt>
                <c:pt idx="1395">
                  <c:v>35241</c:v>
                </c:pt>
                <c:pt idx="1396">
                  <c:v>35242</c:v>
                </c:pt>
                <c:pt idx="1397">
                  <c:v>35243</c:v>
                </c:pt>
                <c:pt idx="1398">
                  <c:v>35244</c:v>
                </c:pt>
                <c:pt idx="1399">
                  <c:v>35247</c:v>
                </c:pt>
                <c:pt idx="1400">
                  <c:v>35248</c:v>
                </c:pt>
                <c:pt idx="1401">
                  <c:v>35249</c:v>
                </c:pt>
                <c:pt idx="1402">
                  <c:v>35250</c:v>
                </c:pt>
                <c:pt idx="1403">
                  <c:v>35251</c:v>
                </c:pt>
                <c:pt idx="1404">
                  <c:v>35254</c:v>
                </c:pt>
                <c:pt idx="1405">
                  <c:v>35255</c:v>
                </c:pt>
                <c:pt idx="1406">
                  <c:v>35256</c:v>
                </c:pt>
                <c:pt idx="1407">
                  <c:v>35257</c:v>
                </c:pt>
                <c:pt idx="1408">
                  <c:v>35258</c:v>
                </c:pt>
                <c:pt idx="1409">
                  <c:v>35261</c:v>
                </c:pt>
                <c:pt idx="1410">
                  <c:v>35262</c:v>
                </c:pt>
                <c:pt idx="1411">
                  <c:v>35263</c:v>
                </c:pt>
                <c:pt idx="1412">
                  <c:v>35264</c:v>
                </c:pt>
                <c:pt idx="1413">
                  <c:v>35265</c:v>
                </c:pt>
                <c:pt idx="1414">
                  <c:v>35268</c:v>
                </c:pt>
                <c:pt idx="1415">
                  <c:v>35269</c:v>
                </c:pt>
                <c:pt idx="1416">
                  <c:v>35270</c:v>
                </c:pt>
                <c:pt idx="1417">
                  <c:v>35271</c:v>
                </c:pt>
                <c:pt idx="1418">
                  <c:v>35272</c:v>
                </c:pt>
                <c:pt idx="1419">
                  <c:v>35275</c:v>
                </c:pt>
                <c:pt idx="1420">
                  <c:v>35276</c:v>
                </c:pt>
                <c:pt idx="1421">
                  <c:v>35277</c:v>
                </c:pt>
                <c:pt idx="1422">
                  <c:v>35278</c:v>
                </c:pt>
                <c:pt idx="1423">
                  <c:v>35279</c:v>
                </c:pt>
                <c:pt idx="1424">
                  <c:v>35282</c:v>
                </c:pt>
                <c:pt idx="1425">
                  <c:v>35283</c:v>
                </c:pt>
                <c:pt idx="1426">
                  <c:v>35284</c:v>
                </c:pt>
                <c:pt idx="1427">
                  <c:v>35285</c:v>
                </c:pt>
                <c:pt idx="1428">
                  <c:v>35286</c:v>
                </c:pt>
                <c:pt idx="1429">
                  <c:v>35289</c:v>
                </c:pt>
                <c:pt idx="1430">
                  <c:v>35290</c:v>
                </c:pt>
                <c:pt idx="1431">
                  <c:v>35291</c:v>
                </c:pt>
                <c:pt idx="1432">
                  <c:v>35292</c:v>
                </c:pt>
                <c:pt idx="1433">
                  <c:v>35293</c:v>
                </c:pt>
                <c:pt idx="1434">
                  <c:v>35296</c:v>
                </c:pt>
                <c:pt idx="1435">
                  <c:v>35297</c:v>
                </c:pt>
                <c:pt idx="1436">
                  <c:v>35298</c:v>
                </c:pt>
                <c:pt idx="1437">
                  <c:v>35299</c:v>
                </c:pt>
                <c:pt idx="1438">
                  <c:v>35300</c:v>
                </c:pt>
                <c:pt idx="1439">
                  <c:v>35303</c:v>
                </c:pt>
                <c:pt idx="1440">
                  <c:v>35304</c:v>
                </c:pt>
                <c:pt idx="1441">
                  <c:v>35305</c:v>
                </c:pt>
                <c:pt idx="1442">
                  <c:v>35306</c:v>
                </c:pt>
                <c:pt idx="1443">
                  <c:v>35307</c:v>
                </c:pt>
                <c:pt idx="1444">
                  <c:v>35310</c:v>
                </c:pt>
                <c:pt idx="1445">
                  <c:v>35311</c:v>
                </c:pt>
                <c:pt idx="1446">
                  <c:v>35312</c:v>
                </c:pt>
                <c:pt idx="1447">
                  <c:v>35313</c:v>
                </c:pt>
                <c:pt idx="1448">
                  <c:v>35314</c:v>
                </c:pt>
                <c:pt idx="1449">
                  <c:v>35317</c:v>
                </c:pt>
                <c:pt idx="1450">
                  <c:v>35318</c:v>
                </c:pt>
                <c:pt idx="1451">
                  <c:v>35319</c:v>
                </c:pt>
                <c:pt idx="1452">
                  <c:v>35320</c:v>
                </c:pt>
                <c:pt idx="1453">
                  <c:v>35321</c:v>
                </c:pt>
                <c:pt idx="1454">
                  <c:v>35324</c:v>
                </c:pt>
                <c:pt idx="1455">
                  <c:v>35325</c:v>
                </c:pt>
                <c:pt idx="1456">
                  <c:v>35326</c:v>
                </c:pt>
                <c:pt idx="1457">
                  <c:v>35327</c:v>
                </c:pt>
                <c:pt idx="1458">
                  <c:v>35328</c:v>
                </c:pt>
                <c:pt idx="1459">
                  <c:v>35331</c:v>
                </c:pt>
                <c:pt idx="1460">
                  <c:v>35332</c:v>
                </c:pt>
                <c:pt idx="1461">
                  <c:v>35333</c:v>
                </c:pt>
                <c:pt idx="1462">
                  <c:v>35334</c:v>
                </c:pt>
                <c:pt idx="1463">
                  <c:v>35335</c:v>
                </c:pt>
                <c:pt idx="1464">
                  <c:v>35338</c:v>
                </c:pt>
                <c:pt idx="1465">
                  <c:v>35339</c:v>
                </c:pt>
                <c:pt idx="1466">
                  <c:v>35340</c:v>
                </c:pt>
                <c:pt idx="1467">
                  <c:v>35342</c:v>
                </c:pt>
                <c:pt idx="1468">
                  <c:v>35345</c:v>
                </c:pt>
                <c:pt idx="1469">
                  <c:v>35346</c:v>
                </c:pt>
                <c:pt idx="1470">
                  <c:v>35347</c:v>
                </c:pt>
                <c:pt idx="1471">
                  <c:v>35348</c:v>
                </c:pt>
                <c:pt idx="1472">
                  <c:v>35349</c:v>
                </c:pt>
                <c:pt idx="1473">
                  <c:v>35352</c:v>
                </c:pt>
                <c:pt idx="1474">
                  <c:v>35353</c:v>
                </c:pt>
                <c:pt idx="1475">
                  <c:v>35354</c:v>
                </c:pt>
                <c:pt idx="1476">
                  <c:v>35355</c:v>
                </c:pt>
                <c:pt idx="1477">
                  <c:v>35356</c:v>
                </c:pt>
                <c:pt idx="1478">
                  <c:v>35359</c:v>
                </c:pt>
                <c:pt idx="1479">
                  <c:v>35360</c:v>
                </c:pt>
                <c:pt idx="1480">
                  <c:v>35361</c:v>
                </c:pt>
                <c:pt idx="1481">
                  <c:v>35362</c:v>
                </c:pt>
                <c:pt idx="1482">
                  <c:v>35363</c:v>
                </c:pt>
                <c:pt idx="1483">
                  <c:v>35366</c:v>
                </c:pt>
                <c:pt idx="1484">
                  <c:v>35367</c:v>
                </c:pt>
                <c:pt idx="1485">
                  <c:v>35368</c:v>
                </c:pt>
                <c:pt idx="1486">
                  <c:v>35369</c:v>
                </c:pt>
                <c:pt idx="1487">
                  <c:v>35370</c:v>
                </c:pt>
                <c:pt idx="1488">
                  <c:v>35373</c:v>
                </c:pt>
                <c:pt idx="1489">
                  <c:v>35374</c:v>
                </c:pt>
                <c:pt idx="1490">
                  <c:v>35375</c:v>
                </c:pt>
                <c:pt idx="1491">
                  <c:v>35376</c:v>
                </c:pt>
                <c:pt idx="1492">
                  <c:v>35377</c:v>
                </c:pt>
                <c:pt idx="1493">
                  <c:v>35380</c:v>
                </c:pt>
                <c:pt idx="1494">
                  <c:v>35381</c:v>
                </c:pt>
                <c:pt idx="1495">
                  <c:v>35382</c:v>
                </c:pt>
                <c:pt idx="1496">
                  <c:v>35383</c:v>
                </c:pt>
                <c:pt idx="1497">
                  <c:v>35384</c:v>
                </c:pt>
                <c:pt idx="1498">
                  <c:v>35387</c:v>
                </c:pt>
                <c:pt idx="1499">
                  <c:v>35388</c:v>
                </c:pt>
                <c:pt idx="1500">
                  <c:v>35389</c:v>
                </c:pt>
                <c:pt idx="1501">
                  <c:v>35390</c:v>
                </c:pt>
                <c:pt idx="1502">
                  <c:v>35391</c:v>
                </c:pt>
                <c:pt idx="1503">
                  <c:v>35394</c:v>
                </c:pt>
                <c:pt idx="1504">
                  <c:v>35395</c:v>
                </c:pt>
                <c:pt idx="1505">
                  <c:v>35396</c:v>
                </c:pt>
                <c:pt idx="1506">
                  <c:v>35397</c:v>
                </c:pt>
                <c:pt idx="1507">
                  <c:v>35398</c:v>
                </c:pt>
                <c:pt idx="1508">
                  <c:v>35401</c:v>
                </c:pt>
                <c:pt idx="1509">
                  <c:v>35402</c:v>
                </c:pt>
                <c:pt idx="1510">
                  <c:v>35403</c:v>
                </c:pt>
                <c:pt idx="1511">
                  <c:v>35404</c:v>
                </c:pt>
                <c:pt idx="1512">
                  <c:v>35405</c:v>
                </c:pt>
                <c:pt idx="1513">
                  <c:v>35408</c:v>
                </c:pt>
                <c:pt idx="1514">
                  <c:v>35409</c:v>
                </c:pt>
                <c:pt idx="1515">
                  <c:v>35410</c:v>
                </c:pt>
                <c:pt idx="1516">
                  <c:v>35411</c:v>
                </c:pt>
                <c:pt idx="1517">
                  <c:v>35412</c:v>
                </c:pt>
                <c:pt idx="1518">
                  <c:v>35415</c:v>
                </c:pt>
                <c:pt idx="1519">
                  <c:v>35416</c:v>
                </c:pt>
                <c:pt idx="1520">
                  <c:v>35417</c:v>
                </c:pt>
                <c:pt idx="1521">
                  <c:v>35418</c:v>
                </c:pt>
                <c:pt idx="1522">
                  <c:v>35419</c:v>
                </c:pt>
                <c:pt idx="1523">
                  <c:v>35422</c:v>
                </c:pt>
                <c:pt idx="1524">
                  <c:v>35426</c:v>
                </c:pt>
                <c:pt idx="1525">
                  <c:v>35429</c:v>
                </c:pt>
                <c:pt idx="1526">
                  <c:v>35432</c:v>
                </c:pt>
                <c:pt idx="1527">
                  <c:v>35433</c:v>
                </c:pt>
                <c:pt idx="1528">
                  <c:v>35436</c:v>
                </c:pt>
                <c:pt idx="1529">
                  <c:v>35437</c:v>
                </c:pt>
                <c:pt idx="1530">
                  <c:v>35438</c:v>
                </c:pt>
                <c:pt idx="1531">
                  <c:v>35439</c:v>
                </c:pt>
                <c:pt idx="1532">
                  <c:v>35440</c:v>
                </c:pt>
                <c:pt idx="1533">
                  <c:v>35443</c:v>
                </c:pt>
                <c:pt idx="1534">
                  <c:v>35444</c:v>
                </c:pt>
                <c:pt idx="1535">
                  <c:v>35445</c:v>
                </c:pt>
                <c:pt idx="1536">
                  <c:v>35446</c:v>
                </c:pt>
                <c:pt idx="1537">
                  <c:v>35447</c:v>
                </c:pt>
                <c:pt idx="1538">
                  <c:v>35450</c:v>
                </c:pt>
                <c:pt idx="1539">
                  <c:v>35451</c:v>
                </c:pt>
                <c:pt idx="1540">
                  <c:v>35452</c:v>
                </c:pt>
                <c:pt idx="1541">
                  <c:v>35453</c:v>
                </c:pt>
                <c:pt idx="1542">
                  <c:v>35454</c:v>
                </c:pt>
                <c:pt idx="1543">
                  <c:v>35457</c:v>
                </c:pt>
                <c:pt idx="1544">
                  <c:v>35458</c:v>
                </c:pt>
                <c:pt idx="1545">
                  <c:v>35459</c:v>
                </c:pt>
                <c:pt idx="1546">
                  <c:v>35460</c:v>
                </c:pt>
                <c:pt idx="1547">
                  <c:v>35461</c:v>
                </c:pt>
                <c:pt idx="1548">
                  <c:v>35464</c:v>
                </c:pt>
                <c:pt idx="1549">
                  <c:v>35465</c:v>
                </c:pt>
                <c:pt idx="1550">
                  <c:v>35466</c:v>
                </c:pt>
                <c:pt idx="1551">
                  <c:v>35467</c:v>
                </c:pt>
                <c:pt idx="1552">
                  <c:v>35468</c:v>
                </c:pt>
                <c:pt idx="1553">
                  <c:v>35471</c:v>
                </c:pt>
                <c:pt idx="1554">
                  <c:v>35472</c:v>
                </c:pt>
                <c:pt idx="1555">
                  <c:v>35473</c:v>
                </c:pt>
                <c:pt idx="1556">
                  <c:v>35474</c:v>
                </c:pt>
                <c:pt idx="1557">
                  <c:v>35475</c:v>
                </c:pt>
                <c:pt idx="1558">
                  <c:v>35478</c:v>
                </c:pt>
                <c:pt idx="1559">
                  <c:v>35479</c:v>
                </c:pt>
                <c:pt idx="1560">
                  <c:v>35480</c:v>
                </c:pt>
                <c:pt idx="1561">
                  <c:v>35481</c:v>
                </c:pt>
                <c:pt idx="1562">
                  <c:v>35482</c:v>
                </c:pt>
                <c:pt idx="1563">
                  <c:v>35485</c:v>
                </c:pt>
                <c:pt idx="1564">
                  <c:v>35486</c:v>
                </c:pt>
                <c:pt idx="1565">
                  <c:v>35487</c:v>
                </c:pt>
                <c:pt idx="1566">
                  <c:v>35488</c:v>
                </c:pt>
                <c:pt idx="1567">
                  <c:v>35489</c:v>
                </c:pt>
                <c:pt idx="1568">
                  <c:v>35492</c:v>
                </c:pt>
                <c:pt idx="1569">
                  <c:v>35493</c:v>
                </c:pt>
                <c:pt idx="1570">
                  <c:v>35494</c:v>
                </c:pt>
                <c:pt idx="1571">
                  <c:v>35495</c:v>
                </c:pt>
                <c:pt idx="1572">
                  <c:v>35496</c:v>
                </c:pt>
                <c:pt idx="1573">
                  <c:v>35499</c:v>
                </c:pt>
                <c:pt idx="1574">
                  <c:v>35500</c:v>
                </c:pt>
                <c:pt idx="1575">
                  <c:v>35501</c:v>
                </c:pt>
                <c:pt idx="1576">
                  <c:v>35502</c:v>
                </c:pt>
                <c:pt idx="1577">
                  <c:v>35503</c:v>
                </c:pt>
                <c:pt idx="1578">
                  <c:v>35506</c:v>
                </c:pt>
                <c:pt idx="1579">
                  <c:v>35507</c:v>
                </c:pt>
                <c:pt idx="1580">
                  <c:v>35508</c:v>
                </c:pt>
                <c:pt idx="1581">
                  <c:v>35509</c:v>
                </c:pt>
                <c:pt idx="1582">
                  <c:v>35510</c:v>
                </c:pt>
                <c:pt idx="1583">
                  <c:v>35513</c:v>
                </c:pt>
                <c:pt idx="1584">
                  <c:v>35514</c:v>
                </c:pt>
                <c:pt idx="1585">
                  <c:v>35515</c:v>
                </c:pt>
                <c:pt idx="1586">
                  <c:v>35516</c:v>
                </c:pt>
                <c:pt idx="1587">
                  <c:v>35521</c:v>
                </c:pt>
                <c:pt idx="1588">
                  <c:v>35522</c:v>
                </c:pt>
                <c:pt idx="1589">
                  <c:v>35523</c:v>
                </c:pt>
                <c:pt idx="1590">
                  <c:v>35524</c:v>
                </c:pt>
                <c:pt idx="1591">
                  <c:v>35527</c:v>
                </c:pt>
                <c:pt idx="1592">
                  <c:v>35528</c:v>
                </c:pt>
                <c:pt idx="1593">
                  <c:v>35529</c:v>
                </c:pt>
                <c:pt idx="1594">
                  <c:v>35530</c:v>
                </c:pt>
                <c:pt idx="1595">
                  <c:v>35531</c:v>
                </c:pt>
                <c:pt idx="1596">
                  <c:v>35534</c:v>
                </c:pt>
                <c:pt idx="1597">
                  <c:v>35535</c:v>
                </c:pt>
                <c:pt idx="1598">
                  <c:v>35536</c:v>
                </c:pt>
                <c:pt idx="1599">
                  <c:v>35537</c:v>
                </c:pt>
                <c:pt idx="1600">
                  <c:v>35538</c:v>
                </c:pt>
                <c:pt idx="1601">
                  <c:v>35541</c:v>
                </c:pt>
                <c:pt idx="1602">
                  <c:v>35542</c:v>
                </c:pt>
                <c:pt idx="1603">
                  <c:v>35543</c:v>
                </c:pt>
                <c:pt idx="1604">
                  <c:v>35544</c:v>
                </c:pt>
                <c:pt idx="1605">
                  <c:v>35545</c:v>
                </c:pt>
                <c:pt idx="1606">
                  <c:v>35548</c:v>
                </c:pt>
                <c:pt idx="1607">
                  <c:v>35549</c:v>
                </c:pt>
                <c:pt idx="1608">
                  <c:v>35550</c:v>
                </c:pt>
                <c:pt idx="1609">
                  <c:v>35552</c:v>
                </c:pt>
                <c:pt idx="1610">
                  <c:v>35555</c:v>
                </c:pt>
                <c:pt idx="1611">
                  <c:v>35556</c:v>
                </c:pt>
                <c:pt idx="1612">
                  <c:v>35557</c:v>
                </c:pt>
                <c:pt idx="1613">
                  <c:v>35559</c:v>
                </c:pt>
                <c:pt idx="1614">
                  <c:v>35562</c:v>
                </c:pt>
                <c:pt idx="1615">
                  <c:v>35563</c:v>
                </c:pt>
                <c:pt idx="1616">
                  <c:v>35564</c:v>
                </c:pt>
                <c:pt idx="1617">
                  <c:v>35565</c:v>
                </c:pt>
                <c:pt idx="1618">
                  <c:v>35566</c:v>
                </c:pt>
                <c:pt idx="1619">
                  <c:v>35570</c:v>
                </c:pt>
                <c:pt idx="1620">
                  <c:v>35571</c:v>
                </c:pt>
                <c:pt idx="1621">
                  <c:v>35572</c:v>
                </c:pt>
                <c:pt idx="1622">
                  <c:v>35573</c:v>
                </c:pt>
                <c:pt idx="1623">
                  <c:v>35576</c:v>
                </c:pt>
                <c:pt idx="1624">
                  <c:v>35577</c:v>
                </c:pt>
                <c:pt idx="1625">
                  <c:v>35578</c:v>
                </c:pt>
                <c:pt idx="1626">
                  <c:v>35580</c:v>
                </c:pt>
                <c:pt idx="1627">
                  <c:v>35583</c:v>
                </c:pt>
                <c:pt idx="1628">
                  <c:v>35584</c:v>
                </c:pt>
                <c:pt idx="1629">
                  <c:v>35585</c:v>
                </c:pt>
                <c:pt idx="1630">
                  <c:v>35586</c:v>
                </c:pt>
                <c:pt idx="1631">
                  <c:v>35587</c:v>
                </c:pt>
                <c:pt idx="1632">
                  <c:v>35590</c:v>
                </c:pt>
                <c:pt idx="1633">
                  <c:v>35591</c:v>
                </c:pt>
                <c:pt idx="1634">
                  <c:v>35592</c:v>
                </c:pt>
                <c:pt idx="1635">
                  <c:v>35593</c:v>
                </c:pt>
                <c:pt idx="1636">
                  <c:v>35594</c:v>
                </c:pt>
                <c:pt idx="1637">
                  <c:v>35597</c:v>
                </c:pt>
                <c:pt idx="1638">
                  <c:v>35598</c:v>
                </c:pt>
                <c:pt idx="1639">
                  <c:v>35599</c:v>
                </c:pt>
                <c:pt idx="1640">
                  <c:v>35600</c:v>
                </c:pt>
                <c:pt idx="1641">
                  <c:v>35601</c:v>
                </c:pt>
                <c:pt idx="1642">
                  <c:v>35604</c:v>
                </c:pt>
                <c:pt idx="1643">
                  <c:v>35605</c:v>
                </c:pt>
                <c:pt idx="1644">
                  <c:v>35606</c:v>
                </c:pt>
                <c:pt idx="1645">
                  <c:v>35607</c:v>
                </c:pt>
                <c:pt idx="1646">
                  <c:v>35608</c:v>
                </c:pt>
                <c:pt idx="1647">
                  <c:v>35611</c:v>
                </c:pt>
                <c:pt idx="1648">
                  <c:v>35612</c:v>
                </c:pt>
                <c:pt idx="1649">
                  <c:v>35613</c:v>
                </c:pt>
                <c:pt idx="1650">
                  <c:v>35614</c:v>
                </c:pt>
                <c:pt idx="1651">
                  <c:v>35615</c:v>
                </c:pt>
                <c:pt idx="1652">
                  <c:v>35618</c:v>
                </c:pt>
                <c:pt idx="1653">
                  <c:v>35619</c:v>
                </c:pt>
                <c:pt idx="1654">
                  <c:v>35620</c:v>
                </c:pt>
                <c:pt idx="1655">
                  <c:v>35621</c:v>
                </c:pt>
                <c:pt idx="1656">
                  <c:v>35622</c:v>
                </c:pt>
                <c:pt idx="1657">
                  <c:v>35625</c:v>
                </c:pt>
                <c:pt idx="1658">
                  <c:v>35626</c:v>
                </c:pt>
                <c:pt idx="1659">
                  <c:v>35627</c:v>
                </c:pt>
                <c:pt idx="1660">
                  <c:v>35628</c:v>
                </c:pt>
                <c:pt idx="1661">
                  <c:v>35629</c:v>
                </c:pt>
                <c:pt idx="1662">
                  <c:v>35632</c:v>
                </c:pt>
                <c:pt idx="1663">
                  <c:v>35633</c:v>
                </c:pt>
                <c:pt idx="1664">
                  <c:v>35634</c:v>
                </c:pt>
                <c:pt idx="1665">
                  <c:v>35635</c:v>
                </c:pt>
                <c:pt idx="1666">
                  <c:v>35636</c:v>
                </c:pt>
                <c:pt idx="1667">
                  <c:v>35639</c:v>
                </c:pt>
                <c:pt idx="1668">
                  <c:v>35640</c:v>
                </c:pt>
                <c:pt idx="1669">
                  <c:v>35641</c:v>
                </c:pt>
                <c:pt idx="1670">
                  <c:v>35642</c:v>
                </c:pt>
                <c:pt idx="1671">
                  <c:v>35643</c:v>
                </c:pt>
                <c:pt idx="1672">
                  <c:v>35646</c:v>
                </c:pt>
                <c:pt idx="1673">
                  <c:v>35647</c:v>
                </c:pt>
                <c:pt idx="1674">
                  <c:v>35648</c:v>
                </c:pt>
                <c:pt idx="1675">
                  <c:v>35649</c:v>
                </c:pt>
                <c:pt idx="1676">
                  <c:v>35650</c:v>
                </c:pt>
                <c:pt idx="1677">
                  <c:v>35653</c:v>
                </c:pt>
                <c:pt idx="1678">
                  <c:v>35654</c:v>
                </c:pt>
                <c:pt idx="1679">
                  <c:v>35655</c:v>
                </c:pt>
                <c:pt idx="1680">
                  <c:v>35656</c:v>
                </c:pt>
                <c:pt idx="1681">
                  <c:v>35657</c:v>
                </c:pt>
                <c:pt idx="1682">
                  <c:v>35660</c:v>
                </c:pt>
                <c:pt idx="1683">
                  <c:v>35661</c:v>
                </c:pt>
                <c:pt idx="1684">
                  <c:v>35662</c:v>
                </c:pt>
                <c:pt idx="1685">
                  <c:v>35663</c:v>
                </c:pt>
                <c:pt idx="1686">
                  <c:v>35664</c:v>
                </c:pt>
                <c:pt idx="1687">
                  <c:v>35667</c:v>
                </c:pt>
                <c:pt idx="1688">
                  <c:v>35668</c:v>
                </c:pt>
                <c:pt idx="1689">
                  <c:v>35669</c:v>
                </c:pt>
                <c:pt idx="1690">
                  <c:v>35670</c:v>
                </c:pt>
                <c:pt idx="1691">
                  <c:v>35671</c:v>
                </c:pt>
                <c:pt idx="1692">
                  <c:v>35674</c:v>
                </c:pt>
                <c:pt idx="1693">
                  <c:v>35675</c:v>
                </c:pt>
                <c:pt idx="1694">
                  <c:v>35676</c:v>
                </c:pt>
                <c:pt idx="1695">
                  <c:v>35677</c:v>
                </c:pt>
                <c:pt idx="1696">
                  <c:v>35678</c:v>
                </c:pt>
                <c:pt idx="1697">
                  <c:v>35681</c:v>
                </c:pt>
                <c:pt idx="1698">
                  <c:v>35682</c:v>
                </c:pt>
                <c:pt idx="1699">
                  <c:v>35683</c:v>
                </c:pt>
                <c:pt idx="1700">
                  <c:v>35684</c:v>
                </c:pt>
                <c:pt idx="1701">
                  <c:v>35685</c:v>
                </c:pt>
                <c:pt idx="1702">
                  <c:v>35688</c:v>
                </c:pt>
                <c:pt idx="1703">
                  <c:v>35689</c:v>
                </c:pt>
                <c:pt idx="1704">
                  <c:v>35690</c:v>
                </c:pt>
                <c:pt idx="1705">
                  <c:v>35691</c:v>
                </c:pt>
                <c:pt idx="1706">
                  <c:v>35692</c:v>
                </c:pt>
                <c:pt idx="1707">
                  <c:v>35695</c:v>
                </c:pt>
                <c:pt idx="1708">
                  <c:v>35696</c:v>
                </c:pt>
                <c:pt idx="1709">
                  <c:v>35697</c:v>
                </c:pt>
                <c:pt idx="1710">
                  <c:v>35698</c:v>
                </c:pt>
                <c:pt idx="1711">
                  <c:v>35699</c:v>
                </c:pt>
                <c:pt idx="1712">
                  <c:v>35702</c:v>
                </c:pt>
                <c:pt idx="1713">
                  <c:v>35703</c:v>
                </c:pt>
                <c:pt idx="1714">
                  <c:v>35704</c:v>
                </c:pt>
                <c:pt idx="1715">
                  <c:v>35705</c:v>
                </c:pt>
                <c:pt idx="1716">
                  <c:v>35709</c:v>
                </c:pt>
                <c:pt idx="1717">
                  <c:v>35710</c:v>
                </c:pt>
                <c:pt idx="1718">
                  <c:v>35711</c:v>
                </c:pt>
                <c:pt idx="1719">
                  <c:v>35712</c:v>
                </c:pt>
                <c:pt idx="1720">
                  <c:v>35713</c:v>
                </c:pt>
                <c:pt idx="1721">
                  <c:v>35716</c:v>
                </c:pt>
                <c:pt idx="1722">
                  <c:v>35717</c:v>
                </c:pt>
                <c:pt idx="1723">
                  <c:v>35718</c:v>
                </c:pt>
                <c:pt idx="1724">
                  <c:v>35719</c:v>
                </c:pt>
                <c:pt idx="1725">
                  <c:v>35720</c:v>
                </c:pt>
                <c:pt idx="1726">
                  <c:v>35723</c:v>
                </c:pt>
                <c:pt idx="1727">
                  <c:v>35724</c:v>
                </c:pt>
                <c:pt idx="1728">
                  <c:v>35725</c:v>
                </c:pt>
                <c:pt idx="1729">
                  <c:v>35726</c:v>
                </c:pt>
                <c:pt idx="1730">
                  <c:v>35727</c:v>
                </c:pt>
                <c:pt idx="1731">
                  <c:v>35730</c:v>
                </c:pt>
                <c:pt idx="1732">
                  <c:v>35731</c:v>
                </c:pt>
                <c:pt idx="1733">
                  <c:v>35732</c:v>
                </c:pt>
                <c:pt idx="1734">
                  <c:v>35733</c:v>
                </c:pt>
                <c:pt idx="1735">
                  <c:v>35734</c:v>
                </c:pt>
                <c:pt idx="1736">
                  <c:v>35737</c:v>
                </c:pt>
                <c:pt idx="1737">
                  <c:v>35738</c:v>
                </c:pt>
                <c:pt idx="1738">
                  <c:v>35739</c:v>
                </c:pt>
                <c:pt idx="1739">
                  <c:v>35740</c:v>
                </c:pt>
                <c:pt idx="1740">
                  <c:v>35741</c:v>
                </c:pt>
                <c:pt idx="1741">
                  <c:v>35744</c:v>
                </c:pt>
                <c:pt idx="1742">
                  <c:v>35745</c:v>
                </c:pt>
                <c:pt idx="1743">
                  <c:v>35746</c:v>
                </c:pt>
                <c:pt idx="1744">
                  <c:v>35747</c:v>
                </c:pt>
                <c:pt idx="1745">
                  <c:v>35748</c:v>
                </c:pt>
                <c:pt idx="1746">
                  <c:v>35751</c:v>
                </c:pt>
                <c:pt idx="1747">
                  <c:v>35752</c:v>
                </c:pt>
                <c:pt idx="1748">
                  <c:v>35753</c:v>
                </c:pt>
                <c:pt idx="1749">
                  <c:v>35754</c:v>
                </c:pt>
                <c:pt idx="1750">
                  <c:v>35755</c:v>
                </c:pt>
                <c:pt idx="1751">
                  <c:v>35758</c:v>
                </c:pt>
                <c:pt idx="1752">
                  <c:v>35759</c:v>
                </c:pt>
                <c:pt idx="1753">
                  <c:v>35760</c:v>
                </c:pt>
                <c:pt idx="1754">
                  <c:v>35761</c:v>
                </c:pt>
                <c:pt idx="1755">
                  <c:v>35762</c:v>
                </c:pt>
                <c:pt idx="1756">
                  <c:v>35765</c:v>
                </c:pt>
                <c:pt idx="1757">
                  <c:v>35766</c:v>
                </c:pt>
                <c:pt idx="1758">
                  <c:v>35767</c:v>
                </c:pt>
                <c:pt idx="1759">
                  <c:v>35768</c:v>
                </c:pt>
                <c:pt idx="1760">
                  <c:v>35769</c:v>
                </c:pt>
                <c:pt idx="1761">
                  <c:v>35772</c:v>
                </c:pt>
                <c:pt idx="1762">
                  <c:v>35773</c:v>
                </c:pt>
                <c:pt idx="1763">
                  <c:v>35774</c:v>
                </c:pt>
                <c:pt idx="1764">
                  <c:v>35775</c:v>
                </c:pt>
                <c:pt idx="1765">
                  <c:v>35776</c:v>
                </c:pt>
                <c:pt idx="1766">
                  <c:v>35779</c:v>
                </c:pt>
                <c:pt idx="1767">
                  <c:v>35780</c:v>
                </c:pt>
                <c:pt idx="1768">
                  <c:v>35781</c:v>
                </c:pt>
                <c:pt idx="1769">
                  <c:v>35782</c:v>
                </c:pt>
                <c:pt idx="1770">
                  <c:v>35783</c:v>
                </c:pt>
                <c:pt idx="1771">
                  <c:v>35786</c:v>
                </c:pt>
                <c:pt idx="1772">
                  <c:v>35787</c:v>
                </c:pt>
                <c:pt idx="1773">
                  <c:v>35793</c:v>
                </c:pt>
                <c:pt idx="1774">
                  <c:v>35794</c:v>
                </c:pt>
                <c:pt idx="1775">
                  <c:v>35797</c:v>
                </c:pt>
                <c:pt idx="1776">
                  <c:v>35800</c:v>
                </c:pt>
                <c:pt idx="1777">
                  <c:v>35801</c:v>
                </c:pt>
                <c:pt idx="1778">
                  <c:v>35802</c:v>
                </c:pt>
                <c:pt idx="1779">
                  <c:v>35803</c:v>
                </c:pt>
                <c:pt idx="1780">
                  <c:v>35804</c:v>
                </c:pt>
                <c:pt idx="1781">
                  <c:v>35807</c:v>
                </c:pt>
                <c:pt idx="1782">
                  <c:v>35808</c:v>
                </c:pt>
                <c:pt idx="1783">
                  <c:v>35809</c:v>
                </c:pt>
                <c:pt idx="1784">
                  <c:v>35810</c:v>
                </c:pt>
                <c:pt idx="1785">
                  <c:v>35811</c:v>
                </c:pt>
                <c:pt idx="1786">
                  <c:v>35814</c:v>
                </c:pt>
                <c:pt idx="1787">
                  <c:v>35815</c:v>
                </c:pt>
                <c:pt idx="1788">
                  <c:v>35816</c:v>
                </c:pt>
                <c:pt idx="1789">
                  <c:v>35817</c:v>
                </c:pt>
                <c:pt idx="1790">
                  <c:v>35818</c:v>
                </c:pt>
                <c:pt idx="1791">
                  <c:v>35821</c:v>
                </c:pt>
                <c:pt idx="1792">
                  <c:v>35822</c:v>
                </c:pt>
                <c:pt idx="1793">
                  <c:v>35823</c:v>
                </c:pt>
                <c:pt idx="1794">
                  <c:v>35824</c:v>
                </c:pt>
                <c:pt idx="1795">
                  <c:v>35825</c:v>
                </c:pt>
                <c:pt idx="1796">
                  <c:v>35828</c:v>
                </c:pt>
                <c:pt idx="1797">
                  <c:v>35829</c:v>
                </c:pt>
                <c:pt idx="1798">
                  <c:v>35830</c:v>
                </c:pt>
                <c:pt idx="1799">
                  <c:v>35831</c:v>
                </c:pt>
                <c:pt idx="1800">
                  <c:v>35832</c:v>
                </c:pt>
                <c:pt idx="1801">
                  <c:v>35835</c:v>
                </c:pt>
                <c:pt idx="1802">
                  <c:v>35836</c:v>
                </c:pt>
                <c:pt idx="1803">
                  <c:v>35837</c:v>
                </c:pt>
                <c:pt idx="1804">
                  <c:v>35838</c:v>
                </c:pt>
                <c:pt idx="1805">
                  <c:v>35839</c:v>
                </c:pt>
                <c:pt idx="1806">
                  <c:v>35842</c:v>
                </c:pt>
                <c:pt idx="1807">
                  <c:v>35843</c:v>
                </c:pt>
                <c:pt idx="1808">
                  <c:v>35844</c:v>
                </c:pt>
                <c:pt idx="1809">
                  <c:v>35845</c:v>
                </c:pt>
                <c:pt idx="1810">
                  <c:v>35846</c:v>
                </c:pt>
                <c:pt idx="1811">
                  <c:v>35849</c:v>
                </c:pt>
                <c:pt idx="1812">
                  <c:v>35850</c:v>
                </c:pt>
                <c:pt idx="1813">
                  <c:v>35851</c:v>
                </c:pt>
                <c:pt idx="1814">
                  <c:v>35852</c:v>
                </c:pt>
                <c:pt idx="1815">
                  <c:v>35853</c:v>
                </c:pt>
                <c:pt idx="1816">
                  <c:v>35856</c:v>
                </c:pt>
                <c:pt idx="1817">
                  <c:v>35857</c:v>
                </c:pt>
                <c:pt idx="1818">
                  <c:v>35858</c:v>
                </c:pt>
                <c:pt idx="1819">
                  <c:v>35859</c:v>
                </c:pt>
                <c:pt idx="1820">
                  <c:v>35860</c:v>
                </c:pt>
                <c:pt idx="1821">
                  <c:v>35863</c:v>
                </c:pt>
                <c:pt idx="1822">
                  <c:v>35864</c:v>
                </c:pt>
                <c:pt idx="1823">
                  <c:v>35865</c:v>
                </c:pt>
                <c:pt idx="1824">
                  <c:v>35866</c:v>
                </c:pt>
                <c:pt idx="1825">
                  <c:v>35867</c:v>
                </c:pt>
                <c:pt idx="1826">
                  <c:v>35870</c:v>
                </c:pt>
                <c:pt idx="1827">
                  <c:v>35871</c:v>
                </c:pt>
                <c:pt idx="1828">
                  <c:v>35872</c:v>
                </c:pt>
                <c:pt idx="1829">
                  <c:v>35873</c:v>
                </c:pt>
                <c:pt idx="1830">
                  <c:v>35874</c:v>
                </c:pt>
                <c:pt idx="1831">
                  <c:v>35877</c:v>
                </c:pt>
                <c:pt idx="1832">
                  <c:v>35878</c:v>
                </c:pt>
                <c:pt idx="1833">
                  <c:v>35879</c:v>
                </c:pt>
                <c:pt idx="1834">
                  <c:v>35880</c:v>
                </c:pt>
                <c:pt idx="1835">
                  <c:v>35881</c:v>
                </c:pt>
                <c:pt idx="1836">
                  <c:v>35884</c:v>
                </c:pt>
                <c:pt idx="1837">
                  <c:v>35885</c:v>
                </c:pt>
                <c:pt idx="1838">
                  <c:v>35886</c:v>
                </c:pt>
                <c:pt idx="1839">
                  <c:v>35887</c:v>
                </c:pt>
                <c:pt idx="1840">
                  <c:v>35888</c:v>
                </c:pt>
                <c:pt idx="1841">
                  <c:v>35891</c:v>
                </c:pt>
                <c:pt idx="1842">
                  <c:v>35892</c:v>
                </c:pt>
                <c:pt idx="1843">
                  <c:v>35893</c:v>
                </c:pt>
                <c:pt idx="1844">
                  <c:v>35894</c:v>
                </c:pt>
                <c:pt idx="1845">
                  <c:v>35899</c:v>
                </c:pt>
                <c:pt idx="1846">
                  <c:v>35900</c:v>
                </c:pt>
                <c:pt idx="1847">
                  <c:v>35901</c:v>
                </c:pt>
                <c:pt idx="1848">
                  <c:v>35902</c:v>
                </c:pt>
                <c:pt idx="1849">
                  <c:v>35905</c:v>
                </c:pt>
                <c:pt idx="1850">
                  <c:v>35906</c:v>
                </c:pt>
                <c:pt idx="1851">
                  <c:v>35907</c:v>
                </c:pt>
                <c:pt idx="1852">
                  <c:v>35908</c:v>
                </c:pt>
                <c:pt idx="1853">
                  <c:v>35909</c:v>
                </c:pt>
                <c:pt idx="1854">
                  <c:v>35912</c:v>
                </c:pt>
                <c:pt idx="1855">
                  <c:v>35913</c:v>
                </c:pt>
                <c:pt idx="1856">
                  <c:v>35914</c:v>
                </c:pt>
                <c:pt idx="1857">
                  <c:v>35915</c:v>
                </c:pt>
                <c:pt idx="1858">
                  <c:v>35919</c:v>
                </c:pt>
                <c:pt idx="1859">
                  <c:v>35920</c:v>
                </c:pt>
                <c:pt idx="1860">
                  <c:v>35921</c:v>
                </c:pt>
                <c:pt idx="1861">
                  <c:v>35922</c:v>
                </c:pt>
                <c:pt idx="1862">
                  <c:v>35923</c:v>
                </c:pt>
                <c:pt idx="1863">
                  <c:v>35926</c:v>
                </c:pt>
                <c:pt idx="1864">
                  <c:v>35927</c:v>
                </c:pt>
                <c:pt idx="1865">
                  <c:v>35928</c:v>
                </c:pt>
                <c:pt idx="1866">
                  <c:v>35929</c:v>
                </c:pt>
                <c:pt idx="1867">
                  <c:v>35930</c:v>
                </c:pt>
                <c:pt idx="1868">
                  <c:v>35933</c:v>
                </c:pt>
                <c:pt idx="1869">
                  <c:v>35934</c:v>
                </c:pt>
                <c:pt idx="1870">
                  <c:v>35935</c:v>
                </c:pt>
                <c:pt idx="1871">
                  <c:v>35937</c:v>
                </c:pt>
                <c:pt idx="1872">
                  <c:v>35940</c:v>
                </c:pt>
                <c:pt idx="1873">
                  <c:v>35941</c:v>
                </c:pt>
                <c:pt idx="1874">
                  <c:v>35942</c:v>
                </c:pt>
                <c:pt idx="1875">
                  <c:v>35943</c:v>
                </c:pt>
                <c:pt idx="1876">
                  <c:v>35944</c:v>
                </c:pt>
                <c:pt idx="1877">
                  <c:v>35948</c:v>
                </c:pt>
                <c:pt idx="1878">
                  <c:v>35949</c:v>
                </c:pt>
                <c:pt idx="1879">
                  <c:v>35950</c:v>
                </c:pt>
                <c:pt idx="1880">
                  <c:v>35951</c:v>
                </c:pt>
                <c:pt idx="1881">
                  <c:v>35954</c:v>
                </c:pt>
                <c:pt idx="1882">
                  <c:v>35955</c:v>
                </c:pt>
                <c:pt idx="1883">
                  <c:v>35956</c:v>
                </c:pt>
                <c:pt idx="1884">
                  <c:v>35958</c:v>
                </c:pt>
                <c:pt idx="1885">
                  <c:v>35961</c:v>
                </c:pt>
                <c:pt idx="1886">
                  <c:v>35962</c:v>
                </c:pt>
                <c:pt idx="1887">
                  <c:v>35963</c:v>
                </c:pt>
                <c:pt idx="1888">
                  <c:v>35964</c:v>
                </c:pt>
                <c:pt idx="1889">
                  <c:v>35965</c:v>
                </c:pt>
                <c:pt idx="1890">
                  <c:v>35968</c:v>
                </c:pt>
                <c:pt idx="1891">
                  <c:v>35969</c:v>
                </c:pt>
                <c:pt idx="1892">
                  <c:v>35970</c:v>
                </c:pt>
                <c:pt idx="1893">
                  <c:v>35971</c:v>
                </c:pt>
                <c:pt idx="1894">
                  <c:v>35972</c:v>
                </c:pt>
                <c:pt idx="1895">
                  <c:v>35975</c:v>
                </c:pt>
                <c:pt idx="1896">
                  <c:v>35976</c:v>
                </c:pt>
                <c:pt idx="1897">
                  <c:v>35977</c:v>
                </c:pt>
                <c:pt idx="1898">
                  <c:v>35978</c:v>
                </c:pt>
                <c:pt idx="1899">
                  <c:v>35979</c:v>
                </c:pt>
                <c:pt idx="1900">
                  <c:v>35982</c:v>
                </c:pt>
                <c:pt idx="1901">
                  <c:v>35983</c:v>
                </c:pt>
                <c:pt idx="1902">
                  <c:v>35984</c:v>
                </c:pt>
                <c:pt idx="1903">
                  <c:v>35985</c:v>
                </c:pt>
                <c:pt idx="1904">
                  <c:v>35986</c:v>
                </c:pt>
                <c:pt idx="1905">
                  <c:v>35989</c:v>
                </c:pt>
                <c:pt idx="1906">
                  <c:v>35990</c:v>
                </c:pt>
                <c:pt idx="1907">
                  <c:v>35991</c:v>
                </c:pt>
                <c:pt idx="1908">
                  <c:v>35992</c:v>
                </c:pt>
                <c:pt idx="1909">
                  <c:v>35993</c:v>
                </c:pt>
                <c:pt idx="1910">
                  <c:v>35996</c:v>
                </c:pt>
                <c:pt idx="1911">
                  <c:v>35997</c:v>
                </c:pt>
                <c:pt idx="1912">
                  <c:v>35998</c:v>
                </c:pt>
                <c:pt idx="1913">
                  <c:v>35999</c:v>
                </c:pt>
                <c:pt idx="1914">
                  <c:v>36000</c:v>
                </c:pt>
                <c:pt idx="1915">
                  <c:v>36003</c:v>
                </c:pt>
                <c:pt idx="1916">
                  <c:v>36004</c:v>
                </c:pt>
                <c:pt idx="1917">
                  <c:v>36005</c:v>
                </c:pt>
                <c:pt idx="1918">
                  <c:v>36006</c:v>
                </c:pt>
                <c:pt idx="1919">
                  <c:v>36007</c:v>
                </c:pt>
                <c:pt idx="1920">
                  <c:v>36010</c:v>
                </c:pt>
                <c:pt idx="1921">
                  <c:v>36011</c:v>
                </c:pt>
                <c:pt idx="1922">
                  <c:v>36012</c:v>
                </c:pt>
                <c:pt idx="1923">
                  <c:v>36013</c:v>
                </c:pt>
                <c:pt idx="1924">
                  <c:v>36014</c:v>
                </c:pt>
                <c:pt idx="1925">
                  <c:v>36017</c:v>
                </c:pt>
                <c:pt idx="1926">
                  <c:v>36018</c:v>
                </c:pt>
                <c:pt idx="1927">
                  <c:v>36019</c:v>
                </c:pt>
                <c:pt idx="1928">
                  <c:v>36020</c:v>
                </c:pt>
                <c:pt idx="1929">
                  <c:v>36021</c:v>
                </c:pt>
                <c:pt idx="1930">
                  <c:v>36024</c:v>
                </c:pt>
                <c:pt idx="1931">
                  <c:v>36025</c:v>
                </c:pt>
                <c:pt idx="1932">
                  <c:v>36026</c:v>
                </c:pt>
                <c:pt idx="1933">
                  <c:v>36027</c:v>
                </c:pt>
                <c:pt idx="1934">
                  <c:v>36028</c:v>
                </c:pt>
                <c:pt idx="1935">
                  <c:v>36031</c:v>
                </c:pt>
                <c:pt idx="1936">
                  <c:v>36032</c:v>
                </c:pt>
                <c:pt idx="1937">
                  <c:v>36033</c:v>
                </c:pt>
                <c:pt idx="1938">
                  <c:v>36034</c:v>
                </c:pt>
                <c:pt idx="1939">
                  <c:v>36035</c:v>
                </c:pt>
                <c:pt idx="1940">
                  <c:v>36038</c:v>
                </c:pt>
                <c:pt idx="1941">
                  <c:v>36039</c:v>
                </c:pt>
                <c:pt idx="1942">
                  <c:v>36040</c:v>
                </c:pt>
                <c:pt idx="1943">
                  <c:v>36041</c:v>
                </c:pt>
                <c:pt idx="1944">
                  <c:v>36042</c:v>
                </c:pt>
                <c:pt idx="1945">
                  <c:v>36045</c:v>
                </c:pt>
                <c:pt idx="1946">
                  <c:v>36046</c:v>
                </c:pt>
                <c:pt idx="1947">
                  <c:v>36047</c:v>
                </c:pt>
                <c:pt idx="1948">
                  <c:v>36048</c:v>
                </c:pt>
                <c:pt idx="1949">
                  <c:v>36049</c:v>
                </c:pt>
                <c:pt idx="1950">
                  <c:v>36052</c:v>
                </c:pt>
                <c:pt idx="1951">
                  <c:v>36053</c:v>
                </c:pt>
                <c:pt idx="1952">
                  <c:v>36054</c:v>
                </c:pt>
                <c:pt idx="1953">
                  <c:v>36055</c:v>
                </c:pt>
                <c:pt idx="1954">
                  <c:v>36056</c:v>
                </c:pt>
                <c:pt idx="1955">
                  <c:v>36059</c:v>
                </c:pt>
                <c:pt idx="1956">
                  <c:v>36060</c:v>
                </c:pt>
                <c:pt idx="1957">
                  <c:v>36061</c:v>
                </c:pt>
                <c:pt idx="1958">
                  <c:v>36062</c:v>
                </c:pt>
                <c:pt idx="1959">
                  <c:v>36063</c:v>
                </c:pt>
                <c:pt idx="1960">
                  <c:v>36066</c:v>
                </c:pt>
                <c:pt idx="1961">
                  <c:v>36067</c:v>
                </c:pt>
                <c:pt idx="1962">
                  <c:v>36068</c:v>
                </c:pt>
                <c:pt idx="1963">
                  <c:v>36069</c:v>
                </c:pt>
                <c:pt idx="1964">
                  <c:v>36070</c:v>
                </c:pt>
                <c:pt idx="1965">
                  <c:v>36073</c:v>
                </c:pt>
                <c:pt idx="1966">
                  <c:v>36074</c:v>
                </c:pt>
                <c:pt idx="1967">
                  <c:v>36075</c:v>
                </c:pt>
                <c:pt idx="1968">
                  <c:v>36076</c:v>
                </c:pt>
                <c:pt idx="1969">
                  <c:v>36077</c:v>
                </c:pt>
                <c:pt idx="1970">
                  <c:v>36080</c:v>
                </c:pt>
                <c:pt idx="1971">
                  <c:v>36081</c:v>
                </c:pt>
                <c:pt idx="1972">
                  <c:v>36082</c:v>
                </c:pt>
                <c:pt idx="1973">
                  <c:v>36083</c:v>
                </c:pt>
                <c:pt idx="1974">
                  <c:v>36084</c:v>
                </c:pt>
                <c:pt idx="1975">
                  <c:v>36087</c:v>
                </c:pt>
                <c:pt idx="1976">
                  <c:v>36088</c:v>
                </c:pt>
                <c:pt idx="1977">
                  <c:v>36089</c:v>
                </c:pt>
                <c:pt idx="1978">
                  <c:v>36090</c:v>
                </c:pt>
                <c:pt idx="1979">
                  <c:v>36091</c:v>
                </c:pt>
                <c:pt idx="1980">
                  <c:v>36094</c:v>
                </c:pt>
                <c:pt idx="1981">
                  <c:v>36095</c:v>
                </c:pt>
                <c:pt idx="1982">
                  <c:v>36096</c:v>
                </c:pt>
                <c:pt idx="1983">
                  <c:v>36097</c:v>
                </c:pt>
                <c:pt idx="1984">
                  <c:v>36098</c:v>
                </c:pt>
                <c:pt idx="1985">
                  <c:v>36101</c:v>
                </c:pt>
                <c:pt idx="1986">
                  <c:v>36102</c:v>
                </c:pt>
                <c:pt idx="1987">
                  <c:v>36103</c:v>
                </c:pt>
                <c:pt idx="1988">
                  <c:v>36104</c:v>
                </c:pt>
                <c:pt idx="1989">
                  <c:v>36105</c:v>
                </c:pt>
                <c:pt idx="1990">
                  <c:v>36108</c:v>
                </c:pt>
                <c:pt idx="1991">
                  <c:v>36109</c:v>
                </c:pt>
                <c:pt idx="1992">
                  <c:v>36110</c:v>
                </c:pt>
                <c:pt idx="1993">
                  <c:v>36111</c:v>
                </c:pt>
                <c:pt idx="1994">
                  <c:v>36112</c:v>
                </c:pt>
                <c:pt idx="1995">
                  <c:v>36115</c:v>
                </c:pt>
                <c:pt idx="1996">
                  <c:v>36116</c:v>
                </c:pt>
                <c:pt idx="1997">
                  <c:v>36117</c:v>
                </c:pt>
                <c:pt idx="1998">
                  <c:v>36118</c:v>
                </c:pt>
                <c:pt idx="1999">
                  <c:v>36119</c:v>
                </c:pt>
                <c:pt idx="2000">
                  <c:v>36122</c:v>
                </c:pt>
                <c:pt idx="2001">
                  <c:v>36123</c:v>
                </c:pt>
                <c:pt idx="2002">
                  <c:v>36124</c:v>
                </c:pt>
                <c:pt idx="2003">
                  <c:v>36125</c:v>
                </c:pt>
                <c:pt idx="2004">
                  <c:v>36126</c:v>
                </c:pt>
                <c:pt idx="2005">
                  <c:v>36129</c:v>
                </c:pt>
                <c:pt idx="2006">
                  <c:v>36130</c:v>
                </c:pt>
                <c:pt idx="2007">
                  <c:v>36131</c:v>
                </c:pt>
                <c:pt idx="2008">
                  <c:v>36132</c:v>
                </c:pt>
                <c:pt idx="2009">
                  <c:v>36133</c:v>
                </c:pt>
                <c:pt idx="2010">
                  <c:v>36136</c:v>
                </c:pt>
                <c:pt idx="2011">
                  <c:v>36137</c:v>
                </c:pt>
                <c:pt idx="2012">
                  <c:v>36138</c:v>
                </c:pt>
                <c:pt idx="2013">
                  <c:v>36139</c:v>
                </c:pt>
                <c:pt idx="2014">
                  <c:v>36140</c:v>
                </c:pt>
                <c:pt idx="2015">
                  <c:v>36143</c:v>
                </c:pt>
                <c:pt idx="2016">
                  <c:v>36144</c:v>
                </c:pt>
                <c:pt idx="2017">
                  <c:v>36145</c:v>
                </c:pt>
                <c:pt idx="2018">
                  <c:v>36146</c:v>
                </c:pt>
                <c:pt idx="2019">
                  <c:v>36147</c:v>
                </c:pt>
                <c:pt idx="2020">
                  <c:v>36150</c:v>
                </c:pt>
                <c:pt idx="2021">
                  <c:v>36151</c:v>
                </c:pt>
                <c:pt idx="2022">
                  <c:v>36152</c:v>
                </c:pt>
                <c:pt idx="2023">
                  <c:v>36157</c:v>
                </c:pt>
                <c:pt idx="2024">
                  <c:v>36158</c:v>
                </c:pt>
                <c:pt idx="2025">
                  <c:v>36159</c:v>
                </c:pt>
                <c:pt idx="2026">
                  <c:v>36164</c:v>
                </c:pt>
                <c:pt idx="2027">
                  <c:v>36165</c:v>
                </c:pt>
                <c:pt idx="2028">
                  <c:v>36166</c:v>
                </c:pt>
                <c:pt idx="2029">
                  <c:v>36167</c:v>
                </c:pt>
                <c:pt idx="2030">
                  <c:v>36168</c:v>
                </c:pt>
                <c:pt idx="2031">
                  <c:v>36171</c:v>
                </c:pt>
                <c:pt idx="2032">
                  <c:v>36172</c:v>
                </c:pt>
                <c:pt idx="2033">
                  <c:v>36173</c:v>
                </c:pt>
                <c:pt idx="2034">
                  <c:v>36174</c:v>
                </c:pt>
                <c:pt idx="2035">
                  <c:v>36175</c:v>
                </c:pt>
                <c:pt idx="2036">
                  <c:v>36178</c:v>
                </c:pt>
                <c:pt idx="2037">
                  <c:v>36179</c:v>
                </c:pt>
                <c:pt idx="2038">
                  <c:v>36180</c:v>
                </c:pt>
                <c:pt idx="2039">
                  <c:v>36181</c:v>
                </c:pt>
                <c:pt idx="2040">
                  <c:v>36182</c:v>
                </c:pt>
                <c:pt idx="2041">
                  <c:v>36185</c:v>
                </c:pt>
                <c:pt idx="2042">
                  <c:v>36186</c:v>
                </c:pt>
                <c:pt idx="2043">
                  <c:v>36187</c:v>
                </c:pt>
                <c:pt idx="2044">
                  <c:v>36188</c:v>
                </c:pt>
                <c:pt idx="2045">
                  <c:v>36189</c:v>
                </c:pt>
                <c:pt idx="2046">
                  <c:v>36192</c:v>
                </c:pt>
                <c:pt idx="2047">
                  <c:v>36193</c:v>
                </c:pt>
                <c:pt idx="2048">
                  <c:v>36194</c:v>
                </c:pt>
                <c:pt idx="2049">
                  <c:v>36195</c:v>
                </c:pt>
                <c:pt idx="2050">
                  <c:v>36196</c:v>
                </c:pt>
                <c:pt idx="2051">
                  <c:v>36199</c:v>
                </c:pt>
                <c:pt idx="2052">
                  <c:v>36200</c:v>
                </c:pt>
                <c:pt idx="2053">
                  <c:v>36201</c:v>
                </c:pt>
                <c:pt idx="2054">
                  <c:v>36202</c:v>
                </c:pt>
                <c:pt idx="2055">
                  <c:v>36203</c:v>
                </c:pt>
                <c:pt idx="2056">
                  <c:v>36206</c:v>
                </c:pt>
                <c:pt idx="2057">
                  <c:v>36207</c:v>
                </c:pt>
                <c:pt idx="2058">
                  <c:v>36208</c:v>
                </c:pt>
                <c:pt idx="2059">
                  <c:v>36209</c:v>
                </c:pt>
                <c:pt idx="2060">
                  <c:v>36210</c:v>
                </c:pt>
                <c:pt idx="2061">
                  <c:v>36213</c:v>
                </c:pt>
                <c:pt idx="2062">
                  <c:v>36214</c:v>
                </c:pt>
                <c:pt idx="2063">
                  <c:v>36215</c:v>
                </c:pt>
                <c:pt idx="2064">
                  <c:v>36216</c:v>
                </c:pt>
                <c:pt idx="2065">
                  <c:v>36217</c:v>
                </c:pt>
                <c:pt idx="2066">
                  <c:v>36220</c:v>
                </c:pt>
                <c:pt idx="2067">
                  <c:v>36221</c:v>
                </c:pt>
                <c:pt idx="2068">
                  <c:v>36222</c:v>
                </c:pt>
                <c:pt idx="2069">
                  <c:v>36223</c:v>
                </c:pt>
                <c:pt idx="2070">
                  <c:v>36224</c:v>
                </c:pt>
                <c:pt idx="2071">
                  <c:v>36227</c:v>
                </c:pt>
                <c:pt idx="2072">
                  <c:v>36228</c:v>
                </c:pt>
                <c:pt idx="2073">
                  <c:v>36229</c:v>
                </c:pt>
                <c:pt idx="2074">
                  <c:v>36230</c:v>
                </c:pt>
                <c:pt idx="2075">
                  <c:v>36231</c:v>
                </c:pt>
                <c:pt idx="2076">
                  <c:v>36234</c:v>
                </c:pt>
                <c:pt idx="2077">
                  <c:v>36235</c:v>
                </c:pt>
                <c:pt idx="2078">
                  <c:v>36236</c:v>
                </c:pt>
                <c:pt idx="2079">
                  <c:v>36237</c:v>
                </c:pt>
                <c:pt idx="2080">
                  <c:v>36238</c:v>
                </c:pt>
                <c:pt idx="2081">
                  <c:v>36241</c:v>
                </c:pt>
                <c:pt idx="2082">
                  <c:v>36242</c:v>
                </c:pt>
                <c:pt idx="2083">
                  <c:v>36243</c:v>
                </c:pt>
                <c:pt idx="2084">
                  <c:v>36244</c:v>
                </c:pt>
                <c:pt idx="2085">
                  <c:v>36245</c:v>
                </c:pt>
                <c:pt idx="2086">
                  <c:v>36248</c:v>
                </c:pt>
                <c:pt idx="2087">
                  <c:v>36249</c:v>
                </c:pt>
                <c:pt idx="2088">
                  <c:v>36250</c:v>
                </c:pt>
                <c:pt idx="2089">
                  <c:v>36251</c:v>
                </c:pt>
                <c:pt idx="2090">
                  <c:v>36256</c:v>
                </c:pt>
                <c:pt idx="2091">
                  <c:v>36257</c:v>
                </c:pt>
                <c:pt idx="2092">
                  <c:v>36258</c:v>
                </c:pt>
                <c:pt idx="2093">
                  <c:v>36259</c:v>
                </c:pt>
                <c:pt idx="2094">
                  <c:v>36262</c:v>
                </c:pt>
                <c:pt idx="2095">
                  <c:v>36263</c:v>
                </c:pt>
                <c:pt idx="2096">
                  <c:v>36264</c:v>
                </c:pt>
                <c:pt idx="2097">
                  <c:v>36265</c:v>
                </c:pt>
                <c:pt idx="2098">
                  <c:v>36266</c:v>
                </c:pt>
                <c:pt idx="2099">
                  <c:v>36269</c:v>
                </c:pt>
                <c:pt idx="2100">
                  <c:v>36270</c:v>
                </c:pt>
                <c:pt idx="2101">
                  <c:v>36271</c:v>
                </c:pt>
                <c:pt idx="2102">
                  <c:v>36272</c:v>
                </c:pt>
                <c:pt idx="2103">
                  <c:v>36273</c:v>
                </c:pt>
                <c:pt idx="2104">
                  <c:v>36276</c:v>
                </c:pt>
                <c:pt idx="2105">
                  <c:v>36277</c:v>
                </c:pt>
                <c:pt idx="2106">
                  <c:v>36278</c:v>
                </c:pt>
                <c:pt idx="2107">
                  <c:v>36279</c:v>
                </c:pt>
                <c:pt idx="2108">
                  <c:v>36280</c:v>
                </c:pt>
                <c:pt idx="2109">
                  <c:v>36283</c:v>
                </c:pt>
                <c:pt idx="2110">
                  <c:v>36284</c:v>
                </c:pt>
                <c:pt idx="2111">
                  <c:v>36285</c:v>
                </c:pt>
                <c:pt idx="2112">
                  <c:v>36286</c:v>
                </c:pt>
                <c:pt idx="2113">
                  <c:v>36287</c:v>
                </c:pt>
                <c:pt idx="2114">
                  <c:v>36290</c:v>
                </c:pt>
                <c:pt idx="2115">
                  <c:v>36291</c:v>
                </c:pt>
                <c:pt idx="2116">
                  <c:v>36292</c:v>
                </c:pt>
                <c:pt idx="2117">
                  <c:v>36294</c:v>
                </c:pt>
                <c:pt idx="2118">
                  <c:v>36297</c:v>
                </c:pt>
                <c:pt idx="2119">
                  <c:v>36298</c:v>
                </c:pt>
                <c:pt idx="2120">
                  <c:v>36299</c:v>
                </c:pt>
                <c:pt idx="2121">
                  <c:v>36300</c:v>
                </c:pt>
                <c:pt idx="2122">
                  <c:v>36301</c:v>
                </c:pt>
                <c:pt idx="2123">
                  <c:v>36305</c:v>
                </c:pt>
                <c:pt idx="2124">
                  <c:v>36306</c:v>
                </c:pt>
                <c:pt idx="2125">
                  <c:v>36307</c:v>
                </c:pt>
                <c:pt idx="2126">
                  <c:v>36308</c:v>
                </c:pt>
                <c:pt idx="2127">
                  <c:v>36311</c:v>
                </c:pt>
                <c:pt idx="2128">
                  <c:v>36312</c:v>
                </c:pt>
                <c:pt idx="2129">
                  <c:v>36313</c:v>
                </c:pt>
                <c:pt idx="2130">
                  <c:v>36315</c:v>
                </c:pt>
                <c:pt idx="2131">
                  <c:v>36318</c:v>
                </c:pt>
                <c:pt idx="2132">
                  <c:v>36319</c:v>
                </c:pt>
                <c:pt idx="2133">
                  <c:v>36320</c:v>
                </c:pt>
                <c:pt idx="2134">
                  <c:v>36321</c:v>
                </c:pt>
                <c:pt idx="2135">
                  <c:v>36322</c:v>
                </c:pt>
                <c:pt idx="2136">
                  <c:v>36325</c:v>
                </c:pt>
                <c:pt idx="2137">
                  <c:v>36326</c:v>
                </c:pt>
                <c:pt idx="2138">
                  <c:v>36327</c:v>
                </c:pt>
                <c:pt idx="2139">
                  <c:v>36328</c:v>
                </c:pt>
                <c:pt idx="2140">
                  <c:v>36329</c:v>
                </c:pt>
                <c:pt idx="2141">
                  <c:v>36332</c:v>
                </c:pt>
                <c:pt idx="2142">
                  <c:v>36333</c:v>
                </c:pt>
                <c:pt idx="2143">
                  <c:v>36334</c:v>
                </c:pt>
                <c:pt idx="2144">
                  <c:v>36335</c:v>
                </c:pt>
                <c:pt idx="2145">
                  <c:v>36336</c:v>
                </c:pt>
                <c:pt idx="2146">
                  <c:v>36339</c:v>
                </c:pt>
                <c:pt idx="2147">
                  <c:v>36340</c:v>
                </c:pt>
                <c:pt idx="2148">
                  <c:v>36341</c:v>
                </c:pt>
                <c:pt idx="2149">
                  <c:v>36342</c:v>
                </c:pt>
                <c:pt idx="2150">
                  <c:v>36343</c:v>
                </c:pt>
                <c:pt idx="2151">
                  <c:v>36346</c:v>
                </c:pt>
                <c:pt idx="2152">
                  <c:v>36347</c:v>
                </c:pt>
                <c:pt idx="2153">
                  <c:v>36348</c:v>
                </c:pt>
                <c:pt idx="2154">
                  <c:v>36349</c:v>
                </c:pt>
                <c:pt idx="2155">
                  <c:v>36350</c:v>
                </c:pt>
                <c:pt idx="2156">
                  <c:v>36353</c:v>
                </c:pt>
                <c:pt idx="2157">
                  <c:v>36354</c:v>
                </c:pt>
                <c:pt idx="2158">
                  <c:v>36355</c:v>
                </c:pt>
                <c:pt idx="2159">
                  <c:v>36356</c:v>
                </c:pt>
                <c:pt idx="2160">
                  <c:v>36357</c:v>
                </c:pt>
                <c:pt idx="2161">
                  <c:v>36360</c:v>
                </c:pt>
                <c:pt idx="2162">
                  <c:v>36361</c:v>
                </c:pt>
                <c:pt idx="2163">
                  <c:v>36362</c:v>
                </c:pt>
                <c:pt idx="2164">
                  <c:v>36363</c:v>
                </c:pt>
                <c:pt idx="2165">
                  <c:v>36364</c:v>
                </c:pt>
                <c:pt idx="2166">
                  <c:v>36367</c:v>
                </c:pt>
                <c:pt idx="2167">
                  <c:v>36368</c:v>
                </c:pt>
                <c:pt idx="2168">
                  <c:v>36369</c:v>
                </c:pt>
                <c:pt idx="2169">
                  <c:v>36370</c:v>
                </c:pt>
                <c:pt idx="2170">
                  <c:v>36371</c:v>
                </c:pt>
                <c:pt idx="2171">
                  <c:v>36374</c:v>
                </c:pt>
                <c:pt idx="2172">
                  <c:v>36375</c:v>
                </c:pt>
                <c:pt idx="2173">
                  <c:v>36376</c:v>
                </c:pt>
                <c:pt idx="2174">
                  <c:v>36377</c:v>
                </c:pt>
                <c:pt idx="2175">
                  <c:v>36378</c:v>
                </c:pt>
                <c:pt idx="2176">
                  <c:v>36381</c:v>
                </c:pt>
                <c:pt idx="2177">
                  <c:v>36382</c:v>
                </c:pt>
                <c:pt idx="2178">
                  <c:v>36383</c:v>
                </c:pt>
                <c:pt idx="2179">
                  <c:v>36384</c:v>
                </c:pt>
                <c:pt idx="2180">
                  <c:v>36385</c:v>
                </c:pt>
                <c:pt idx="2181">
                  <c:v>36388</c:v>
                </c:pt>
                <c:pt idx="2182">
                  <c:v>36389</c:v>
                </c:pt>
                <c:pt idx="2183">
                  <c:v>36390</c:v>
                </c:pt>
                <c:pt idx="2184">
                  <c:v>36391</c:v>
                </c:pt>
                <c:pt idx="2185">
                  <c:v>36392</c:v>
                </c:pt>
                <c:pt idx="2186">
                  <c:v>36395</c:v>
                </c:pt>
                <c:pt idx="2187">
                  <c:v>36396</c:v>
                </c:pt>
                <c:pt idx="2188">
                  <c:v>36397</c:v>
                </c:pt>
                <c:pt idx="2189">
                  <c:v>36398</c:v>
                </c:pt>
                <c:pt idx="2190">
                  <c:v>36399</c:v>
                </c:pt>
                <c:pt idx="2191">
                  <c:v>36402</c:v>
                </c:pt>
                <c:pt idx="2192">
                  <c:v>36403</c:v>
                </c:pt>
                <c:pt idx="2193">
                  <c:v>36404</c:v>
                </c:pt>
                <c:pt idx="2194">
                  <c:v>36405</c:v>
                </c:pt>
                <c:pt idx="2195">
                  <c:v>36406</c:v>
                </c:pt>
                <c:pt idx="2196">
                  <c:v>36409</c:v>
                </c:pt>
                <c:pt idx="2197">
                  <c:v>36410</c:v>
                </c:pt>
                <c:pt idx="2198">
                  <c:v>36411</c:v>
                </c:pt>
                <c:pt idx="2199">
                  <c:v>36412</c:v>
                </c:pt>
                <c:pt idx="2200">
                  <c:v>36413</c:v>
                </c:pt>
                <c:pt idx="2201">
                  <c:v>36416</c:v>
                </c:pt>
                <c:pt idx="2202">
                  <c:v>36417</c:v>
                </c:pt>
                <c:pt idx="2203">
                  <c:v>36418</c:v>
                </c:pt>
                <c:pt idx="2204">
                  <c:v>36419</c:v>
                </c:pt>
                <c:pt idx="2205">
                  <c:v>36420</c:v>
                </c:pt>
                <c:pt idx="2206">
                  <c:v>36423</c:v>
                </c:pt>
                <c:pt idx="2207">
                  <c:v>36424</c:v>
                </c:pt>
                <c:pt idx="2208">
                  <c:v>36425</c:v>
                </c:pt>
                <c:pt idx="2209">
                  <c:v>36426</c:v>
                </c:pt>
                <c:pt idx="2210">
                  <c:v>36427</c:v>
                </c:pt>
                <c:pt idx="2211">
                  <c:v>36430</c:v>
                </c:pt>
                <c:pt idx="2212">
                  <c:v>36431</c:v>
                </c:pt>
                <c:pt idx="2213">
                  <c:v>36432</c:v>
                </c:pt>
                <c:pt idx="2214">
                  <c:v>36433</c:v>
                </c:pt>
                <c:pt idx="2215">
                  <c:v>36434</c:v>
                </c:pt>
                <c:pt idx="2216">
                  <c:v>36437</c:v>
                </c:pt>
                <c:pt idx="2217">
                  <c:v>36438</c:v>
                </c:pt>
                <c:pt idx="2218">
                  <c:v>36439</c:v>
                </c:pt>
                <c:pt idx="2219">
                  <c:v>36440</c:v>
                </c:pt>
                <c:pt idx="2220">
                  <c:v>36441</c:v>
                </c:pt>
                <c:pt idx="2221">
                  <c:v>36444</c:v>
                </c:pt>
                <c:pt idx="2222">
                  <c:v>36445</c:v>
                </c:pt>
                <c:pt idx="2223">
                  <c:v>36446</c:v>
                </c:pt>
                <c:pt idx="2224">
                  <c:v>36447</c:v>
                </c:pt>
                <c:pt idx="2225">
                  <c:v>36448</c:v>
                </c:pt>
                <c:pt idx="2226">
                  <c:v>36451</c:v>
                </c:pt>
                <c:pt idx="2227">
                  <c:v>36452</c:v>
                </c:pt>
                <c:pt idx="2228">
                  <c:v>36453</c:v>
                </c:pt>
                <c:pt idx="2229">
                  <c:v>36454</c:v>
                </c:pt>
                <c:pt idx="2230">
                  <c:v>36455</c:v>
                </c:pt>
                <c:pt idx="2231">
                  <c:v>36458</c:v>
                </c:pt>
                <c:pt idx="2232">
                  <c:v>36459</c:v>
                </c:pt>
                <c:pt idx="2233">
                  <c:v>36460</c:v>
                </c:pt>
                <c:pt idx="2234">
                  <c:v>36461</c:v>
                </c:pt>
                <c:pt idx="2235">
                  <c:v>36462</c:v>
                </c:pt>
                <c:pt idx="2236">
                  <c:v>36465</c:v>
                </c:pt>
                <c:pt idx="2237">
                  <c:v>36466</c:v>
                </c:pt>
                <c:pt idx="2238">
                  <c:v>36467</c:v>
                </c:pt>
                <c:pt idx="2239">
                  <c:v>36468</c:v>
                </c:pt>
                <c:pt idx="2240">
                  <c:v>36469</c:v>
                </c:pt>
                <c:pt idx="2241">
                  <c:v>36472</c:v>
                </c:pt>
                <c:pt idx="2242">
                  <c:v>36473</c:v>
                </c:pt>
                <c:pt idx="2243">
                  <c:v>36474</c:v>
                </c:pt>
                <c:pt idx="2244">
                  <c:v>36475</c:v>
                </c:pt>
                <c:pt idx="2245">
                  <c:v>36476</c:v>
                </c:pt>
                <c:pt idx="2246">
                  <c:v>36479</c:v>
                </c:pt>
                <c:pt idx="2247">
                  <c:v>36480</c:v>
                </c:pt>
                <c:pt idx="2248">
                  <c:v>36481</c:v>
                </c:pt>
                <c:pt idx="2249">
                  <c:v>36482</c:v>
                </c:pt>
                <c:pt idx="2250">
                  <c:v>36483</c:v>
                </c:pt>
                <c:pt idx="2251">
                  <c:v>36486</c:v>
                </c:pt>
                <c:pt idx="2252">
                  <c:v>36487</c:v>
                </c:pt>
                <c:pt idx="2253">
                  <c:v>36488</c:v>
                </c:pt>
                <c:pt idx="2254">
                  <c:v>36489</c:v>
                </c:pt>
                <c:pt idx="2255">
                  <c:v>36490</c:v>
                </c:pt>
                <c:pt idx="2256">
                  <c:v>36493</c:v>
                </c:pt>
                <c:pt idx="2257">
                  <c:v>36494</c:v>
                </c:pt>
                <c:pt idx="2258">
                  <c:v>36495</c:v>
                </c:pt>
                <c:pt idx="2259">
                  <c:v>36496</c:v>
                </c:pt>
                <c:pt idx="2260">
                  <c:v>36497</c:v>
                </c:pt>
                <c:pt idx="2261">
                  <c:v>36500</c:v>
                </c:pt>
                <c:pt idx="2262">
                  <c:v>36501</c:v>
                </c:pt>
                <c:pt idx="2263">
                  <c:v>36502</c:v>
                </c:pt>
                <c:pt idx="2264">
                  <c:v>36503</c:v>
                </c:pt>
                <c:pt idx="2265">
                  <c:v>36504</c:v>
                </c:pt>
                <c:pt idx="2266">
                  <c:v>36507</c:v>
                </c:pt>
                <c:pt idx="2267">
                  <c:v>36508</c:v>
                </c:pt>
                <c:pt idx="2268">
                  <c:v>36509</c:v>
                </c:pt>
                <c:pt idx="2269">
                  <c:v>36510</c:v>
                </c:pt>
                <c:pt idx="2270">
                  <c:v>36511</c:v>
                </c:pt>
                <c:pt idx="2271">
                  <c:v>36514</c:v>
                </c:pt>
                <c:pt idx="2272">
                  <c:v>36515</c:v>
                </c:pt>
                <c:pt idx="2273">
                  <c:v>36516</c:v>
                </c:pt>
                <c:pt idx="2274">
                  <c:v>36517</c:v>
                </c:pt>
                <c:pt idx="2275">
                  <c:v>36521</c:v>
                </c:pt>
                <c:pt idx="2276">
                  <c:v>36522</c:v>
                </c:pt>
                <c:pt idx="2277">
                  <c:v>36523</c:v>
                </c:pt>
                <c:pt idx="2278">
                  <c:v>36524</c:v>
                </c:pt>
                <c:pt idx="2279">
                  <c:v>36528</c:v>
                </c:pt>
                <c:pt idx="2280">
                  <c:v>36529</c:v>
                </c:pt>
                <c:pt idx="2281">
                  <c:v>36530</c:v>
                </c:pt>
                <c:pt idx="2282">
                  <c:v>36531</c:v>
                </c:pt>
                <c:pt idx="2283">
                  <c:v>36532</c:v>
                </c:pt>
                <c:pt idx="2284">
                  <c:v>36535</c:v>
                </c:pt>
                <c:pt idx="2285">
                  <c:v>36536</c:v>
                </c:pt>
                <c:pt idx="2286">
                  <c:v>36537</c:v>
                </c:pt>
                <c:pt idx="2287">
                  <c:v>36538</c:v>
                </c:pt>
                <c:pt idx="2288">
                  <c:v>36539</c:v>
                </c:pt>
                <c:pt idx="2289">
                  <c:v>36542</c:v>
                </c:pt>
                <c:pt idx="2290">
                  <c:v>36543</c:v>
                </c:pt>
                <c:pt idx="2291">
                  <c:v>36544</c:v>
                </c:pt>
                <c:pt idx="2292">
                  <c:v>36545</c:v>
                </c:pt>
                <c:pt idx="2293">
                  <c:v>36546</c:v>
                </c:pt>
                <c:pt idx="2294">
                  <c:v>36549</c:v>
                </c:pt>
                <c:pt idx="2295">
                  <c:v>36550</c:v>
                </c:pt>
                <c:pt idx="2296">
                  <c:v>36551</c:v>
                </c:pt>
                <c:pt idx="2297">
                  <c:v>36552</c:v>
                </c:pt>
                <c:pt idx="2298">
                  <c:v>36553</c:v>
                </c:pt>
                <c:pt idx="2299">
                  <c:v>36556</c:v>
                </c:pt>
                <c:pt idx="2300">
                  <c:v>36557</c:v>
                </c:pt>
                <c:pt idx="2301">
                  <c:v>36558</c:v>
                </c:pt>
                <c:pt idx="2302">
                  <c:v>36559</c:v>
                </c:pt>
                <c:pt idx="2303">
                  <c:v>36560</c:v>
                </c:pt>
                <c:pt idx="2304">
                  <c:v>36563</c:v>
                </c:pt>
                <c:pt idx="2305">
                  <c:v>36564</c:v>
                </c:pt>
                <c:pt idx="2306">
                  <c:v>36565</c:v>
                </c:pt>
                <c:pt idx="2307">
                  <c:v>36566</c:v>
                </c:pt>
                <c:pt idx="2308">
                  <c:v>36567</c:v>
                </c:pt>
                <c:pt idx="2309">
                  <c:v>36570</c:v>
                </c:pt>
                <c:pt idx="2310">
                  <c:v>36571</c:v>
                </c:pt>
                <c:pt idx="2311">
                  <c:v>36572</c:v>
                </c:pt>
                <c:pt idx="2312">
                  <c:v>36573</c:v>
                </c:pt>
                <c:pt idx="2313">
                  <c:v>36574</c:v>
                </c:pt>
                <c:pt idx="2314">
                  <c:v>36577</c:v>
                </c:pt>
                <c:pt idx="2315">
                  <c:v>36578</c:v>
                </c:pt>
                <c:pt idx="2316">
                  <c:v>36579</c:v>
                </c:pt>
                <c:pt idx="2317">
                  <c:v>36580</c:v>
                </c:pt>
                <c:pt idx="2318">
                  <c:v>36581</c:v>
                </c:pt>
                <c:pt idx="2319">
                  <c:v>36584</c:v>
                </c:pt>
                <c:pt idx="2320">
                  <c:v>36585</c:v>
                </c:pt>
                <c:pt idx="2321">
                  <c:v>36586</c:v>
                </c:pt>
                <c:pt idx="2322">
                  <c:v>36587</c:v>
                </c:pt>
                <c:pt idx="2323">
                  <c:v>36588</c:v>
                </c:pt>
                <c:pt idx="2324">
                  <c:v>36591</c:v>
                </c:pt>
                <c:pt idx="2325">
                  <c:v>36592</c:v>
                </c:pt>
                <c:pt idx="2326">
                  <c:v>36593</c:v>
                </c:pt>
                <c:pt idx="2327">
                  <c:v>36594</c:v>
                </c:pt>
                <c:pt idx="2328">
                  <c:v>36595</c:v>
                </c:pt>
                <c:pt idx="2329">
                  <c:v>36598</c:v>
                </c:pt>
                <c:pt idx="2330">
                  <c:v>36599</c:v>
                </c:pt>
                <c:pt idx="2331">
                  <c:v>36600</c:v>
                </c:pt>
                <c:pt idx="2332">
                  <c:v>36601</c:v>
                </c:pt>
                <c:pt idx="2333">
                  <c:v>36602</c:v>
                </c:pt>
                <c:pt idx="2334">
                  <c:v>36605</c:v>
                </c:pt>
                <c:pt idx="2335">
                  <c:v>36606</c:v>
                </c:pt>
                <c:pt idx="2336">
                  <c:v>36607</c:v>
                </c:pt>
                <c:pt idx="2337">
                  <c:v>36608</c:v>
                </c:pt>
                <c:pt idx="2338">
                  <c:v>36609</c:v>
                </c:pt>
                <c:pt idx="2339">
                  <c:v>36612</c:v>
                </c:pt>
                <c:pt idx="2340">
                  <c:v>36613</c:v>
                </c:pt>
                <c:pt idx="2341">
                  <c:v>36614</c:v>
                </c:pt>
                <c:pt idx="2342">
                  <c:v>36615</c:v>
                </c:pt>
                <c:pt idx="2343">
                  <c:v>36616</c:v>
                </c:pt>
                <c:pt idx="2344">
                  <c:v>36619</c:v>
                </c:pt>
                <c:pt idx="2345">
                  <c:v>36620</c:v>
                </c:pt>
                <c:pt idx="2346">
                  <c:v>36621</c:v>
                </c:pt>
                <c:pt idx="2347">
                  <c:v>36622</c:v>
                </c:pt>
                <c:pt idx="2348">
                  <c:v>36623</c:v>
                </c:pt>
                <c:pt idx="2349">
                  <c:v>36626</c:v>
                </c:pt>
                <c:pt idx="2350">
                  <c:v>36627</c:v>
                </c:pt>
                <c:pt idx="2351">
                  <c:v>36628</c:v>
                </c:pt>
                <c:pt idx="2352">
                  <c:v>36629</c:v>
                </c:pt>
                <c:pt idx="2353">
                  <c:v>36630</c:v>
                </c:pt>
                <c:pt idx="2354">
                  <c:v>36633</c:v>
                </c:pt>
                <c:pt idx="2355">
                  <c:v>36634</c:v>
                </c:pt>
                <c:pt idx="2356">
                  <c:v>36635</c:v>
                </c:pt>
                <c:pt idx="2357">
                  <c:v>36636</c:v>
                </c:pt>
                <c:pt idx="2358">
                  <c:v>36641</c:v>
                </c:pt>
                <c:pt idx="2359">
                  <c:v>36642</c:v>
                </c:pt>
                <c:pt idx="2360">
                  <c:v>36643</c:v>
                </c:pt>
                <c:pt idx="2361">
                  <c:v>36644</c:v>
                </c:pt>
                <c:pt idx="2362">
                  <c:v>36648</c:v>
                </c:pt>
                <c:pt idx="2363">
                  <c:v>36649</c:v>
                </c:pt>
                <c:pt idx="2364">
                  <c:v>36650</c:v>
                </c:pt>
                <c:pt idx="2365">
                  <c:v>36651</c:v>
                </c:pt>
                <c:pt idx="2366">
                  <c:v>36654</c:v>
                </c:pt>
                <c:pt idx="2367">
                  <c:v>36655</c:v>
                </c:pt>
                <c:pt idx="2368">
                  <c:v>36656</c:v>
                </c:pt>
                <c:pt idx="2369">
                  <c:v>36657</c:v>
                </c:pt>
                <c:pt idx="2370">
                  <c:v>36658</c:v>
                </c:pt>
                <c:pt idx="2371">
                  <c:v>36661</c:v>
                </c:pt>
                <c:pt idx="2372">
                  <c:v>36662</c:v>
                </c:pt>
                <c:pt idx="2373">
                  <c:v>36663</c:v>
                </c:pt>
                <c:pt idx="2374">
                  <c:v>36664</c:v>
                </c:pt>
                <c:pt idx="2375">
                  <c:v>36665</c:v>
                </c:pt>
                <c:pt idx="2376">
                  <c:v>36668</c:v>
                </c:pt>
                <c:pt idx="2377">
                  <c:v>36669</c:v>
                </c:pt>
                <c:pt idx="2378">
                  <c:v>36670</c:v>
                </c:pt>
                <c:pt idx="2379">
                  <c:v>36671</c:v>
                </c:pt>
                <c:pt idx="2380">
                  <c:v>36672</c:v>
                </c:pt>
                <c:pt idx="2381">
                  <c:v>36675</c:v>
                </c:pt>
                <c:pt idx="2382">
                  <c:v>36676</c:v>
                </c:pt>
                <c:pt idx="2383">
                  <c:v>36677</c:v>
                </c:pt>
                <c:pt idx="2384">
                  <c:v>36678</c:v>
                </c:pt>
                <c:pt idx="2385">
                  <c:v>36679</c:v>
                </c:pt>
                <c:pt idx="2386">
                  <c:v>36682</c:v>
                </c:pt>
                <c:pt idx="2387">
                  <c:v>36683</c:v>
                </c:pt>
                <c:pt idx="2388">
                  <c:v>36684</c:v>
                </c:pt>
                <c:pt idx="2389">
                  <c:v>36685</c:v>
                </c:pt>
                <c:pt idx="2390">
                  <c:v>36686</c:v>
                </c:pt>
                <c:pt idx="2391">
                  <c:v>36689</c:v>
                </c:pt>
                <c:pt idx="2392">
                  <c:v>36690</c:v>
                </c:pt>
                <c:pt idx="2393">
                  <c:v>36691</c:v>
                </c:pt>
                <c:pt idx="2394">
                  <c:v>36692</c:v>
                </c:pt>
                <c:pt idx="2395">
                  <c:v>36693</c:v>
                </c:pt>
                <c:pt idx="2396">
                  <c:v>36696</c:v>
                </c:pt>
                <c:pt idx="2397">
                  <c:v>36697</c:v>
                </c:pt>
                <c:pt idx="2398">
                  <c:v>36698</c:v>
                </c:pt>
                <c:pt idx="2399">
                  <c:v>36699</c:v>
                </c:pt>
                <c:pt idx="2400">
                  <c:v>36700</c:v>
                </c:pt>
                <c:pt idx="2401">
                  <c:v>36703</c:v>
                </c:pt>
                <c:pt idx="2402">
                  <c:v>36704</c:v>
                </c:pt>
                <c:pt idx="2403">
                  <c:v>36705</c:v>
                </c:pt>
                <c:pt idx="2404">
                  <c:v>36706</c:v>
                </c:pt>
                <c:pt idx="2405">
                  <c:v>36707</c:v>
                </c:pt>
                <c:pt idx="2406">
                  <c:v>36710</c:v>
                </c:pt>
                <c:pt idx="2407">
                  <c:v>36711</c:v>
                </c:pt>
                <c:pt idx="2408">
                  <c:v>36712</c:v>
                </c:pt>
                <c:pt idx="2409">
                  <c:v>36713</c:v>
                </c:pt>
                <c:pt idx="2410">
                  <c:v>36714</c:v>
                </c:pt>
                <c:pt idx="2411">
                  <c:v>36717</c:v>
                </c:pt>
                <c:pt idx="2412">
                  <c:v>36718</c:v>
                </c:pt>
                <c:pt idx="2413">
                  <c:v>36719</c:v>
                </c:pt>
                <c:pt idx="2414">
                  <c:v>36720</c:v>
                </c:pt>
                <c:pt idx="2415">
                  <c:v>36721</c:v>
                </c:pt>
                <c:pt idx="2416">
                  <c:v>36724</c:v>
                </c:pt>
                <c:pt idx="2417">
                  <c:v>36725</c:v>
                </c:pt>
                <c:pt idx="2418">
                  <c:v>36726</c:v>
                </c:pt>
                <c:pt idx="2419">
                  <c:v>36727</c:v>
                </c:pt>
                <c:pt idx="2420">
                  <c:v>36728</c:v>
                </c:pt>
                <c:pt idx="2421">
                  <c:v>36731</c:v>
                </c:pt>
                <c:pt idx="2422">
                  <c:v>36732</c:v>
                </c:pt>
                <c:pt idx="2423">
                  <c:v>36733</c:v>
                </c:pt>
                <c:pt idx="2424">
                  <c:v>36734</c:v>
                </c:pt>
                <c:pt idx="2425">
                  <c:v>36735</c:v>
                </c:pt>
                <c:pt idx="2426">
                  <c:v>36738</c:v>
                </c:pt>
                <c:pt idx="2427">
                  <c:v>36739</c:v>
                </c:pt>
                <c:pt idx="2428">
                  <c:v>36740</c:v>
                </c:pt>
                <c:pt idx="2429">
                  <c:v>36741</c:v>
                </c:pt>
                <c:pt idx="2430">
                  <c:v>36742</c:v>
                </c:pt>
                <c:pt idx="2431">
                  <c:v>36745</c:v>
                </c:pt>
                <c:pt idx="2432">
                  <c:v>36746</c:v>
                </c:pt>
                <c:pt idx="2433">
                  <c:v>36747</c:v>
                </c:pt>
                <c:pt idx="2434">
                  <c:v>36748</c:v>
                </c:pt>
                <c:pt idx="2435">
                  <c:v>36749</c:v>
                </c:pt>
                <c:pt idx="2436">
                  <c:v>36752</c:v>
                </c:pt>
                <c:pt idx="2437">
                  <c:v>36753</c:v>
                </c:pt>
                <c:pt idx="2438">
                  <c:v>36754</c:v>
                </c:pt>
                <c:pt idx="2439">
                  <c:v>36755</c:v>
                </c:pt>
                <c:pt idx="2440">
                  <c:v>36756</c:v>
                </c:pt>
                <c:pt idx="2441">
                  <c:v>36759</c:v>
                </c:pt>
                <c:pt idx="2442">
                  <c:v>36760</c:v>
                </c:pt>
                <c:pt idx="2443">
                  <c:v>36761</c:v>
                </c:pt>
                <c:pt idx="2444">
                  <c:v>36762</c:v>
                </c:pt>
                <c:pt idx="2445">
                  <c:v>36763</c:v>
                </c:pt>
                <c:pt idx="2446">
                  <c:v>36766</c:v>
                </c:pt>
                <c:pt idx="2447">
                  <c:v>36767</c:v>
                </c:pt>
                <c:pt idx="2448">
                  <c:v>36768</c:v>
                </c:pt>
                <c:pt idx="2449">
                  <c:v>36769</c:v>
                </c:pt>
                <c:pt idx="2450">
                  <c:v>36770</c:v>
                </c:pt>
                <c:pt idx="2451">
                  <c:v>36773</c:v>
                </c:pt>
                <c:pt idx="2452">
                  <c:v>36774</c:v>
                </c:pt>
                <c:pt idx="2453">
                  <c:v>36775</c:v>
                </c:pt>
                <c:pt idx="2454">
                  <c:v>36776</c:v>
                </c:pt>
                <c:pt idx="2455">
                  <c:v>36777</c:v>
                </c:pt>
                <c:pt idx="2456">
                  <c:v>36780</c:v>
                </c:pt>
                <c:pt idx="2457">
                  <c:v>36781</c:v>
                </c:pt>
                <c:pt idx="2458">
                  <c:v>36782</c:v>
                </c:pt>
                <c:pt idx="2459">
                  <c:v>36783</c:v>
                </c:pt>
                <c:pt idx="2460">
                  <c:v>36784</c:v>
                </c:pt>
                <c:pt idx="2461">
                  <c:v>36787</c:v>
                </c:pt>
                <c:pt idx="2462">
                  <c:v>36788</c:v>
                </c:pt>
                <c:pt idx="2463">
                  <c:v>36789</c:v>
                </c:pt>
                <c:pt idx="2464">
                  <c:v>36790</c:v>
                </c:pt>
                <c:pt idx="2465">
                  <c:v>36791</c:v>
                </c:pt>
                <c:pt idx="2466">
                  <c:v>36794</c:v>
                </c:pt>
                <c:pt idx="2467">
                  <c:v>36795</c:v>
                </c:pt>
                <c:pt idx="2468">
                  <c:v>36796</c:v>
                </c:pt>
                <c:pt idx="2469">
                  <c:v>36797</c:v>
                </c:pt>
                <c:pt idx="2470">
                  <c:v>36798</c:v>
                </c:pt>
                <c:pt idx="2471">
                  <c:v>36801</c:v>
                </c:pt>
                <c:pt idx="2472">
                  <c:v>36803</c:v>
                </c:pt>
                <c:pt idx="2473">
                  <c:v>36804</c:v>
                </c:pt>
                <c:pt idx="2474">
                  <c:v>36805</c:v>
                </c:pt>
                <c:pt idx="2475">
                  <c:v>36808</c:v>
                </c:pt>
                <c:pt idx="2476">
                  <c:v>36809</c:v>
                </c:pt>
                <c:pt idx="2477">
                  <c:v>36810</c:v>
                </c:pt>
                <c:pt idx="2478">
                  <c:v>36811</c:v>
                </c:pt>
                <c:pt idx="2479">
                  <c:v>36812</c:v>
                </c:pt>
                <c:pt idx="2480">
                  <c:v>36815</c:v>
                </c:pt>
                <c:pt idx="2481">
                  <c:v>36816</c:v>
                </c:pt>
                <c:pt idx="2482">
                  <c:v>36817</c:v>
                </c:pt>
                <c:pt idx="2483">
                  <c:v>36818</c:v>
                </c:pt>
                <c:pt idx="2484">
                  <c:v>36819</c:v>
                </c:pt>
                <c:pt idx="2485">
                  <c:v>36822</c:v>
                </c:pt>
                <c:pt idx="2486">
                  <c:v>36823</c:v>
                </c:pt>
                <c:pt idx="2487">
                  <c:v>36824</c:v>
                </c:pt>
                <c:pt idx="2488">
                  <c:v>36825</c:v>
                </c:pt>
                <c:pt idx="2489">
                  <c:v>36826</c:v>
                </c:pt>
                <c:pt idx="2490">
                  <c:v>36829</c:v>
                </c:pt>
                <c:pt idx="2491">
                  <c:v>36830</c:v>
                </c:pt>
                <c:pt idx="2492">
                  <c:v>36831</c:v>
                </c:pt>
                <c:pt idx="2493">
                  <c:v>36832</c:v>
                </c:pt>
                <c:pt idx="2494">
                  <c:v>36833</c:v>
                </c:pt>
                <c:pt idx="2495">
                  <c:v>36836</c:v>
                </c:pt>
                <c:pt idx="2496">
                  <c:v>36837</c:v>
                </c:pt>
                <c:pt idx="2497">
                  <c:v>36838</c:v>
                </c:pt>
                <c:pt idx="2498">
                  <c:v>36839</c:v>
                </c:pt>
                <c:pt idx="2499">
                  <c:v>36840</c:v>
                </c:pt>
                <c:pt idx="2500">
                  <c:v>36843</c:v>
                </c:pt>
                <c:pt idx="2501">
                  <c:v>36844</c:v>
                </c:pt>
                <c:pt idx="2502">
                  <c:v>36845</c:v>
                </c:pt>
                <c:pt idx="2503">
                  <c:v>36846</c:v>
                </c:pt>
                <c:pt idx="2504">
                  <c:v>36847</c:v>
                </c:pt>
                <c:pt idx="2505">
                  <c:v>36850</c:v>
                </c:pt>
                <c:pt idx="2506">
                  <c:v>36851</c:v>
                </c:pt>
                <c:pt idx="2507">
                  <c:v>36852</c:v>
                </c:pt>
                <c:pt idx="2508">
                  <c:v>36853</c:v>
                </c:pt>
                <c:pt idx="2509">
                  <c:v>36854</c:v>
                </c:pt>
                <c:pt idx="2510">
                  <c:v>36857</c:v>
                </c:pt>
                <c:pt idx="2511">
                  <c:v>36858</c:v>
                </c:pt>
                <c:pt idx="2512">
                  <c:v>36859</c:v>
                </c:pt>
                <c:pt idx="2513">
                  <c:v>36860</c:v>
                </c:pt>
                <c:pt idx="2514">
                  <c:v>36861</c:v>
                </c:pt>
                <c:pt idx="2515">
                  <c:v>36864</c:v>
                </c:pt>
                <c:pt idx="2516">
                  <c:v>36865</c:v>
                </c:pt>
                <c:pt idx="2517">
                  <c:v>36866</c:v>
                </c:pt>
                <c:pt idx="2518">
                  <c:v>36867</c:v>
                </c:pt>
                <c:pt idx="2519">
                  <c:v>36868</c:v>
                </c:pt>
                <c:pt idx="2520">
                  <c:v>36871</c:v>
                </c:pt>
                <c:pt idx="2521">
                  <c:v>36872</c:v>
                </c:pt>
                <c:pt idx="2522">
                  <c:v>36873</c:v>
                </c:pt>
                <c:pt idx="2523">
                  <c:v>36874</c:v>
                </c:pt>
                <c:pt idx="2524">
                  <c:v>36875</c:v>
                </c:pt>
                <c:pt idx="2525">
                  <c:v>36878</c:v>
                </c:pt>
                <c:pt idx="2526">
                  <c:v>36879</c:v>
                </c:pt>
                <c:pt idx="2527">
                  <c:v>36880</c:v>
                </c:pt>
                <c:pt idx="2528">
                  <c:v>36881</c:v>
                </c:pt>
                <c:pt idx="2529">
                  <c:v>36882</c:v>
                </c:pt>
                <c:pt idx="2530">
                  <c:v>36887</c:v>
                </c:pt>
                <c:pt idx="2531">
                  <c:v>36888</c:v>
                </c:pt>
                <c:pt idx="2532">
                  <c:v>36889</c:v>
                </c:pt>
                <c:pt idx="2533">
                  <c:v>36893</c:v>
                </c:pt>
                <c:pt idx="2534">
                  <c:v>36894</c:v>
                </c:pt>
                <c:pt idx="2535">
                  <c:v>36895</c:v>
                </c:pt>
                <c:pt idx="2536">
                  <c:v>36896</c:v>
                </c:pt>
                <c:pt idx="2537">
                  <c:v>36899</c:v>
                </c:pt>
                <c:pt idx="2538">
                  <c:v>36900</c:v>
                </c:pt>
                <c:pt idx="2539">
                  <c:v>36901</c:v>
                </c:pt>
                <c:pt idx="2540">
                  <c:v>36902</c:v>
                </c:pt>
                <c:pt idx="2541">
                  <c:v>36903</c:v>
                </c:pt>
                <c:pt idx="2542">
                  <c:v>36906</c:v>
                </c:pt>
                <c:pt idx="2543">
                  <c:v>36907</c:v>
                </c:pt>
                <c:pt idx="2544">
                  <c:v>36908</c:v>
                </c:pt>
                <c:pt idx="2545">
                  <c:v>36909</c:v>
                </c:pt>
                <c:pt idx="2546">
                  <c:v>36910</c:v>
                </c:pt>
                <c:pt idx="2547">
                  <c:v>36913</c:v>
                </c:pt>
                <c:pt idx="2548">
                  <c:v>36914</c:v>
                </c:pt>
                <c:pt idx="2549">
                  <c:v>36915</c:v>
                </c:pt>
                <c:pt idx="2550">
                  <c:v>36916</c:v>
                </c:pt>
                <c:pt idx="2551">
                  <c:v>36917</c:v>
                </c:pt>
                <c:pt idx="2552">
                  <c:v>36920</c:v>
                </c:pt>
                <c:pt idx="2553">
                  <c:v>36921</c:v>
                </c:pt>
                <c:pt idx="2554">
                  <c:v>36922</c:v>
                </c:pt>
                <c:pt idx="2555">
                  <c:v>36923</c:v>
                </c:pt>
                <c:pt idx="2556">
                  <c:v>36924</c:v>
                </c:pt>
                <c:pt idx="2557">
                  <c:v>36927</c:v>
                </c:pt>
                <c:pt idx="2558">
                  <c:v>36928</c:v>
                </c:pt>
                <c:pt idx="2559">
                  <c:v>36929</c:v>
                </c:pt>
                <c:pt idx="2560">
                  <c:v>36930</c:v>
                </c:pt>
                <c:pt idx="2561">
                  <c:v>36931</c:v>
                </c:pt>
                <c:pt idx="2562">
                  <c:v>36934</c:v>
                </c:pt>
                <c:pt idx="2563">
                  <c:v>36935</c:v>
                </c:pt>
                <c:pt idx="2564">
                  <c:v>36936</c:v>
                </c:pt>
                <c:pt idx="2565">
                  <c:v>36937</c:v>
                </c:pt>
                <c:pt idx="2566">
                  <c:v>36938</c:v>
                </c:pt>
                <c:pt idx="2567">
                  <c:v>36941</c:v>
                </c:pt>
                <c:pt idx="2568">
                  <c:v>36942</c:v>
                </c:pt>
                <c:pt idx="2569">
                  <c:v>36943</c:v>
                </c:pt>
                <c:pt idx="2570">
                  <c:v>36944</c:v>
                </c:pt>
                <c:pt idx="2571">
                  <c:v>36945</c:v>
                </c:pt>
                <c:pt idx="2572">
                  <c:v>36948</c:v>
                </c:pt>
                <c:pt idx="2573">
                  <c:v>36949</c:v>
                </c:pt>
                <c:pt idx="2574">
                  <c:v>36950</c:v>
                </c:pt>
                <c:pt idx="2575">
                  <c:v>36951</c:v>
                </c:pt>
                <c:pt idx="2576">
                  <c:v>36952</c:v>
                </c:pt>
                <c:pt idx="2577">
                  <c:v>36955</c:v>
                </c:pt>
                <c:pt idx="2578">
                  <c:v>36956</c:v>
                </c:pt>
                <c:pt idx="2579">
                  <c:v>36957</c:v>
                </c:pt>
                <c:pt idx="2580">
                  <c:v>36958</c:v>
                </c:pt>
                <c:pt idx="2581">
                  <c:v>36959</c:v>
                </c:pt>
                <c:pt idx="2582">
                  <c:v>36962</c:v>
                </c:pt>
                <c:pt idx="2583">
                  <c:v>36963</c:v>
                </c:pt>
                <c:pt idx="2584">
                  <c:v>36964</c:v>
                </c:pt>
                <c:pt idx="2585">
                  <c:v>36965</c:v>
                </c:pt>
                <c:pt idx="2586">
                  <c:v>36966</c:v>
                </c:pt>
                <c:pt idx="2587">
                  <c:v>36969</c:v>
                </c:pt>
                <c:pt idx="2588">
                  <c:v>36970</c:v>
                </c:pt>
                <c:pt idx="2589">
                  <c:v>36971</c:v>
                </c:pt>
                <c:pt idx="2590">
                  <c:v>36972</c:v>
                </c:pt>
                <c:pt idx="2591">
                  <c:v>36973</c:v>
                </c:pt>
                <c:pt idx="2592">
                  <c:v>36976</c:v>
                </c:pt>
                <c:pt idx="2593">
                  <c:v>36977</c:v>
                </c:pt>
                <c:pt idx="2594">
                  <c:v>36978</c:v>
                </c:pt>
                <c:pt idx="2595">
                  <c:v>36979</c:v>
                </c:pt>
                <c:pt idx="2596">
                  <c:v>36980</c:v>
                </c:pt>
                <c:pt idx="2597">
                  <c:v>36983</c:v>
                </c:pt>
                <c:pt idx="2598">
                  <c:v>36984</c:v>
                </c:pt>
                <c:pt idx="2599">
                  <c:v>36985</c:v>
                </c:pt>
                <c:pt idx="2600">
                  <c:v>36986</c:v>
                </c:pt>
                <c:pt idx="2601">
                  <c:v>36987</c:v>
                </c:pt>
                <c:pt idx="2602">
                  <c:v>36990</c:v>
                </c:pt>
                <c:pt idx="2603">
                  <c:v>36991</c:v>
                </c:pt>
                <c:pt idx="2604">
                  <c:v>36992</c:v>
                </c:pt>
                <c:pt idx="2605">
                  <c:v>36993</c:v>
                </c:pt>
                <c:pt idx="2606">
                  <c:v>36998</c:v>
                </c:pt>
                <c:pt idx="2607">
                  <c:v>36999</c:v>
                </c:pt>
                <c:pt idx="2608">
                  <c:v>37000</c:v>
                </c:pt>
                <c:pt idx="2609">
                  <c:v>37001</c:v>
                </c:pt>
                <c:pt idx="2610">
                  <c:v>37004</c:v>
                </c:pt>
                <c:pt idx="2611">
                  <c:v>37005</c:v>
                </c:pt>
                <c:pt idx="2612">
                  <c:v>37006</c:v>
                </c:pt>
                <c:pt idx="2613">
                  <c:v>37007</c:v>
                </c:pt>
                <c:pt idx="2614">
                  <c:v>37008</c:v>
                </c:pt>
                <c:pt idx="2615">
                  <c:v>37011</c:v>
                </c:pt>
                <c:pt idx="2616">
                  <c:v>37013</c:v>
                </c:pt>
                <c:pt idx="2617">
                  <c:v>37014</c:v>
                </c:pt>
                <c:pt idx="2618">
                  <c:v>37015</c:v>
                </c:pt>
                <c:pt idx="2619">
                  <c:v>37018</c:v>
                </c:pt>
                <c:pt idx="2620">
                  <c:v>37019</c:v>
                </c:pt>
                <c:pt idx="2621">
                  <c:v>37020</c:v>
                </c:pt>
                <c:pt idx="2622">
                  <c:v>37021</c:v>
                </c:pt>
                <c:pt idx="2623">
                  <c:v>37022</c:v>
                </c:pt>
                <c:pt idx="2624">
                  <c:v>37025</c:v>
                </c:pt>
                <c:pt idx="2625">
                  <c:v>37026</c:v>
                </c:pt>
                <c:pt idx="2626">
                  <c:v>37027</c:v>
                </c:pt>
                <c:pt idx="2627">
                  <c:v>37028</c:v>
                </c:pt>
                <c:pt idx="2628">
                  <c:v>37029</c:v>
                </c:pt>
                <c:pt idx="2629">
                  <c:v>37032</c:v>
                </c:pt>
                <c:pt idx="2630">
                  <c:v>37033</c:v>
                </c:pt>
                <c:pt idx="2631">
                  <c:v>37034</c:v>
                </c:pt>
                <c:pt idx="2632">
                  <c:v>37035</c:v>
                </c:pt>
                <c:pt idx="2633">
                  <c:v>37036</c:v>
                </c:pt>
                <c:pt idx="2634">
                  <c:v>37039</c:v>
                </c:pt>
                <c:pt idx="2635">
                  <c:v>37040</c:v>
                </c:pt>
                <c:pt idx="2636">
                  <c:v>37041</c:v>
                </c:pt>
                <c:pt idx="2637">
                  <c:v>37042</c:v>
                </c:pt>
                <c:pt idx="2638">
                  <c:v>37043</c:v>
                </c:pt>
                <c:pt idx="2639">
                  <c:v>37046</c:v>
                </c:pt>
                <c:pt idx="2640">
                  <c:v>37047</c:v>
                </c:pt>
                <c:pt idx="2641">
                  <c:v>37048</c:v>
                </c:pt>
                <c:pt idx="2642">
                  <c:v>37049</c:v>
                </c:pt>
                <c:pt idx="2643">
                  <c:v>37050</c:v>
                </c:pt>
                <c:pt idx="2644">
                  <c:v>37053</c:v>
                </c:pt>
                <c:pt idx="2645">
                  <c:v>37054</c:v>
                </c:pt>
                <c:pt idx="2646">
                  <c:v>37055</c:v>
                </c:pt>
                <c:pt idx="2647">
                  <c:v>37056</c:v>
                </c:pt>
                <c:pt idx="2648">
                  <c:v>37057</c:v>
                </c:pt>
                <c:pt idx="2649">
                  <c:v>37060</c:v>
                </c:pt>
                <c:pt idx="2650">
                  <c:v>37061</c:v>
                </c:pt>
                <c:pt idx="2651">
                  <c:v>37062</c:v>
                </c:pt>
                <c:pt idx="2652">
                  <c:v>37063</c:v>
                </c:pt>
                <c:pt idx="2653">
                  <c:v>37064</c:v>
                </c:pt>
                <c:pt idx="2654">
                  <c:v>37067</c:v>
                </c:pt>
                <c:pt idx="2655">
                  <c:v>37068</c:v>
                </c:pt>
                <c:pt idx="2656">
                  <c:v>37069</c:v>
                </c:pt>
                <c:pt idx="2657">
                  <c:v>37070</c:v>
                </c:pt>
                <c:pt idx="2658">
                  <c:v>37071</c:v>
                </c:pt>
                <c:pt idx="2659">
                  <c:v>37074</c:v>
                </c:pt>
                <c:pt idx="2660">
                  <c:v>37075</c:v>
                </c:pt>
                <c:pt idx="2661">
                  <c:v>37076</c:v>
                </c:pt>
                <c:pt idx="2662">
                  <c:v>37077</c:v>
                </c:pt>
                <c:pt idx="2663">
                  <c:v>37078</c:v>
                </c:pt>
                <c:pt idx="2664">
                  <c:v>37081</c:v>
                </c:pt>
                <c:pt idx="2665">
                  <c:v>37082</c:v>
                </c:pt>
                <c:pt idx="2666">
                  <c:v>37083</c:v>
                </c:pt>
                <c:pt idx="2667">
                  <c:v>37084</c:v>
                </c:pt>
                <c:pt idx="2668">
                  <c:v>37085</c:v>
                </c:pt>
                <c:pt idx="2669">
                  <c:v>37088</c:v>
                </c:pt>
                <c:pt idx="2670">
                  <c:v>37089</c:v>
                </c:pt>
                <c:pt idx="2671">
                  <c:v>37090</c:v>
                </c:pt>
                <c:pt idx="2672">
                  <c:v>37091</c:v>
                </c:pt>
                <c:pt idx="2673">
                  <c:v>37092</c:v>
                </c:pt>
                <c:pt idx="2674">
                  <c:v>37095</c:v>
                </c:pt>
                <c:pt idx="2675">
                  <c:v>37096</c:v>
                </c:pt>
                <c:pt idx="2676">
                  <c:v>37097</c:v>
                </c:pt>
                <c:pt idx="2677">
                  <c:v>37098</c:v>
                </c:pt>
                <c:pt idx="2678">
                  <c:v>37099</c:v>
                </c:pt>
                <c:pt idx="2679">
                  <c:v>37102</c:v>
                </c:pt>
                <c:pt idx="2680">
                  <c:v>37103</c:v>
                </c:pt>
                <c:pt idx="2681">
                  <c:v>37104</c:v>
                </c:pt>
                <c:pt idx="2682">
                  <c:v>37105</c:v>
                </c:pt>
                <c:pt idx="2683">
                  <c:v>37106</c:v>
                </c:pt>
                <c:pt idx="2684">
                  <c:v>37109</c:v>
                </c:pt>
                <c:pt idx="2685">
                  <c:v>37110</c:v>
                </c:pt>
                <c:pt idx="2686">
                  <c:v>37111</c:v>
                </c:pt>
                <c:pt idx="2687">
                  <c:v>37112</c:v>
                </c:pt>
                <c:pt idx="2688">
                  <c:v>37113</c:v>
                </c:pt>
                <c:pt idx="2689">
                  <c:v>37116</c:v>
                </c:pt>
                <c:pt idx="2690">
                  <c:v>37117</c:v>
                </c:pt>
                <c:pt idx="2691">
                  <c:v>37118</c:v>
                </c:pt>
                <c:pt idx="2692">
                  <c:v>37119</c:v>
                </c:pt>
                <c:pt idx="2693">
                  <c:v>37120</c:v>
                </c:pt>
                <c:pt idx="2694">
                  <c:v>37123</c:v>
                </c:pt>
                <c:pt idx="2695">
                  <c:v>37124</c:v>
                </c:pt>
                <c:pt idx="2696">
                  <c:v>37125</c:v>
                </c:pt>
                <c:pt idx="2697">
                  <c:v>37126</c:v>
                </c:pt>
                <c:pt idx="2698">
                  <c:v>37127</c:v>
                </c:pt>
                <c:pt idx="2699">
                  <c:v>37130</c:v>
                </c:pt>
                <c:pt idx="2700">
                  <c:v>37131</c:v>
                </c:pt>
                <c:pt idx="2701">
                  <c:v>37132</c:v>
                </c:pt>
                <c:pt idx="2702">
                  <c:v>37133</c:v>
                </c:pt>
                <c:pt idx="2703">
                  <c:v>37134</c:v>
                </c:pt>
                <c:pt idx="2704">
                  <c:v>37137</c:v>
                </c:pt>
                <c:pt idx="2705">
                  <c:v>37138</c:v>
                </c:pt>
                <c:pt idx="2706">
                  <c:v>37139</c:v>
                </c:pt>
                <c:pt idx="2707">
                  <c:v>37140</c:v>
                </c:pt>
                <c:pt idx="2708">
                  <c:v>37141</c:v>
                </c:pt>
                <c:pt idx="2709">
                  <c:v>37144</c:v>
                </c:pt>
                <c:pt idx="2710">
                  <c:v>37146</c:v>
                </c:pt>
                <c:pt idx="2711">
                  <c:v>37147</c:v>
                </c:pt>
                <c:pt idx="2712">
                  <c:v>37148</c:v>
                </c:pt>
                <c:pt idx="2713">
                  <c:v>37151</c:v>
                </c:pt>
                <c:pt idx="2714">
                  <c:v>37152</c:v>
                </c:pt>
                <c:pt idx="2715">
                  <c:v>37153</c:v>
                </c:pt>
                <c:pt idx="2716">
                  <c:v>37154</c:v>
                </c:pt>
                <c:pt idx="2717">
                  <c:v>37155</c:v>
                </c:pt>
                <c:pt idx="2718">
                  <c:v>37158</c:v>
                </c:pt>
                <c:pt idx="2719">
                  <c:v>37159</c:v>
                </c:pt>
                <c:pt idx="2720">
                  <c:v>37160</c:v>
                </c:pt>
                <c:pt idx="2721">
                  <c:v>37161</c:v>
                </c:pt>
                <c:pt idx="2722">
                  <c:v>37162</c:v>
                </c:pt>
                <c:pt idx="2723">
                  <c:v>37165</c:v>
                </c:pt>
                <c:pt idx="2724">
                  <c:v>37166</c:v>
                </c:pt>
                <c:pt idx="2725">
                  <c:v>37167</c:v>
                </c:pt>
                <c:pt idx="2726">
                  <c:v>37168</c:v>
                </c:pt>
                <c:pt idx="2727">
                  <c:v>37169</c:v>
                </c:pt>
                <c:pt idx="2728">
                  <c:v>37172</c:v>
                </c:pt>
                <c:pt idx="2729">
                  <c:v>37173</c:v>
                </c:pt>
                <c:pt idx="2730">
                  <c:v>37174</c:v>
                </c:pt>
                <c:pt idx="2731">
                  <c:v>37175</c:v>
                </c:pt>
                <c:pt idx="2732">
                  <c:v>37176</c:v>
                </c:pt>
                <c:pt idx="2733">
                  <c:v>37179</c:v>
                </c:pt>
                <c:pt idx="2734">
                  <c:v>37180</c:v>
                </c:pt>
                <c:pt idx="2735">
                  <c:v>37181</c:v>
                </c:pt>
                <c:pt idx="2736">
                  <c:v>37182</c:v>
                </c:pt>
                <c:pt idx="2737">
                  <c:v>37183</c:v>
                </c:pt>
                <c:pt idx="2738">
                  <c:v>37186</c:v>
                </c:pt>
                <c:pt idx="2739">
                  <c:v>37187</c:v>
                </c:pt>
                <c:pt idx="2740">
                  <c:v>37188</c:v>
                </c:pt>
                <c:pt idx="2741">
                  <c:v>37189</c:v>
                </c:pt>
                <c:pt idx="2742">
                  <c:v>37190</c:v>
                </c:pt>
                <c:pt idx="2743">
                  <c:v>37193</c:v>
                </c:pt>
                <c:pt idx="2744">
                  <c:v>37194</c:v>
                </c:pt>
                <c:pt idx="2745">
                  <c:v>37195</c:v>
                </c:pt>
                <c:pt idx="2746">
                  <c:v>37196</c:v>
                </c:pt>
                <c:pt idx="2747">
                  <c:v>37197</c:v>
                </c:pt>
                <c:pt idx="2748">
                  <c:v>37200</c:v>
                </c:pt>
                <c:pt idx="2749">
                  <c:v>37201</c:v>
                </c:pt>
                <c:pt idx="2750">
                  <c:v>37202</c:v>
                </c:pt>
                <c:pt idx="2751">
                  <c:v>37203</c:v>
                </c:pt>
                <c:pt idx="2752">
                  <c:v>37204</c:v>
                </c:pt>
                <c:pt idx="2753">
                  <c:v>37207</c:v>
                </c:pt>
                <c:pt idx="2754">
                  <c:v>37208</c:v>
                </c:pt>
                <c:pt idx="2755">
                  <c:v>37209</c:v>
                </c:pt>
                <c:pt idx="2756">
                  <c:v>37210</c:v>
                </c:pt>
                <c:pt idx="2757">
                  <c:v>37211</c:v>
                </c:pt>
                <c:pt idx="2758">
                  <c:v>37214</c:v>
                </c:pt>
                <c:pt idx="2759">
                  <c:v>37215</c:v>
                </c:pt>
                <c:pt idx="2760">
                  <c:v>37216</c:v>
                </c:pt>
                <c:pt idx="2761">
                  <c:v>37217</c:v>
                </c:pt>
                <c:pt idx="2762">
                  <c:v>37218</c:v>
                </c:pt>
                <c:pt idx="2763">
                  <c:v>37221</c:v>
                </c:pt>
                <c:pt idx="2764">
                  <c:v>37222</c:v>
                </c:pt>
                <c:pt idx="2765">
                  <c:v>37223</c:v>
                </c:pt>
                <c:pt idx="2766">
                  <c:v>37224</c:v>
                </c:pt>
                <c:pt idx="2767">
                  <c:v>37225</c:v>
                </c:pt>
                <c:pt idx="2768">
                  <c:v>37228</c:v>
                </c:pt>
                <c:pt idx="2769">
                  <c:v>37229</c:v>
                </c:pt>
                <c:pt idx="2770">
                  <c:v>37230</c:v>
                </c:pt>
                <c:pt idx="2771">
                  <c:v>37231</c:v>
                </c:pt>
                <c:pt idx="2772">
                  <c:v>37232</c:v>
                </c:pt>
                <c:pt idx="2773">
                  <c:v>37235</c:v>
                </c:pt>
                <c:pt idx="2774">
                  <c:v>37236</c:v>
                </c:pt>
                <c:pt idx="2775">
                  <c:v>37237</c:v>
                </c:pt>
                <c:pt idx="2776">
                  <c:v>37238</c:v>
                </c:pt>
                <c:pt idx="2777">
                  <c:v>37239</c:v>
                </c:pt>
                <c:pt idx="2778">
                  <c:v>37242</c:v>
                </c:pt>
                <c:pt idx="2779">
                  <c:v>37243</c:v>
                </c:pt>
                <c:pt idx="2780">
                  <c:v>37244</c:v>
                </c:pt>
                <c:pt idx="2781">
                  <c:v>37245</c:v>
                </c:pt>
                <c:pt idx="2782">
                  <c:v>37246</c:v>
                </c:pt>
                <c:pt idx="2783">
                  <c:v>37252</c:v>
                </c:pt>
                <c:pt idx="2784">
                  <c:v>37253</c:v>
                </c:pt>
                <c:pt idx="2785">
                  <c:v>37258</c:v>
                </c:pt>
                <c:pt idx="2786">
                  <c:v>37259</c:v>
                </c:pt>
                <c:pt idx="2787">
                  <c:v>37260</c:v>
                </c:pt>
                <c:pt idx="2788">
                  <c:v>37263</c:v>
                </c:pt>
                <c:pt idx="2789">
                  <c:v>37264</c:v>
                </c:pt>
                <c:pt idx="2790">
                  <c:v>37265</c:v>
                </c:pt>
                <c:pt idx="2791">
                  <c:v>37266</c:v>
                </c:pt>
                <c:pt idx="2792">
                  <c:v>37267</c:v>
                </c:pt>
                <c:pt idx="2793">
                  <c:v>37270</c:v>
                </c:pt>
                <c:pt idx="2794">
                  <c:v>37271</c:v>
                </c:pt>
                <c:pt idx="2795">
                  <c:v>37272</c:v>
                </c:pt>
                <c:pt idx="2796">
                  <c:v>37273</c:v>
                </c:pt>
                <c:pt idx="2797">
                  <c:v>37274</c:v>
                </c:pt>
                <c:pt idx="2798">
                  <c:v>37277</c:v>
                </c:pt>
                <c:pt idx="2799">
                  <c:v>37278</c:v>
                </c:pt>
                <c:pt idx="2800">
                  <c:v>37279</c:v>
                </c:pt>
                <c:pt idx="2801">
                  <c:v>37280</c:v>
                </c:pt>
                <c:pt idx="2802">
                  <c:v>37281</c:v>
                </c:pt>
                <c:pt idx="2803">
                  <c:v>37284</c:v>
                </c:pt>
                <c:pt idx="2804">
                  <c:v>37285</c:v>
                </c:pt>
                <c:pt idx="2805">
                  <c:v>37286</c:v>
                </c:pt>
                <c:pt idx="2806">
                  <c:v>37287</c:v>
                </c:pt>
                <c:pt idx="2807">
                  <c:v>37288</c:v>
                </c:pt>
                <c:pt idx="2808">
                  <c:v>37291</c:v>
                </c:pt>
                <c:pt idx="2809">
                  <c:v>37292</c:v>
                </c:pt>
                <c:pt idx="2810">
                  <c:v>37293</c:v>
                </c:pt>
                <c:pt idx="2811">
                  <c:v>37294</c:v>
                </c:pt>
                <c:pt idx="2812">
                  <c:v>37295</c:v>
                </c:pt>
                <c:pt idx="2813">
                  <c:v>37298</c:v>
                </c:pt>
                <c:pt idx="2814">
                  <c:v>37299</c:v>
                </c:pt>
                <c:pt idx="2815">
                  <c:v>37300</c:v>
                </c:pt>
                <c:pt idx="2816">
                  <c:v>37301</c:v>
                </c:pt>
                <c:pt idx="2817">
                  <c:v>37302</c:v>
                </c:pt>
                <c:pt idx="2818">
                  <c:v>37305</c:v>
                </c:pt>
                <c:pt idx="2819">
                  <c:v>37306</c:v>
                </c:pt>
                <c:pt idx="2820">
                  <c:v>37307</c:v>
                </c:pt>
                <c:pt idx="2821">
                  <c:v>37308</c:v>
                </c:pt>
                <c:pt idx="2822">
                  <c:v>37309</c:v>
                </c:pt>
                <c:pt idx="2823">
                  <c:v>37312</c:v>
                </c:pt>
                <c:pt idx="2824">
                  <c:v>37313</c:v>
                </c:pt>
                <c:pt idx="2825">
                  <c:v>37314</c:v>
                </c:pt>
                <c:pt idx="2826">
                  <c:v>37315</c:v>
                </c:pt>
                <c:pt idx="2827">
                  <c:v>37316</c:v>
                </c:pt>
                <c:pt idx="2828">
                  <c:v>37319</c:v>
                </c:pt>
                <c:pt idx="2829">
                  <c:v>37320</c:v>
                </c:pt>
                <c:pt idx="2830">
                  <c:v>37321</c:v>
                </c:pt>
                <c:pt idx="2831">
                  <c:v>37322</c:v>
                </c:pt>
                <c:pt idx="2832">
                  <c:v>37323</c:v>
                </c:pt>
                <c:pt idx="2833">
                  <c:v>37326</c:v>
                </c:pt>
                <c:pt idx="2834">
                  <c:v>37327</c:v>
                </c:pt>
                <c:pt idx="2835">
                  <c:v>37328</c:v>
                </c:pt>
                <c:pt idx="2836">
                  <c:v>37329</c:v>
                </c:pt>
                <c:pt idx="2837">
                  <c:v>37330</c:v>
                </c:pt>
                <c:pt idx="2838">
                  <c:v>37333</c:v>
                </c:pt>
                <c:pt idx="2839">
                  <c:v>37334</c:v>
                </c:pt>
                <c:pt idx="2840">
                  <c:v>37335</c:v>
                </c:pt>
                <c:pt idx="2841">
                  <c:v>37336</c:v>
                </c:pt>
                <c:pt idx="2842">
                  <c:v>37337</c:v>
                </c:pt>
                <c:pt idx="2843">
                  <c:v>37340</c:v>
                </c:pt>
                <c:pt idx="2844">
                  <c:v>37341</c:v>
                </c:pt>
                <c:pt idx="2845">
                  <c:v>37342</c:v>
                </c:pt>
                <c:pt idx="2846">
                  <c:v>37343</c:v>
                </c:pt>
                <c:pt idx="2847">
                  <c:v>37348</c:v>
                </c:pt>
                <c:pt idx="2848">
                  <c:v>37349</c:v>
                </c:pt>
                <c:pt idx="2849">
                  <c:v>37350</c:v>
                </c:pt>
                <c:pt idx="2850">
                  <c:v>37351</c:v>
                </c:pt>
                <c:pt idx="2851">
                  <c:v>37354</c:v>
                </c:pt>
                <c:pt idx="2852">
                  <c:v>37355</c:v>
                </c:pt>
                <c:pt idx="2853">
                  <c:v>37356</c:v>
                </c:pt>
                <c:pt idx="2854">
                  <c:v>37357</c:v>
                </c:pt>
                <c:pt idx="2855">
                  <c:v>37358</c:v>
                </c:pt>
                <c:pt idx="2856">
                  <c:v>37361</c:v>
                </c:pt>
                <c:pt idx="2857">
                  <c:v>37362</c:v>
                </c:pt>
                <c:pt idx="2858">
                  <c:v>37363</c:v>
                </c:pt>
                <c:pt idx="2859">
                  <c:v>37364</c:v>
                </c:pt>
                <c:pt idx="2860">
                  <c:v>37365</c:v>
                </c:pt>
                <c:pt idx="2861">
                  <c:v>37368</c:v>
                </c:pt>
                <c:pt idx="2862">
                  <c:v>37369</c:v>
                </c:pt>
                <c:pt idx="2863">
                  <c:v>37370</c:v>
                </c:pt>
                <c:pt idx="2864">
                  <c:v>37371</c:v>
                </c:pt>
                <c:pt idx="2865">
                  <c:v>37372</c:v>
                </c:pt>
                <c:pt idx="2866">
                  <c:v>37375</c:v>
                </c:pt>
                <c:pt idx="2867">
                  <c:v>37376</c:v>
                </c:pt>
                <c:pt idx="2868">
                  <c:v>37378</c:v>
                </c:pt>
                <c:pt idx="2869">
                  <c:v>37379</c:v>
                </c:pt>
                <c:pt idx="2870">
                  <c:v>37382</c:v>
                </c:pt>
                <c:pt idx="2871">
                  <c:v>37383</c:v>
                </c:pt>
                <c:pt idx="2872">
                  <c:v>37384</c:v>
                </c:pt>
                <c:pt idx="2873">
                  <c:v>37385</c:v>
                </c:pt>
                <c:pt idx="2874">
                  <c:v>37386</c:v>
                </c:pt>
                <c:pt idx="2875">
                  <c:v>37389</c:v>
                </c:pt>
                <c:pt idx="2876">
                  <c:v>37390</c:v>
                </c:pt>
                <c:pt idx="2877">
                  <c:v>37391</c:v>
                </c:pt>
                <c:pt idx="2878">
                  <c:v>37392</c:v>
                </c:pt>
                <c:pt idx="2879">
                  <c:v>37393</c:v>
                </c:pt>
                <c:pt idx="2880">
                  <c:v>37396</c:v>
                </c:pt>
                <c:pt idx="2881">
                  <c:v>37397</c:v>
                </c:pt>
                <c:pt idx="2882">
                  <c:v>37398</c:v>
                </c:pt>
                <c:pt idx="2883">
                  <c:v>37399</c:v>
                </c:pt>
                <c:pt idx="2884">
                  <c:v>37400</c:v>
                </c:pt>
                <c:pt idx="2885">
                  <c:v>37403</c:v>
                </c:pt>
                <c:pt idx="2886">
                  <c:v>37404</c:v>
                </c:pt>
                <c:pt idx="2887">
                  <c:v>37405</c:v>
                </c:pt>
                <c:pt idx="2888">
                  <c:v>37406</c:v>
                </c:pt>
                <c:pt idx="2889">
                  <c:v>37407</c:v>
                </c:pt>
                <c:pt idx="2890">
                  <c:v>37410</c:v>
                </c:pt>
                <c:pt idx="2891">
                  <c:v>37411</c:v>
                </c:pt>
                <c:pt idx="2892">
                  <c:v>37412</c:v>
                </c:pt>
                <c:pt idx="2893">
                  <c:v>37413</c:v>
                </c:pt>
                <c:pt idx="2894">
                  <c:v>37414</c:v>
                </c:pt>
                <c:pt idx="2895">
                  <c:v>37417</c:v>
                </c:pt>
                <c:pt idx="2896">
                  <c:v>37418</c:v>
                </c:pt>
                <c:pt idx="2897">
                  <c:v>37419</c:v>
                </c:pt>
                <c:pt idx="2898">
                  <c:v>37420</c:v>
                </c:pt>
                <c:pt idx="2899">
                  <c:v>37421</c:v>
                </c:pt>
                <c:pt idx="2900">
                  <c:v>37424</c:v>
                </c:pt>
                <c:pt idx="2901">
                  <c:v>37425</c:v>
                </c:pt>
                <c:pt idx="2902">
                  <c:v>37426</c:v>
                </c:pt>
                <c:pt idx="2903">
                  <c:v>37427</c:v>
                </c:pt>
                <c:pt idx="2904">
                  <c:v>37428</c:v>
                </c:pt>
                <c:pt idx="2905">
                  <c:v>37431</c:v>
                </c:pt>
                <c:pt idx="2906">
                  <c:v>37432</c:v>
                </c:pt>
                <c:pt idx="2907">
                  <c:v>37433</c:v>
                </c:pt>
                <c:pt idx="2908">
                  <c:v>37434</c:v>
                </c:pt>
                <c:pt idx="2909">
                  <c:v>37435</c:v>
                </c:pt>
                <c:pt idx="2910">
                  <c:v>37438</c:v>
                </c:pt>
                <c:pt idx="2911">
                  <c:v>37439</c:v>
                </c:pt>
                <c:pt idx="2912">
                  <c:v>37440</c:v>
                </c:pt>
                <c:pt idx="2913">
                  <c:v>37441</c:v>
                </c:pt>
                <c:pt idx="2914">
                  <c:v>37442</c:v>
                </c:pt>
                <c:pt idx="2915">
                  <c:v>37445</c:v>
                </c:pt>
                <c:pt idx="2916">
                  <c:v>37446</c:v>
                </c:pt>
                <c:pt idx="2917">
                  <c:v>37447</c:v>
                </c:pt>
                <c:pt idx="2918">
                  <c:v>37448</c:v>
                </c:pt>
                <c:pt idx="2919">
                  <c:v>37449</c:v>
                </c:pt>
                <c:pt idx="2920">
                  <c:v>37452</c:v>
                </c:pt>
                <c:pt idx="2921">
                  <c:v>37453</c:v>
                </c:pt>
                <c:pt idx="2922">
                  <c:v>37454</c:v>
                </c:pt>
                <c:pt idx="2923">
                  <c:v>37455</c:v>
                </c:pt>
                <c:pt idx="2924">
                  <c:v>37456</c:v>
                </c:pt>
                <c:pt idx="2925">
                  <c:v>37459</c:v>
                </c:pt>
                <c:pt idx="2926">
                  <c:v>37460</c:v>
                </c:pt>
                <c:pt idx="2927">
                  <c:v>37461</c:v>
                </c:pt>
                <c:pt idx="2928">
                  <c:v>37462</c:v>
                </c:pt>
                <c:pt idx="2929">
                  <c:v>37463</c:v>
                </c:pt>
                <c:pt idx="2930">
                  <c:v>37466</c:v>
                </c:pt>
                <c:pt idx="2931">
                  <c:v>37467</c:v>
                </c:pt>
                <c:pt idx="2932">
                  <c:v>37468</c:v>
                </c:pt>
                <c:pt idx="2933">
                  <c:v>37469</c:v>
                </c:pt>
                <c:pt idx="2934">
                  <c:v>37470</c:v>
                </c:pt>
                <c:pt idx="2935">
                  <c:v>37473</c:v>
                </c:pt>
                <c:pt idx="2936">
                  <c:v>37474</c:v>
                </c:pt>
                <c:pt idx="2937">
                  <c:v>37475</c:v>
                </c:pt>
                <c:pt idx="2938">
                  <c:v>37476</c:v>
                </c:pt>
                <c:pt idx="2939">
                  <c:v>37477</c:v>
                </c:pt>
                <c:pt idx="2940">
                  <c:v>37480</c:v>
                </c:pt>
                <c:pt idx="2941">
                  <c:v>37481</c:v>
                </c:pt>
                <c:pt idx="2942">
                  <c:v>37482</c:v>
                </c:pt>
                <c:pt idx="2943">
                  <c:v>37483</c:v>
                </c:pt>
                <c:pt idx="2944">
                  <c:v>37484</c:v>
                </c:pt>
                <c:pt idx="2945">
                  <c:v>37487</c:v>
                </c:pt>
                <c:pt idx="2946">
                  <c:v>37488</c:v>
                </c:pt>
                <c:pt idx="2947">
                  <c:v>37489</c:v>
                </c:pt>
                <c:pt idx="2948">
                  <c:v>37490</c:v>
                </c:pt>
                <c:pt idx="2949">
                  <c:v>37491</c:v>
                </c:pt>
                <c:pt idx="2950">
                  <c:v>37494</c:v>
                </c:pt>
                <c:pt idx="2951">
                  <c:v>37495</c:v>
                </c:pt>
                <c:pt idx="2952">
                  <c:v>37496</c:v>
                </c:pt>
                <c:pt idx="2953">
                  <c:v>37497</c:v>
                </c:pt>
                <c:pt idx="2954">
                  <c:v>37498</c:v>
                </c:pt>
                <c:pt idx="2955">
                  <c:v>37501</c:v>
                </c:pt>
                <c:pt idx="2956">
                  <c:v>37502</c:v>
                </c:pt>
                <c:pt idx="2957">
                  <c:v>37503</c:v>
                </c:pt>
                <c:pt idx="2958">
                  <c:v>37504</c:v>
                </c:pt>
                <c:pt idx="2959">
                  <c:v>37505</c:v>
                </c:pt>
                <c:pt idx="2960">
                  <c:v>37508</c:v>
                </c:pt>
                <c:pt idx="2961">
                  <c:v>37509</c:v>
                </c:pt>
                <c:pt idx="2962">
                  <c:v>37510</c:v>
                </c:pt>
                <c:pt idx="2963">
                  <c:v>37511</c:v>
                </c:pt>
                <c:pt idx="2964">
                  <c:v>37512</c:v>
                </c:pt>
                <c:pt idx="2965">
                  <c:v>37515</c:v>
                </c:pt>
                <c:pt idx="2966">
                  <c:v>37516</c:v>
                </c:pt>
                <c:pt idx="2967">
                  <c:v>37517</c:v>
                </c:pt>
                <c:pt idx="2968">
                  <c:v>37518</c:v>
                </c:pt>
                <c:pt idx="2969">
                  <c:v>37519</c:v>
                </c:pt>
                <c:pt idx="2970">
                  <c:v>37522</c:v>
                </c:pt>
                <c:pt idx="2971">
                  <c:v>37523</c:v>
                </c:pt>
                <c:pt idx="2972">
                  <c:v>37524</c:v>
                </c:pt>
                <c:pt idx="2973">
                  <c:v>37525</c:v>
                </c:pt>
                <c:pt idx="2974">
                  <c:v>37526</c:v>
                </c:pt>
                <c:pt idx="2975">
                  <c:v>37529</c:v>
                </c:pt>
                <c:pt idx="2976">
                  <c:v>37530</c:v>
                </c:pt>
                <c:pt idx="2977">
                  <c:v>37531</c:v>
                </c:pt>
                <c:pt idx="2978">
                  <c:v>37532</c:v>
                </c:pt>
                <c:pt idx="2979">
                  <c:v>37533</c:v>
                </c:pt>
                <c:pt idx="2980">
                  <c:v>37536</c:v>
                </c:pt>
                <c:pt idx="2981">
                  <c:v>37537</c:v>
                </c:pt>
                <c:pt idx="2982">
                  <c:v>37538</c:v>
                </c:pt>
                <c:pt idx="2983">
                  <c:v>37539</c:v>
                </c:pt>
                <c:pt idx="2984">
                  <c:v>37540</c:v>
                </c:pt>
                <c:pt idx="2985">
                  <c:v>37543</c:v>
                </c:pt>
                <c:pt idx="2986">
                  <c:v>37544</c:v>
                </c:pt>
                <c:pt idx="2987">
                  <c:v>37545</c:v>
                </c:pt>
                <c:pt idx="2988">
                  <c:v>37546</c:v>
                </c:pt>
                <c:pt idx="2989">
                  <c:v>37547</c:v>
                </c:pt>
                <c:pt idx="2990">
                  <c:v>37550</c:v>
                </c:pt>
                <c:pt idx="2991">
                  <c:v>37551</c:v>
                </c:pt>
                <c:pt idx="2992">
                  <c:v>37552</c:v>
                </c:pt>
                <c:pt idx="2993">
                  <c:v>37553</c:v>
                </c:pt>
                <c:pt idx="2994">
                  <c:v>37554</c:v>
                </c:pt>
                <c:pt idx="2995">
                  <c:v>37557</c:v>
                </c:pt>
                <c:pt idx="2996">
                  <c:v>37558</c:v>
                </c:pt>
                <c:pt idx="2997">
                  <c:v>37559</c:v>
                </c:pt>
                <c:pt idx="2998">
                  <c:v>37560</c:v>
                </c:pt>
                <c:pt idx="2999">
                  <c:v>37561</c:v>
                </c:pt>
                <c:pt idx="3000">
                  <c:v>37564</c:v>
                </c:pt>
                <c:pt idx="3001">
                  <c:v>37565</c:v>
                </c:pt>
                <c:pt idx="3002">
                  <c:v>37566</c:v>
                </c:pt>
                <c:pt idx="3003">
                  <c:v>37567</c:v>
                </c:pt>
                <c:pt idx="3004">
                  <c:v>37568</c:v>
                </c:pt>
                <c:pt idx="3005">
                  <c:v>37571</c:v>
                </c:pt>
                <c:pt idx="3006">
                  <c:v>37572</c:v>
                </c:pt>
                <c:pt idx="3007">
                  <c:v>37573</c:v>
                </c:pt>
                <c:pt idx="3008">
                  <c:v>37574</c:v>
                </c:pt>
                <c:pt idx="3009">
                  <c:v>37575</c:v>
                </c:pt>
                <c:pt idx="3010">
                  <c:v>37578</c:v>
                </c:pt>
                <c:pt idx="3011">
                  <c:v>37579</c:v>
                </c:pt>
                <c:pt idx="3012">
                  <c:v>37580</c:v>
                </c:pt>
                <c:pt idx="3013">
                  <c:v>37581</c:v>
                </c:pt>
                <c:pt idx="3014">
                  <c:v>37582</c:v>
                </c:pt>
                <c:pt idx="3015">
                  <c:v>37585</c:v>
                </c:pt>
                <c:pt idx="3016">
                  <c:v>37586</c:v>
                </c:pt>
                <c:pt idx="3017">
                  <c:v>37587</c:v>
                </c:pt>
                <c:pt idx="3018">
                  <c:v>37588</c:v>
                </c:pt>
                <c:pt idx="3019">
                  <c:v>37589</c:v>
                </c:pt>
                <c:pt idx="3020">
                  <c:v>37592</c:v>
                </c:pt>
                <c:pt idx="3021">
                  <c:v>37593</c:v>
                </c:pt>
                <c:pt idx="3022">
                  <c:v>37594</c:v>
                </c:pt>
                <c:pt idx="3023">
                  <c:v>37595</c:v>
                </c:pt>
                <c:pt idx="3024">
                  <c:v>37596</c:v>
                </c:pt>
                <c:pt idx="3025">
                  <c:v>37599</c:v>
                </c:pt>
                <c:pt idx="3026">
                  <c:v>37600</c:v>
                </c:pt>
                <c:pt idx="3027">
                  <c:v>37601</c:v>
                </c:pt>
                <c:pt idx="3028">
                  <c:v>37602</c:v>
                </c:pt>
                <c:pt idx="3029">
                  <c:v>37603</c:v>
                </c:pt>
                <c:pt idx="3030">
                  <c:v>37606</c:v>
                </c:pt>
                <c:pt idx="3031">
                  <c:v>37607</c:v>
                </c:pt>
                <c:pt idx="3032">
                  <c:v>37608</c:v>
                </c:pt>
                <c:pt idx="3033">
                  <c:v>37609</c:v>
                </c:pt>
                <c:pt idx="3034">
                  <c:v>37610</c:v>
                </c:pt>
                <c:pt idx="3035">
                  <c:v>37613</c:v>
                </c:pt>
                <c:pt idx="3036">
                  <c:v>37617</c:v>
                </c:pt>
                <c:pt idx="3037">
                  <c:v>37620</c:v>
                </c:pt>
                <c:pt idx="3038">
                  <c:v>37623</c:v>
                </c:pt>
                <c:pt idx="3039">
                  <c:v>37624</c:v>
                </c:pt>
                <c:pt idx="3040">
                  <c:v>37627</c:v>
                </c:pt>
                <c:pt idx="3041">
                  <c:v>37628</c:v>
                </c:pt>
                <c:pt idx="3042">
                  <c:v>37629</c:v>
                </c:pt>
                <c:pt idx="3043">
                  <c:v>37630</c:v>
                </c:pt>
                <c:pt idx="3044">
                  <c:v>37631</c:v>
                </c:pt>
                <c:pt idx="3045">
                  <c:v>37634</c:v>
                </c:pt>
                <c:pt idx="3046">
                  <c:v>37635</c:v>
                </c:pt>
                <c:pt idx="3047">
                  <c:v>37636</c:v>
                </c:pt>
                <c:pt idx="3048">
                  <c:v>37637</c:v>
                </c:pt>
                <c:pt idx="3049">
                  <c:v>37638</c:v>
                </c:pt>
                <c:pt idx="3050">
                  <c:v>37641</c:v>
                </c:pt>
                <c:pt idx="3051">
                  <c:v>37642</c:v>
                </c:pt>
                <c:pt idx="3052">
                  <c:v>37643</c:v>
                </c:pt>
                <c:pt idx="3053">
                  <c:v>37644</c:v>
                </c:pt>
                <c:pt idx="3054">
                  <c:v>37645</c:v>
                </c:pt>
                <c:pt idx="3055">
                  <c:v>37648</c:v>
                </c:pt>
                <c:pt idx="3056">
                  <c:v>37649</c:v>
                </c:pt>
                <c:pt idx="3057">
                  <c:v>37650</c:v>
                </c:pt>
                <c:pt idx="3058">
                  <c:v>37651</c:v>
                </c:pt>
                <c:pt idx="3059">
                  <c:v>37652</c:v>
                </c:pt>
                <c:pt idx="3060">
                  <c:v>37655</c:v>
                </c:pt>
                <c:pt idx="3061">
                  <c:v>37656</c:v>
                </c:pt>
                <c:pt idx="3062">
                  <c:v>37657</c:v>
                </c:pt>
                <c:pt idx="3063">
                  <c:v>37658</c:v>
                </c:pt>
                <c:pt idx="3064">
                  <c:v>37659</c:v>
                </c:pt>
                <c:pt idx="3065">
                  <c:v>37662</c:v>
                </c:pt>
                <c:pt idx="3066">
                  <c:v>37663</c:v>
                </c:pt>
                <c:pt idx="3067">
                  <c:v>37664</c:v>
                </c:pt>
                <c:pt idx="3068">
                  <c:v>37665</c:v>
                </c:pt>
                <c:pt idx="3069">
                  <c:v>37666</c:v>
                </c:pt>
                <c:pt idx="3070">
                  <c:v>37669</c:v>
                </c:pt>
                <c:pt idx="3071">
                  <c:v>37670</c:v>
                </c:pt>
                <c:pt idx="3072">
                  <c:v>37671</c:v>
                </c:pt>
                <c:pt idx="3073">
                  <c:v>37672</c:v>
                </c:pt>
                <c:pt idx="3074">
                  <c:v>37673</c:v>
                </c:pt>
                <c:pt idx="3075">
                  <c:v>37676</c:v>
                </c:pt>
                <c:pt idx="3076">
                  <c:v>37677</c:v>
                </c:pt>
                <c:pt idx="3077">
                  <c:v>37678</c:v>
                </c:pt>
                <c:pt idx="3078">
                  <c:v>37679</c:v>
                </c:pt>
                <c:pt idx="3079">
                  <c:v>37680</c:v>
                </c:pt>
                <c:pt idx="3080">
                  <c:v>37683</c:v>
                </c:pt>
                <c:pt idx="3081">
                  <c:v>37684</c:v>
                </c:pt>
                <c:pt idx="3082">
                  <c:v>37685</c:v>
                </c:pt>
                <c:pt idx="3083">
                  <c:v>37686</c:v>
                </c:pt>
                <c:pt idx="3084">
                  <c:v>37687</c:v>
                </c:pt>
                <c:pt idx="3085">
                  <c:v>37690</c:v>
                </c:pt>
                <c:pt idx="3086">
                  <c:v>37691</c:v>
                </c:pt>
                <c:pt idx="3087">
                  <c:v>37692</c:v>
                </c:pt>
                <c:pt idx="3088">
                  <c:v>37693</c:v>
                </c:pt>
                <c:pt idx="3089">
                  <c:v>37694</c:v>
                </c:pt>
                <c:pt idx="3090">
                  <c:v>37697</c:v>
                </c:pt>
                <c:pt idx="3091">
                  <c:v>37698</c:v>
                </c:pt>
                <c:pt idx="3092">
                  <c:v>37699</c:v>
                </c:pt>
                <c:pt idx="3093">
                  <c:v>37700</c:v>
                </c:pt>
                <c:pt idx="3094">
                  <c:v>37701</c:v>
                </c:pt>
                <c:pt idx="3095">
                  <c:v>37704</c:v>
                </c:pt>
                <c:pt idx="3096">
                  <c:v>37705</c:v>
                </c:pt>
                <c:pt idx="3097">
                  <c:v>37706</c:v>
                </c:pt>
                <c:pt idx="3098">
                  <c:v>37707</c:v>
                </c:pt>
                <c:pt idx="3099">
                  <c:v>37708</c:v>
                </c:pt>
                <c:pt idx="3100">
                  <c:v>37711</c:v>
                </c:pt>
                <c:pt idx="3101">
                  <c:v>37712</c:v>
                </c:pt>
                <c:pt idx="3102">
                  <c:v>37713</c:v>
                </c:pt>
                <c:pt idx="3103">
                  <c:v>37714</c:v>
                </c:pt>
                <c:pt idx="3104">
                  <c:v>37715</c:v>
                </c:pt>
                <c:pt idx="3105">
                  <c:v>37718</c:v>
                </c:pt>
                <c:pt idx="3106">
                  <c:v>37719</c:v>
                </c:pt>
                <c:pt idx="3107">
                  <c:v>37720</c:v>
                </c:pt>
                <c:pt idx="3108">
                  <c:v>37721</c:v>
                </c:pt>
                <c:pt idx="3109">
                  <c:v>37722</c:v>
                </c:pt>
                <c:pt idx="3110">
                  <c:v>37725</c:v>
                </c:pt>
                <c:pt idx="3111">
                  <c:v>37726</c:v>
                </c:pt>
                <c:pt idx="3112">
                  <c:v>37727</c:v>
                </c:pt>
                <c:pt idx="3113">
                  <c:v>37728</c:v>
                </c:pt>
                <c:pt idx="3114">
                  <c:v>37733</c:v>
                </c:pt>
                <c:pt idx="3115">
                  <c:v>37734</c:v>
                </c:pt>
                <c:pt idx="3116">
                  <c:v>37735</c:v>
                </c:pt>
                <c:pt idx="3117">
                  <c:v>37736</c:v>
                </c:pt>
                <c:pt idx="3118">
                  <c:v>37739</c:v>
                </c:pt>
                <c:pt idx="3119">
                  <c:v>37740</c:v>
                </c:pt>
                <c:pt idx="3120">
                  <c:v>37741</c:v>
                </c:pt>
                <c:pt idx="3121">
                  <c:v>37743</c:v>
                </c:pt>
                <c:pt idx="3122">
                  <c:v>37746</c:v>
                </c:pt>
                <c:pt idx="3123">
                  <c:v>37747</c:v>
                </c:pt>
                <c:pt idx="3124">
                  <c:v>37748</c:v>
                </c:pt>
                <c:pt idx="3125">
                  <c:v>37749</c:v>
                </c:pt>
                <c:pt idx="3126">
                  <c:v>37750</c:v>
                </c:pt>
                <c:pt idx="3127">
                  <c:v>37753</c:v>
                </c:pt>
                <c:pt idx="3128">
                  <c:v>37754</c:v>
                </c:pt>
                <c:pt idx="3129">
                  <c:v>37755</c:v>
                </c:pt>
                <c:pt idx="3130">
                  <c:v>37756</c:v>
                </c:pt>
                <c:pt idx="3131">
                  <c:v>37757</c:v>
                </c:pt>
                <c:pt idx="3132">
                  <c:v>37760</c:v>
                </c:pt>
                <c:pt idx="3133">
                  <c:v>37761</c:v>
                </c:pt>
                <c:pt idx="3134">
                  <c:v>37762</c:v>
                </c:pt>
                <c:pt idx="3135">
                  <c:v>37763</c:v>
                </c:pt>
                <c:pt idx="3136">
                  <c:v>37764</c:v>
                </c:pt>
                <c:pt idx="3137">
                  <c:v>37767</c:v>
                </c:pt>
                <c:pt idx="3138">
                  <c:v>37768</c:v>
                </c:pt>
                <c:pt idx="3139">
                  <c:v>37769</c:v>
                </c:pt>
                <c:pt idx="3140">
                  <c:v>37770</c:v>
                </c:pt>
                <c:pt idx="3141">
                  <c:v>37771</c:v>
                </c:pt>
                <c:pt idx="3142">
                  <c:v>37774</c:v>
                </c:pt>
                <c:pt idx="3143">
                  <c:v>37775</c:v>
                </c:pt>
                <c:pt idx="3144">
                  <c:v>37776</c:v>
                </c:pt>
                <c:pt idx="3145">
                  <c:v>37777</c:v>
                </c:pt>
                <c:pt idx="3146">
                  <c:v>37778</c:v>
                </c:pt>
                <c:pt idx="3147">
                  <c:v>37781</c:v>
                </c:pt>
                <c:pt idx="3148">
                  <c:v>37782</c:v>
                </c:pt>
                <c:pt idx="3149">
                  <c:v>37783</c:v>
                </c:pt>
                <c:pt idx="3150">
                  <c:v>37784</c:v>
                </c:pt>
                <c:pt idx="3151">
                  <c:v>37785</c:v>
                </c:pt>
                <c:pt idx="3152">
                  <c:v>37788</c:v>
                </c:pt>
                <c:pt idx="3153">
                  <c:v>37789</c:v>
                </c:pt>
                <c:pt idx="3154">
                  <c:v>37790</c:v>
                </c:pt>
                <c:pt idx="3155">
                  <c:v>37791</c:v>
                </c:pt>
                <c:pt idx="3156">
                  <c:v>37792</c:v>
                </c:pt>
                <c:pt idx="3157">
                  <c:v>37795</c:v>
                </c:pt>
                <c:pt idx="3158">
                  <c:v>37796</c:v>
                </c:pt>
                <c:pt idx="3159">
                  <c:v>37797</c:v>
                </c:pt>
                <c:pt idx="3160">
                  <c:v>37798</c:v>
                </c:pt>
                <c:pt idx="3161">
                  <c:v>37799</c:v>
                </c:pt>
                <c:pt idx="3162">
                  <c:v>37802</c:v>
                </c:pt>
                <c:pt idx="3163">
                  <c:v>37803</c:v>
                </c:pt>
                <c:pt idx="3164">
                  <c:v>37804</c:v>
                </c:pt>
                <c:pt idx="3165">
                  <c:v>37805</c:v>
                </c:pt>
                <c:pt idx="3166">
                  <c:v>37806</c:v>
                </c:pt>
                <c:pt idx="3167">
                  <c:v>37809</c:v>
                </c:pt>
                <c:pt idx="3168">
                  <c:v>37810</c:v>
                </c:pt>
                <c:pt idx="3169">
                  <c:v>37811</c:v>
                </c:pt>
                <c:pt idx="3170">
                  <c:v>37812</c:v>
                </c:pt>
                <c:pt idx="3171">
                  <c:v>37813</c:v>
                </c:pt>
                <c:pt idx="3172">
                  <c:v>37816</c:v>
                </c:pt>
                <c:pt idx="3173">
                  <c:v>37817</c:v>
                </c:pt>
                <c:pt idx="3174">
                  <c:v>37818</c:v>
                </c:pt>
                <c:pt idx="3175">
                  <c:v>37819</c:v>
                </c:pt>
                <c:pt idx="3176">
                  <c:v>37820</c:v>
                </c:pt>
                <c:pt idx="3177">
                  <c:v>37823</c:v>
                </c:pt>
                <c:pt idx="3178">
                  <c:v>37824</c:v>
                </c:pt>
                <c:pt idx="3179">
                  <c:v>37825</c:v>
                </c:pt>
                <c:pt idx="3180">
                  <c:v>37826</c:v>
                </c:pt>
                <c:pt idx="3181">
                  <c:v>37827</c:v>
                </c:pt>
                <c:pt idx="3182">
                  <c:v>37830</c:v>
                </c:pt>
                <c:pt idx="3183">
                  <c:v>37831</c:v>
                </c:pt>
                <c:pt idx="3184">
                  <c:v>37832</c:v>
                </c:pt>
                <c:pt idx="3185">
                  <c:v>37833</c:v>
                </c:pt>
                <c:pt idx="3186">
                  <c:v>37834</c:v>
                </c:pt>
                <c:pt idx="3187">
                  <c:v>37837</c:v>
                </c:pt>
                <c:pt idx="3188">
                  <c:v>37838</c:v>
                </c:pt>
                <c:pt idx="3189">
                  <c:v>37839</c:v>
                </c:pt>
                <c:pt idx="3190">
                  <c:v>37840</c:v>
                </c:pt>
                <c:pt idx="3191">
                  <c:v>37841</c:v>
                </c:pt>
                <c:pt idx="3192">
                  <c:v>37844</c:v>
                </c:pt>
                <c:pt idx="3193">
                  <c:v>37845</c:v>
                </c:pt>
                <c:pt idx="3194">
                  <c:v>37846</c:v>
                </c:pt>
                <c:pt idx="3195">
                  <c:v>37847</c:v>
                </c:pt>
                <c:pt idx="3196">
                  <c:v>37848</c:v>
                </c:pt>
                <c:pt idx="3197">
                  <c:v>37851</c:v>
                </c:pt>
                <c:pt idx="3198">
                  <c:v>37852</c:v>
                </c:pt>
                <c:pt idx="3199">
                  <c:v>37853</c:v>
                </c:pt>
                <c:pt idx="3200">
                  <c:v>37854</c:v>
                </c:pt>
                <c:pt idx="3201">
                  <c:v>37855</c:v>
                </c:pt>
                <c:pt idx="3202">
                  <c:v>37858</c:v>
                </c:pt>
                <c:pt idx="3203">
                  <c:v>37859</c:v>
                </c:pt>
                <c:pt idx="3204">
                  <c:v>37860</c:v>
                </c:pt>
                <c:pt idx="3205">
                  <c:v>37861</c:v>
                </c:pt>
                <c:pt idx="3206">
                  <c:v>37862</c:v>
                </c:pt>
                <c:pt idx="3207">
                  <c:v>37865</c:v>
                </c:pt>
                <c:pt idx="3208">
                  <c:v>37866</c:v>
                </c:pt>
                <c:pt idx="3209">
                  <c:v>37867</c:v>
                </c:pt>
                <c:pt idx="3210">
                  <c:v>37868</c:v>
                </c:pt>
                <c:pt idx="3211">
                  <c:v>37869</c:v>
                </c:pt>
                <c:pt idx="3212">
                  <c:v>37872</c:v>
                </c:pt>
                <c:pt idx="3213">
                  <c:v>37873</c:v>
                </c:pt>
                <c:pt idx="3214">
                  <c:v>37874</c:v>
                </c:pt>
                <c:pt idx="3215">
                  <c:v>37875</c:v>
                </c:pt>
                <c:pt idx="3216">
                  <c:v>37876</c:v>
                </c:pt>
                <c:pt idx="3217">
                  <c:v>37879</c:v>
                </c:pt>
                <c:pt idx="3218">
                  <c:v>37880</c:v>
                </c:pt>
                <c:pt idx="3219">
                  <c:v>37881</c:v>
                </c:pt>
                <c:pt idx="3220">
                  <c:v>37882</c:v>
                </c:pt>
                <c:pt idx="3221">
                  <c:v>37883</c:v>
                </c:pt>
                <c:pt idx="3222">
                  <c:v>37886</c:v>
                </c:pt>
                <c:pt idx="3223">
                  <c:v>37887</c:v>
                </c:pt>
                <c:pt idx="3224">
                  <c:v>37888</c:v>
                </c:pt>
                <c:pt idx="3225">
                  <c:v>37889</c:v>
                </c:pt>
                <c:pt idx="3226">
                  <c:v>37890</c:v>
                </c:pt>
                <c:pt idx="3227">
                  <c:v>37893</c:v>
                </c:pt>
                <c:pt idx="3228">
                  <c:v>37894</c:v>
                </c:pt>
                <c:pt idx="3229">
                  <c:v>37895</c:v>
                </c:pt>
                <c:pt idx="3230">
                  <c:v>37896</c:v>
                </c:pt>
                <c:pt idx="3231">
                  <c:v>37897</c:v>
                </c:pt>
                <c:pt idx="3232">
                  <c:v>37900</c:v>
                </c:pt>
                <c:pt idx="3233">
                  <c:v>37901</c:v>
                </c:pt>
                <c:pt idx="3234">
                  <c:v>37902</c:v>
                </c:pt>
                <c:pt idx="3235">
                  <c:v>37903</c:v>
                </c:pt>
                <c:pt idx="3236">
                  <c:v>37904</c:v>
                </c:pt>
                <c:pt idx="3237">
                  <c:v>37907</c:v>
                </c:pt>
                <c:pt idx="3238">
                  <c:v>37908</c:v>
                </c:pt>
                <c:pt idx="3239">
                  <c:v>37909</c:v>
                </c:pt>
                <c:pt idx="3240">
                  <c:v>37910</c:v>
                </c:pt>
                <c:pt idx="3241">
                  <c:v>37911</c:v>
                </c:pt>
                <c:pt idx="3242">
                  <c:v>37914</c:v>
                </c:pt>
                <c:pt idx="3243">
                  <c:v>37915</c:v>
                </c:pt>
                <c:pt idx="3244">
                  <c:v>37916</c:v>
                </c:pt>
                <c:pt idx="3245">
                  <c:v>37917</c:v>
                </c:pt>
                <c:pt idx="3246">
                  <c:v>37918</c:v>
                </c:pt>
                <c:pt idx="3247">
                  <c:v>37921</c:v>
                </c:pt>
                <c:pt idx="3248">
                  <c:v>37922</c:v>
                </c:pt>
                <c:pt idx="3249">
                  <c:v>37923</c:v>
                </c:pt>
                <c:pt idx="3250">
                  <c:v>37924</c:v>
                </c:pt>
                <c:pt idx="3251">
                  <c:v>37925</c:v>
                </c:pt>
                <c:pt idx="3252">
                  <c:v>37928</c:v>
                </c:pt>
                <c:pt idx="3253">
                  <c:v>37929</c:v>
                </c:pt>
                <c:pt idx="3254">
                  <c:v>37930</c:v>
                </c:pt>
                <c:pt idx="3255">
                  <c:v>37931</c:v>
                </c:pt>
                <c:pt idx="3256">
                  <c:v>37932</c:v>
                </c:pt>
                <c:pt idx="3257">
                  <c:v>37935</c:v>
                </c:pt>
                <c:pt idx="3258">
                  <c:v>37936</c:v>
                </c:pt>
                <c:pt idx="3259">
                  <c:v>37937</c:v>
                </c:pt>
                <c:pt idx="3260">
                  <c:v>37938</c:v>
                </c:pt>
                <c:pt idx="3261">
                  <c:v>37939</c:v>
                </c:pt>
                <c:pt idx="3262">
                  <c:v>37942</c:v>
                </c:pt>
                <c:pt idx="3263">
                  <c:v>37943</c:v>
                </c:pt>
                <c:pt idx="3264">
                  <c:v>37944</c:v>
                </c:pt>
                <c:pt idx="3265">
                  <c:v>37945</c:v>
                </c:pt>
                <c:pt idx="3266">
                  <c:v>37946</c:v>
                </c:pt>
                <c:pt idx="3267">
                  <c:v>37949</c:v>
                </c:pt>
                <c:pt idx="3268">
                  <c:v>37950</c:v>
                </c:pt>
                <c:pt idx="3269">
                  <c:v>37951</c:v>
                </c:pt>
                <c:pt idx="3270">
                  <c:v>37952</c:v>
                </c:pt>
                <c:pt idx="3271">
                  <c:v>37953</c:v>
                </c:pt>
                <c:pt idx="3272">
                  <c:v>37956</c:v>
                </c:pt>
                <c:pt idx="3273">
                  <c:v>37957</c:v>
                </c:pt>
                <c:pt idx="3274">
                  <c:v>37958</c:v>
                </c:pt>
                <c:pt idx="3275">
                  <c:v>37959</c:v>
                </c:pt>
                <c:pt idx="3276">
                  <c:v>37960</c:v>
                </c:pt>
                <c:pt idx="3277">
                  <c:v>37963</c:v>
                </c:pt>
                <c:pt idx="3278">
                  <c:v>37964</c:v>
                </c:pt>
                <c:pt idx="3279">
                  <c:v>37965</c:v>
                </c:pt>
                <c:pt idx="3280">
                  <c:v>37966</c:v>
                </c:pt>
                <c:pt idx="3281">
                  <c:v>37967</c:v>
                </c:pt>
                <c:pt idx="3282">
                  <c:v>37970</c:v>
                </c:pt>
                <c:pt idx="3283">
                  <c:v>37971</c:v>
                </c:pt>
                <c:pt idx="3284">
                  <c:v>37972</c:v>
                </c:pt>
                <c:pt idx="3285">
                  <c:v>37973</c:v>
                </c:pt>
                <c:pt idx="3286">
                  <c:v>37974</c:v>
                </c:pt>
                <c:pt idx="3287">
                  <c:v>37977</c:v>
                </c:pt>
                <c:pt idx="3288">
                  <c:v>37978</c:v>
                </c:pt>
                <c:pt idx="3289">
                  <c:v>37984</c:v>
                </c:pt>
                <c:pt idx="3290">
                  <c:v>37985</c:v>
                </c:pt>
                <c:pt idx="3291">
                  <c:v>37988</c:v>
                </c:pt>
                <c:pt idx="3292">
                  <c:v>37991</c:v>
                </c:pt>
                <c:pt idx="3293">
                  <c:v>37992</c:v>
                </c:pt>
                <c:pt idx="3294">
                  <c:v>37993</c:v>
                </c:pt>
                <c:pt idx="3295">
                  <c:v>37994</c:v>
                </c:pt>
                <c:pt idx="3296">
                  <c:v>37995</c:v>
                </c:pt>
                <c:pt idx="3297">
                  <c:v>37998</c:v>
                </c:pt>
                <c:pt idx="3298">
                  <c:v>37999</c:v>
                </c:pt>
                <c:pt idx="3299">
                  <c:v>38000</c:v>
                </c:pt>
                <c:pt idx="3300">
                  <c:v>38001</c:v>
                </c:pt>
                <c:pt idx="3301">
                  <c:v>38002</c:v>
                </c:pt>
                <c:pt idx="3302">
                  <c:v>38005</c:v>
                </c:pt>
                <c:pt idx="3303">
                  <c:v>38006</c:v>
                </c:pt>
                <c:pt idx="3304">
                  <c:v>38007</c:v>
                </c:pt>
                <c:pt idx="3305">
                  <c:v>38008</c:v>
                </c:pt>
                <c:pt idx="3306">
                  <c:v>38009</c:v>
                </c:pt>
                <c:pt idx="3307">
                  <c:v>38012</c:v>
                </c:pt>
                <c:pt idx="3308">
                  <c:v>38013</c:v>
                </c:pt>
                <c:pt idx="3309">
                  <c:v>38014</c:v>
                </c:pt>
                <c:pt idx="3310">
                  <c:v>38015</c:v>
                </c:pt>
                <c:pt idx="3311">
                  <c:v>38016</c:v>
                </c:pt>
                <c:pt idx="3312">
                  <c:v>38019</c:v>
                </c:pt>
                <c:pt idx="3313">
                  <c:v>38020</c:v>
                </c:pt>
                <c:pt idx="3314">
                  <c:v>38021</c:v>
                </c:pt>
                <c:pt idx="3315">
                  <c:v>38022</c:v>
                </c:pt>
                <c:pt idx="3316">
                  <c:v>38023</c:v>
                </c:pt>
                <c:pt idx="3317">
                  <c:v>38026</c:v>
                </c:pt>
                <c:pt idx="3318">
                  <c:v>38027</c:v>
                </c:pt>
                <c:pt idx="3319">
                  <c:v>38028</c:v>
                </c:pt>
                <c:pt idx="3320">
                  <c:v>38029</c:v>
                </c:pt>
                <c:pt idx="3321">
                  <c:v>38030</c:v>
                </c:pt>
                <c:pt idx="3322">
                  <c:v>38033</c:v>
                </c:pt>
                <c:pt idx="3323">
                  <c:v>38034</c:v>
                </c:pt>
                <c:pt idx="3324">
                  <c:v>38035</c:v>
                </c:pt>
                <c:pt idx="3325">
                  <c:v>38036</c:v>
                </c:pt>
                <c:pt idx="3326">
                  <c:v>38037</c:v>
                </c:pt>
                <c:pt idx="3327">
                  <c:v>38040</c:v>
                </c:pt>
                <c:pt idx="3328">
                  <c:v>38041</c:v>
                </c:pt>
                <c:pt idx="3329">
                  <c:v>38042</c:v>
                </c:pt>
                <c:pt idx="3330">
                  <c:v>38043</c:v>
                </c:pt>
                <c:pt idx="3331">
                  <c:v>38044</c:v>
                </c:pt>
                <c:pt idx="3332">
                  <c:v>38047</c:v>
                </c:pt>
                <c:pt idx="3333">
                  <c:v>38048</c:v>
                </c:pt>
                <c:pt idx="3334">
                  <c:v>38049</c:v>
                </c:pt>
                <c:pt idx="3335">
                  <c:v>38050</c:v>
                </c:pt>
                <c:pt idx="3336">
                  <c:v>38051</c:v>
                </c:pt>
                <c:pt idx="3337">
                  <c:v>38054</c:v>
                </c:pt>
                <c:pt idx="3338">
                  <c:v>38055</c:v>
                </c:pt>
                <c:pt idx="3339">
                  <c:v>38056</c:v>
                </c:pt>
                <c:pt idx="3340">
                  <c:v>38057</c:v>
                </c:pt>
                <c:pt idx="3341">
                  <c:v>38058</c:v>
                </c:pt>
                <c:pt idx="3342">
                  <c:v>38061</c:v>
                </c:pt>
                <c:pt idx="3343">
                  <c:v>38062</c:v>
                </c:pt>
                <c:pt idx="3344">
                  <c:v>38063</c:v>
                </c:pt>
                <c:pt idx="3345">
                  <c:v>38064</c:v>
                </c:pt>
                <c:pt idx="3346">
                  <c:v>38065</c:v>
                </c:pt>
                <c:pt idx="3347">
                  <c:v>38068</c:v>
                </c:pt>
                <c:pt idx="3348">
                  <c:v>38069</c:v>
                </c:pt>
                <c:pt idx="3349">
                  <c:v>38070</c:v>
                </c:pt>
                <c:pt idx="3350">
                  <c:v>38071</c:v>
                </c:pt>
                <c:pt idx="3351">
                  <c:v>38072</c:v>
                </c:pt>
                <c:pt idx="3352">
                  <c:v>38075</c:v>
                </c:pt>
                <c:pt idx="3353">
                  <c:v>38076</c:v>
                </c:pt>
                <c:pt idx="3354">
                  <c:v>38077</c:v>
                </c:pt>
                <c:pt idx="3355">
                  <c:v>38078</c:v>
                </c:pt>
                <c:pt idx="3356">
                  <c:v>38079</c:v>
                </c:pt>
                <c:pt idx="3357">
                  <c:v>38082</c:v>
                </c:pt>
                <c:pt idx="3358">
                  <c:v>38083</c:v>
                </c:pt>
                <c:pt idx="3359">
                  <c:v>38084</c:v>
                </c:pt>
                <c:pt idx="3360">
                  <c:v>38085</c:v>
                </c:pt>
                <c:pt idx="3361">
                  <c:v>38090</c:v>
                </c:pt>
                <c:pt idx="3362">
                  <c:v>38091</c:v>
                </c:pt>
                <c:pt idx="3363">
                  <c:v>38092</c:v>
                </c:pt>
                <c:pt idx="3364">
                  <c:v>38093</c:v>
                </c:pt>
                <c:pt idx="3365">
                  <c:v>38096</c:v>
                </c:pt>
                <c:pt idx="3366">
                  <c:v>38097</c:v>
                </c:pt>
                <c:pt idx="3367">
                  <c:v>38098</c:v>
                </c:pt>
                <c:pt idx="3368">
                  <c:v>38099</c:v>
                </c:pt>
                <c:pt idx="3369">
                  <c:v>38100</c:v>
                </c:pt>
                <c:pt idx="3370">
                  <c:v>38103</c:v>
                </c:pt>
                <c:pt idx="3371">
                  <c:v>38104</c:v>
                </c:pt>
                <c:pt idx="3372">
                  <c:v>38105</c:v>
                </c:pt>
                <c:pt idx="3373">
                  <c:v>38106</c:v>
                </c:pt>
                <c:pt idx="3374">
                  <c:v>38107</c:v>
                </c:pt>
                <c:pt idx="3375">
                  <c:v>38110</c:v>
                </c:pt>
                <c:pt idx="3376">
                  <c:v>38111</c:v>
                </c:pt>
                <c:pt idx="3377">
                  <c:v>38112</c:v>
                </c:pt>
                <c:pt idx="3378">
                  <c:v>38113</c:v>
                </c:pt>
                <c:pt idx="3379">
                  <c:v>38114</c:v>
                </c:pt>
                <c:pt idx="3380">
                  <c:v>38117</c:v>
                </c:pt>
                <c:pt idx="3381">
                  <c:v>38118</c:v>
                </c:pt>
                <c:pt idx="3382">
                  <c:v>38119</c:v>
                </c:pt>
                <c:pt idx="3383">
                  <c:v>38120</c:v>
                </c:pt>
                <c:pt idx="3384">
                  <c:v>38121</c:v>
                </c:pt>
                <c:pt idx="3385">
                  <c:v>38124</c:v>
                </c:pt>
                <c:pt idx="3386">
                  <c:v>38125</c:v>
                </c:pt>
                <c:pt idx="3387">
                  <c:v>38126</c:v>
                </c:pt>
                <c:pt idx="3388">
                  <c:v>38127</c:v>
                </c:pt>
                <c:pt idx="3389">
                  <c:v>38128</c:v>
                </c:pt>
                <c:pt idx="3390">
                  <c:v>38131</c:v>
                </c:pt>
                <c:pt idx="3391">
                  <c:v>38132</c:v>
                </c:pt>
                <c:pt idx="3392">
                  <c:v>38133</c:v>
                </c:pt>
                <c:pt idx="3393">
                  <c:v>38134</c:v>
                </c:pt>
                <c:pt idx="3394">
                  <c:v>38135</c:v>
                </c:pt>
                <c:pt idx="3395">
                  <c:v>38138</c:v>
                </c:pt>
                <c:pt idx="3396">
                  <c:v>38139</c:v>
                </c:pt>
                <c:pt idx="3397">
                  <c:v>38140</c:v>
                </c:pt>
                <c:pt idx="3398">
                  <c:v>38141</c:v>
                </c:pt>
                <c:pt idx="3399">
                  <c:v>38142</c:v>
                </c:pt>
                <c:pt idx="3400">
                  <c:v>38145</c:v>
                </c:pt>
                <c:pt idx="3401">
                  <c:v>38146</c:v>
                </c:pt>
                <c:pt idx="3402">
                  <c:v>38147</c:v>
                </c:pt>
                <c:pt idx="3403">
                  <c:v>38148</c:v>
                </c:pt>
                <c:pt idx="3404">
                  <c:v>38149</c:v>
                </c:pt>
                <c:pt idx="3405">
                  <c:v>38152</c:v>
                </c:pt>
                <c:pt idx="3406">
                  <c:v>38153</c:v>
                </c:pt>
                <c:pt idx="3407">
                  <c:v>38154</c:v>
                </c:pt>
                <c:pt idx="3408">
                  <c:v>38155</c:v>
                </c:pt>
                <c:pt idx="3409">
                  <c:v>38156</c:v>
                </c:pt>
                <c:pt idx="3410">
                  <c:v>38159</c:v>
                </c:pt>
                <c:pt idx="3411">
                  <c:v>38160</c:v>
                </c:pt>
                <c:pt idx="3412">
                  <c:v>38161</c:v>
                </c:pt>
                <c:pt idx="3413">
                  <c:v>38162</c:v>
                </c:pt>
                <c:pt idx="3414">
                  <c:v>38163</c:v>
                </c:pt>
                <c:pt idx="3415">
                  <c:v>38166</c:v>
                </c:pt>
                <c:pt idx="3416">
                  <c:v>38167</c:v>
                </c:pt>
                <c:pt idx="3417">
                  <c:v>38168</c:v>
                </c:pt>
                <c:pt idx="3418">
                  <c:v>38169</c:v>
                </c:pt>
                <c:pt idx="3419">
                  <c:v>38170</c:v>
                </c:pt>
                <c:pt idx="3420">
                  <c:v>38173</c:v>
                </c:pt>
                <c:pt idx="3421">
                  <c:v>38174</c:v>
                </c:pt>
                <c:pt idx="3422">
                  <c:v>38175</c:v>
                </c:pt>
                <c:pt idx="3423">
                  <c:v>38176</c:v>
                </c:pt>
                <c:pt idx="3424">
                  <c:v>38177</c:v>
                </c:pt>
                <c:pt idx="3425">
                  <c:v>38180</c:v>
                </c:pt>
                <c:pt idx="3426">
                  <c:v>38181</c:v>
                </c:pt>
                <c:pt idx="3427">
                  <c:v>38182</c:v>
                </c:pt>
                <c:pt idx="3428">
                  <c:v>38183</c:v>
                </c:pt>
                <c:pt idx="3429">
                  <c:v>38184</c:v>
                </c:pt>
                <c:pt idx="3430">
                  <c:v>38187</c:v>
                </c:pt>
                <c:pt idx="3431">
                  <c:v>38188</c:v>
                </c:pt>
                <c:pt idx="3432">
                  <c:v>38189</c:v>
                </c:pt>
                <c:pt idx="3433">
                  <c:v>38190</c:v>
                </c:pt>
                <c:pt idx="3434">
                  <c:v>38191</c:v>
                </c:pt>
                <c:pt idx="3435">
                  <c:v>38194</c:v>
                </c:pt>
                <c:pt idx="3436">
                  <c:v>38195</c:v>
                </c:pt>
                <c:pt idx="3437">
                  <c:v>38196</c:v>
                </c:pt>
                <c:pt idx="3438">
                  <c:v>38197</c:v>
                </c:pt>
                <c:pt idx="3439">
                  <c:v>38198</c:v>
                </c:pt>
                <c:pt idx="3440">
                  <c:v>38201</c:v>
                </c:pt>
                <c:pt idx="3441">
                  <c:v>38202</c:v>
                </c:pt>
                <c:pt idx="3442">
                  <c:v>38203</c:v>
                </c:pt>
                <c:pt idx="3443">
                  <c:v>38204</c:v>
                </c:pt>
                <c:pt idx="3444">
                  <c:v>38205</c:v>
                </c:pt>
                <c:pt idx="3445">
                  <c:v>38208</c:v>
                </c:pt>
                <c:pt idx="3446">
                  <c:v>38209</c:v>
                </c:pt>
                <c:pt idx="3447">
                  <c:v>38210</c:v>
                </c:pt>
                <c:pt idx="3448">
                  <c:v>38211</c:v>
                </c:pt>
                <c:pt idx="3449">
                  <c:v>38212</c:v>
                </c:pt>
                <c:pt idx="3450">
                  <c:v>38215</c:v>
                </c:pt>
                <c:pt idx="3451">
                  <c:v>38216</c:v>
                </c:pt>
                <c:pt idx="3452">
                  <c:v>38217</c:v>
                </c:pt>
                <c:pt idx="3453">
                  <c:v>38218</c:v>
                </c:pt>
                <c:pt idx="3454">
                  <c:v>38219</c:v>
                </c:pt>
                <c:pt idx="3455">
                  <c:v>38222</c:v>
                </c:pt>
                <c:pt idx="3456">
                  <c:v>38223</c:v>
                </c:pt>
                <c:pt idx="3457">
                  <c:v>38224</c:v>
                </c:pt>
                <c:pt idx="3458">
                  <c:v>38225</c:v>
                </c:pt>
                <c:pt idx="3459">
                  <c:v>38226</c:v>
                </c:pt>
                <c:pt idx="3460">
                  <c:v>38229</c:v>
                </c:pt>
                <c:pt idx="3461">
                  <c:v>38230</c:v>
                </c:pt>
                <c:pt idx="3462">
                  <c:v>38231</c:v>
                </c:pt>
                <c:pt idx="3463">
                  <c:v>38232</c:v>
                </c:pt>
                <c:pt idx="3464">
                  <c:v>38233</c:v>
                </c:pt>
                <c:pt idx="3465">
                  <c:v>38236</c:v>
                </c:pt>
                <c:pt idx="3466">
                  <c:v>38237</c:v>
                </c:pt>
                <c:pt idx="3467">
                  <c:v>38238</c:v>
                </c:pt>
                <c:pt idx="3468">
                  <c:v>38239</c:v>
                </c:pt>
                <c:pt idx="3469">
                  <c:v>38240</c:v>
                </c:pt>
                <c:pt idx="3470">
                  <c:v>38243</c:v>
                </c:pt>
                <c:pt idx="3471">
                  <c:v>38244</c:v>
                </c:pt>
                <c:pt idx="3472">
                  <c:v>38245</c:v>
                </c:pt>
                <c:pt idx="3473">
                  <c:v>38246</c:v>
                </c:pt>
                <c:pt idx="3474">
                  <c:v>38247</c:v>
                </c:pt>
                <c:pt idx="3475">
                  <c:v>38250</c:v>
                </c:pt>
                <c:pt idx="3476">
                  <c:v>38251</c:v>
                </c:pt>
                <c:pt idx="3477">
                  <c:v>38252</c:v>
                </c:pt>
                <c:pt idx="3478">
                  <c:v>38253</c:v>
                </c:pt>
                <c:pt idx="3479">
                  <c:v>38254</c:v>
                </c:pt>
                <c:pt idx="3480">
                  <c:v>38257</c:v>
                </c:pt>
                <c:pt idx="3481">
                  <c:v>38258</c:v>
                </c:pt>
                <c:pt idx="3482">
                  <c:v>38259</c:v>
                </c:pt>
                <c:pt idx="3483">
                  <c:v>38260</c:v>
                </c:pt>
                <c:pt idx="3484">
                  <c:v>38261</c:v>
                </c:pt>
                <c:pt idx="3485">
                  <c:v>38264</c:v>
                </c:pt>
                <c:pt idx="3486">
                  <c:v>38265</c:v>
                </c:pt>
                <c:pt idx="3487">
                  <c:v>38266</c:v>
                </c:pt>
                <c:pt idx="3488">
                  <c:v>38267</c:v>
                </c:pt>
                <c:pt idx="3489">
                  <c:v>38268</c:v>
                </c:pt>
                <c:pt idx="3490">
                  <c:v>38271</c:v>
                </c:pt>
                <c:pt idx="3491">
                  <c:v>38272</c:v>
                </c:pt>
                <c:pt idx="3492">
                  <c:v>38273</c:v>
                </c:pt>
                <c:pt idx="3493">
                  <c:v>38274</c:v>
                </c:pt>
                <c:pt idx="3494">
                  <c:v>38275</c:v>
                </c:pt>
                <c:pt idx="3495">
                  <c:v>38278</c:v>
                </c:pt>
                <c:pt idx="3496">
                  <c:v>38279</c:v>
                </c:pt>
                <c:pt idx="3497">
                  <c:v>38280</c:v>
                </c:pt>
                <c:pt idx="3498">
                  <c:v>38281</c:v>
                </c:pt>
                <c:pt idx="3499">
                  <c:v>38282</c:v>
                </c:pt>
                <c:pt idx="3500">
                  <c:v>38285</c:v>
                </c:pt>
                <c:pt idx="3501">
                  <c:v>38286</c:v>
                </c:pt>
                <c:pt idx="3502">
                  <c:v>38287</c:v>
                </c:pt>
                <c:pt idx="3503">
                  <c:v>38288</c:v>
                </c:pt>
                <c:pt idx="3504">
                  <c:v>38289</c:v>
                </c:pt>
                <c:pt idx="3505">
                  <c:v>38292</c:v>
                </c:pt>
                <c:pt idx="3506">
                  <c:v>38293</c:v>
                </c:pt>
                <c:pt idx="3507">
                  <c:v>38294</c:v>
                </c:pt>
                <c:pt idx="3508">
                  <c:v>38295</c:v>
                </c:pt>
                <c:pt idx="3509">
                  <c:v>38296</c:v>
                </c:pt>
                <c:pt idx="3510">
                  <c:v>38299</c:v>
                </c:pt>
                <c:pt idx="3511">
                  <c:v>38300</c:v>
                </c:pt>
                <c:pt idx="3512">
                  <c:v>38301</c:v>
                </c:pt>
                <c:pt idx="3513">
                  <c:v>38302</c:v>
                </c:pt>
                <c:pt idx="3514">
                  <c:v>38303</c:v>
                </c:pt>
                <c:pt idx="3515">
                  <c:v>38306</c:v>
                </c:pt>
                <c:pt idx="3516">
                  <c:v>38307</c:v>
                </c:pt>
                <c:pt idx="3517">
                  <c:v>38308</c:v>
                </c:pt>
                <c:pt idx="3518">
                  <c:v>38309</c:v>
                </c:pt>
                <c:pt idx="3519">
                  <c:v>38310</c:v>
                </c:pt>
                <c:pt idx="3520">
                  <c:v>38313</c:v>
                </c:pt>
                <c:pt idx="3521">
                  <c:v>38314</c:v>
                </c:pt>
                <c:pt idx="3522">
                  <c:v>38315</c:v>
                </c:pt>
                <c:pt idx="3523">
                  <c:v>38316</c:v>
                </c:pt>
                <c:pt idx="3524">
                  <c:v>38317</c:v>
                </c:pt>
                <c:pt idx="3525">
                  <c:v>38320</c:v>
                </c:pt>
                <c:pt idx="3526">
                  <c:v>38321</c:v>
                </c:pt>
                <c:pt idx="3527">
                  <c:v>38322</c:v>
                </c:pt>
                <c:pt idx="3528">
                  <c:v>38323</c:v>
                </c:pt>
                <c:pt idx="3529">
                  <c:v>38324</c:v>
                </c:pt>
                <c:pt idx="3530">
                  <c:v>38327</c:v>
                </c:pt>
                <c:pt idx="3531">
                  <c:v>38328</c:v>
                </c:pt>
                <c:pt idx="3532">
                  <c:v>38329</c:v>
                </c:pt>
                <c:pt idx="3533">
                  <c:v>38330</c:v>
                </c:pt>
                <c:pt idx="3534">
                  <c:v>38331</c:v>
                </c:pt>
                <c:pt idx="3535">
                  <c:v>38334</c:v>
                </c:pt>
                <c:pt idx="3536">
                  <c:v>38335</c:v>
                </c:pt>
                <c:pt idx="3537">
                  <c:v>38336</c:v>
                </c:pt>
                <c:pt idx="3538">
                  <c:v>38337</c:v>
                </c:pt>
                <c:pt idx="3539">
                  <c:v>38338</c:v>
                </c:pt>
                <c:pt idx="3540">
                  <c:v>38341</c:v>
                </c:pt>
                <c:pt idx="3541">
                  <c:v>38342</c:v>
                </c:pt>
                <c:pt idx="3542">
                  <c:v>38343</c:v>
                </c:pt>
                <c:pt idx="3543">
                  <c:v>38344</c:v>
                </c:pt>
                <c:pt idx="3544">
                  <c:v>38348</c:v>
                </c:pt>
                <c:pt idx="3545">
                  <c:v>38349</c:v>
                </c:pt>
                <c:pt idx="3546">
                  <c:v>38350</c:v>
                </c:pt>
                <c:pt idx="3547">
                  <c:v>38351</c:v>
                </c:pt>
                <c:pt idx="3548">
                  <c:v>38355</c:v>
                </c:pt>
                <c:pt idx="3549">
                  <c:v>38356</c:v>
                </c:pt>
                <c:pt idx="3550">
                  <c:v>38357</c:v>
                </c:pt>
                <c:pt idx="3551">
                  <c:v>38358</c:v>
                </c:pt>
                <c:pt idx="3552">
                  <c:v>38359</c:v>
                </c:pt>
                <c:pt idx="3553">
                  <c:v>38362</c:v>
                </c:pt>
                <c:pt idx="3554">
                  <c:v>38363</c:v>
                </c:pt>
                <c:pt idx="3555">
                  <c:v>38364</c:v>
                </c:pt>
                <c:pt idx="3556">
                  <c:v>38365</c:v>
                </c:pt>
                <c:pt idx="3557">
                  <c:v>38366</c:v>
                </c:pt>
                <c:pt idx="3558">
                  <c:v>38369</c:v>
                </c:pt>
                <c:pt idx="3559">
                  <c:v>38370</c:v>
                </c:pt>
                <c:pt idx="3560">
                  <c:v>38371</c:v>
                </c:pt>
                <c:pt idx="3561">
                  <c:v>38372</c:v>
                </c:pt>
                <c:pt idx="3562">
                  <c:v>38373</c:v>
                </c:pt>
                <c:pt idx="3563">
                  <c:v>38376</c:v>
                </c:pt>
                <c:pt idx="3564">
                  <c:v>38377</c:v>
                </c:pt>
                <c:pt idx="3565">
                  <c:v>38378</c:v>
                </c:pt>
                <c:pt idx="3566">
                  <c:v>38379</c:v>
                </c:pt>
                <c:pt idx="3567">
                  <c:v>38380</c:v>
                </c:pt>
                <c:pt idx="3568">
                  <c:v>38383</c:v>
                </c:pt>
                <c:pt idx="3569">
                  <c:v>38384</c:v>
                </c:pt>
                <c:pt idx="3570">
                  <c:v>38385</c:v>
                </c:pt>
                <c:pt idx="3571">
                  <c:v>38386</c:v>
                </c:pt>
                <c:pt idx="3572">
                  <c:v>38387</c:v>
                </c:pt>
                <c:pt idx="3573">
                  <c:v>38390</c:v>
                </c:pt>
                <c:pt idx="3574">
                  <c:v>38391</c:v>
                </c:pt>
                <c:pt idx="3575">
                  <c:v>38392</c:v>
                </c:pt>
                <c:pt idx="3576">
                  <c:v>38393</c:v>
                </c:pt>
                <c:pt idx="3577">
                  <c:v>38394</c:v>
                </c:pt>
                <c:pt idx="3578">
                  <c:v>38397</c:v>
                </c:pt>
                <c:pt idx="3579">
                  <c:v>38398</c:v>
                </c:pt>
                <c:pt idx="3580">
                  <c:v>38399</c:v>
                </c:pt>
                <c:pt idx="3581">
                  <c:v>38400</c:v>
                </c:pt>
                <c:pt idx="3582">
                  <c:v>38401</c:v>
                </c:pt>
                <c:pt idx="3583">
                  <c:v>38404</c:v>
                </c:pt>
                <c:pt idx="3584">
                  <c:v>38405</c:v>
                </c:pt>
                <c:pt idx="3585">
                  <c:v>38406</c:v>
                </c:pt>
                <c:pt idx="3586">
                  <c:v>38407</c:v>
                </c:pt>
                <c:pt idx="3587">
                  <c:v>38408</c:v>
                </c:pt>
                <c:pt idx="3588">
                  <c:v>38411</c:v>
                </c:pt>
                <c:pt idx="3589">
                  <c:v>38412</c:v>
                </c:pt>
                <c:pt idx="3590">
                  <c:v>38413</c:v>
                </c:pt>
                <c:pt idx="3591">
                  <c:v>38414</c:v>
                </c:pt>
                <c:pt idx="3592">
                  <c:v>38415</c:v>
                </c:pt>
                <c:pt idx="3593">
                  <c:v>38418</c:v>
                </c:pt>
                <c:pt idx="3594">
                  <c:v>38419</c:v>
                </c:pt>
                <c:pt idx="3595">
                  <c:v>38420</c:v>
                </c:pt>
                <c:pt idx="3596">
                  <c:v>38421</c:v>
                </c:pt>
                <c:pt idx="3597">
                  <c:v>38422</c:v>
                </c:pt>
                <c:pt idx="3598">
                  <c:v>38425</c:v>
                </c:pt>
                <c:pt idx="3599">
                  <c:v>38426</c:v>
                </c:pt>
                <c:pt idx="3600">
                  <c:v>38427</c:v>
                </c:pt>
                <c:pt idx="3601">
                  <c:v>38428</c:v>
                </c:pt>
                <c:pt idx="3602">
                  <c:v>38429</c:v>
                </c:pt>
                <c:pt idx="3603">
                  <c:v>38432</c:v>
                </c:pt>
                <c:pt idx="3604">
                  <c:v>38433</c:v>
                </c:pt>
                <c:pt idx="3605">
                  <c:v>38434</c:v>
                </c:pt>
                <c:pt idx="3606">
                  <c:v>38435</c:v>
                </c:pt>
                <c:pt idx="3607">
                  <c:v>38440</c:v>
                </c:pt>
                <c:pt idx="3608">
                  <c:v>38441</c:v>
                </c:pt>
                <c:pt idx="3609">
                  <c:v>38442</c:v>
                </c:pt>
                <c:pt idx="3610">
                  <c:v>38443</c:v>
                </c:pt>
                <c:pt idx="3611">
                  <c:v>38446</c:v>
                </c:pt>
                <c:pt idx="3612">
                  <c:v>38447</c:v>
                </c:pt>
                <c:pt idx="3613">
                  <c:v>38448</c:v>
                </c:pt>
                <c:pt idx="3614">
                  <c:v>38449</c:v>
                </c:pt>
                <c:pt idx="3615">
                  <c:v>38450</c:v>
                </c:pt>
                <c:pt idx="3616">
                  <c:v>38453</c:v>
                </c:pt>
                <c:pt idx="3617">
                  <c:v>38454</c:v>
                </c:pt>
                <c:pt idx="3618">
                  <c:v>38455</c:v>
                </c:pt>
                <c:pt idx="3619">
                  <c:v>38456</c:v>
                </c:pt>
                <c:pt idx="3620">
                  <c:v>38457</c:v>
                </c:pt>
                <c:pt idx="3621">
                  <c:v>38460</c:v>
                </c:pt>
                <c:pt idx="3622">
                  <c:v>38461</c:v>
                </c:pt>
                <c:pt idx="3623">
                  <c:v>38462</c:v>
                </c:pt>
                <c:pt idx="3624">
                  <c:v>38463</c:v>
                </c:pt>
                <c:pt idx="3625">
                  <c:v>38464</c:v>
                </c:pt>
                <c:pt idx="3626">
                  <c:v>38467</c:v>
                </c:pt>
                <c:pt idx="3627">
                  <c:v>38468</c:v>
                </c:pt>
                <c:pt idx="3628">
                  <c:v>38469</c:v>
                </c:pt>
                <c:pt idx="3629">
                  <c:v>38470</c:v>
                </c:pt>
                <c:pt idx="3630">
                  <c:v>38471</c:v>
                </c:pt>
                <c:pt idx="3631">
                  <c:v>38474</c:v>
                </c:pt>
                <c:pt idx="3632">
                  <c:v>38475</c:v>
                </c:pt>
                <c:pt idx="3633">
                  <c:v>38476</c:v>
                </c:pt>
                <c:pt idx="3634">
                  <c:v>38477</c:v>
                </c:pt>
                <c:pt idx="3635">
                  <c:v>38478</c:v>
                </c:pt>
                <c:pt idx="3636">
                  <c:v>38481</c:v>
                </c:pt>
                <c:pt idx="3637">
                  <c:v>38482</c:v>
                </c:pt>
                <c:pt idx="3638">
                  <c:v>38483</c:v>
                </c:pt>
                <c:pt idx="3639">
                  <c:v>38484</c:v>
                </c:pt>
                <c:pt idx="3640">
                  <c:v>38485</c:v>
                </c:pt>
                <c:pt idx="3641">
                  <c:v>38488</c:v>
                </c:pt>
                <c:pt idx="3642">
                  <c:v>38489</c:v>
                </c:pt>
                <c:pt idx="3643">
                  <c:v>38490</c:v>
                </c:pt>
                <c:pt idx="3644">
                  <c:v>38491</c:v>
                </c:pt>
                <c:pt idx="3645">
                  <c:v>38492</c:v>
                </c:pt>
                <c:pt idx="3646">
                  <c:v>38495</c:v>
                </c:pt>
                <c:pt idx="3647">
                  <c:v>38496</c:v>
                </c:pt>
                <c:pt idx="3648">
                  <c:v>38497</c:v>
                </c:pt>
                <c:pt idx="3649">
                  <c:v>38498</c:v>
                </c:pt>
                <c:pt idx="3650">
                  <c:v>38499</c:v>
                </c:pt>
                <c:pt idx="3651">
                  <c:v>38502</c:v>
                </c:pt>
                <c:pt idx="3652">
                  <c:v>38503</c:v>
                </c:pt>
                <c:pt idx="3653">
                  <c:v>38504</c:v>
                </c:pt>
                <c:pt idx="3654">
                  <c:v>38505</c:v>
                </c:pt>
                <c:pt idx="3655">
                  <c:v>38506</c:v>
                </c:pt>
                <c:pt idx="3656">
                  <c:v>38509</c:v>
                </c:pt>
                <c:pt idx="3657">
                  <c:v>38510</c:v>
                </c:pt>
                <c:pt idx="3658">
                  <c:v>38511</c:v>
                </c:pt>
                <c:pt idx="3659">
                  <c:v>38512</c:v>
                </c:pt>
                <c:pt idx="3660">
                  <c:v>38513</c:v>
                </c:pt>
                <c:pt idx="3661">
                  <c:v>38516</c:v>
                </c:pt>
                <c:pt idx="3662">
                  <c:v>38517</c:v>
                </c:pt>
                <c:pt idx="3663">
                  <c:v>38518</c:v>
                </c:pt>
                <c:pt idx="3664">
                  <c:v>38519</c:v>
                </c:pt>
                <c:pt idx="3665">
                  <c:v>38520</c:v>
                </c:pt>
                <c:pt idx="3666">
                  <c:v>38523</c:v>
                </c:pt>
                <c:pt idx="3667">
                  <c:v>38524</c:v>
                </c:pt>
                <c:pt idx="3668">
                  <c:v>38525</c:v>
                </c:pt>
                <c:pt idx="3669">
                  <c:v>38526</c:v>
                </c:pt>
                <c:pt idx="3670">
                  <c:v>38527</c:v>
                </c:pt>
                <c:pt idx="3671">
                  <c:v>38530</c:v>
                </c:pt>
                <c:pt idx="3672">
                  <c:v>38531</c:v>
                </c:pt>
                <c:pt idx="3673">
                  <c:v>38532</c:v>
                </c:pt>
                <c:pt idx="3674">
                  <c:v>38533</c:v>
                </c:pt>
                <c:pt idx="3675">
                  <c:v>38534</c:v>
                </c:pt>
                <c:pt idx="3676">
                  <c:v>38537</c:v>
                </c:pt>
                <c:pt idx="3677">
                  <c:v>38538</c:v>
                </c:pt>
                <c:pt idx="3678">
                  <c:v>38539</c:v>
                </c:pt>
                <c:pt idx="3679">
                  <c:v>38540</c:v>
                </c:pt>
                <c:pt idx="3680">
                  <c:v>38541</c:v>
                </c:pt>
                <c:pt idx="3681">
                  <c:v>38544</c:v>
                </c:pt>
                <c:pt idx="3682">
                  <c:v>38545</c:v>
                </c:pt>
                <c:pt idx="3683">
                  <c:v>38546</c:v>
                </c:pt>
                <c:pt idx="3684">
                  <c:v>38547</c:v>
                </c:pt>
                <c:pt idx="3685">
                  <c:v>38548</c:v>
                </c:pt>
                <c:pt idx="3686">
                  <c:v>38551</c:v>
                </c:pt>
                <c:pt idx="3687">
                  <c:v>38552</c:v>
                </c:pt>
                <c:pt idx="3688">
                  <c:v>38553</c:v>
                </c:pt>
                <c:pt idx="3689">
                  <c:v>38554</c:v>
                </c:pt>
                <c:pt idx="3690">
                  <c:v>38555</c:v>
                </c:pt>
                <c:pt idx="3691">
                  <c:v>38558</c:v>
                </c:pt>
                <c:pt idx="3692">
                  <c:v>38559</c:v>
                </c:pt>
                <c:pt idx="3693">
                  <c:v>38560</c:v>
                </c:pt>
                <c:pt idx="3694">
                  <c:v>38561</c:v>
                </c:pt>
                <c:pt idx="3695">
                  <c:v>38562</c:v>
                </c:pt>
                <c:pt idx="3696">
                  <c:v>38565</c:v>
                </c:pt>
                <c:pt idx="3697">
                  <c:v>38566</c:v>
                </c:pt>
                <c:pt idx="3698">
                  <c:v>38567</c:v>
                </c:pt>
                <c:pt idx="3699">
                  <c:v>38568</c:v>
                </c:pt>
                <c:pt idx="3700">
                  <c:v>38569</c:v>
                </c:pt>
                <c:pt idx="3701">
                  <c:v>38572</c:v>
                </c:pt>
                <c:pt idx="3702">
                  <c:v>38573</c:v>
                </c:pt>
                <c:pt idx="3703">
                  <c:v>38574</c:v>
                </c:pt>
                <c:pt idx="3704">
                  <c:v>38575</c:v>
                </c:pt>
                <c:pt idx="3705">
                  <c:v>38576</c:v>
                </c:pt>
                <c:pt idx="3706">
                  <c:v>38579</c:v>
                </c:pt>
                <c:pt idx="3707">
                  <c:v>38580</c:v>
                </c:pt>
                <c:pt idx="3708">
                  <c:v>38581</c:v>
                </c:pt>
                <c:pt idx="3709">
                  <c:v>38582</c:v>
                </c:pt>
                <c:pt idx="3710">
                  <c:v>38583</c:v>
                </c:pt>
                <c:pt idx="3711">
                  <c:v>38586</c:v>
                </c:pt>
                <c:pt idx="3712">
                  <c:v>38587</c:v>
                </c:pt>
                <c:pt idx="3713">
                  <c:v>38588</c:v>
                </c:pt>
                <c:pt idx="3714">
                  <c:v>38589</c:v>
                </c:pt>
                <c:pt idx="3715">
                  <c:v>38590</c:v>
                </c:pt>
                <c:pt idx="3716">
                  <c:v>38593</c:v>
                </c:pt>
                <c:pt idx="3717">
                  <c:v>38594</c:v>
                </c:pt>
                <c:pt idx="3718">
                  <c:v>38595</c:v>
                </c:pt>
                <c:pt idx="3719">
                  <c:v>38596</c:v>
                </c:pt>
                <c:pt idx="3720">
                  <c:v>38597</c:v>
                </c:pt>
                <c:pt idx="3721">
                  <c:v>38600</c:v>
                </c:pt>
                <c:pt idx="3722">
                  <c:v>38601</c:v>
                </c:pt>
                <c:pt idx="3723">
                  <c:v>38602</c:v>
                </c:pt>
                <c:pt idx="3724">
                  <c:v>38603</c:v>
                </c:pt>
                <c:pt idx="3725">
                  <c:v>38604</c:v>
                </c:pt>
                <c:pt idx="3726">
                  <c:v>38607</c:v>
                </c:pt>
                <c:pt idx="3727">
                  <c:v>38608</c:v>
                </c:pt>
                <c:pt idx="3728">
                  <c:v>38609</c:v>
                </c:pt>
                <c:pt idx="3729">
                  <c:v>38610</c:v>
                </c:pt>
                <c:pt idx="3730">
                  <c:v>38611</c:v>
                </c:pt>
                <c:pt idx="3731">
                  <c:v>38614</c:v>
                </c:pt>
                <c:pt idx="3732">
                  <c:v>38615</c:v>
                </c:pt>
                <c:pt idx="3733">
                  <c:v>38616</c:v>
                </c:pt>
                <c:pt idx="3734">
                  <c:v>38617</c:v>
                </c:pt>
                <c:pt idx="3735">
                  <c:v>38618</c:v>
                </c:pt>
                <c:pt idx="3736">
                  <c:v>38621</c:v>
                </c:pt>
                <c:pt idx="3737">
                  <c:v>38622</c:v>
                </c:pt>
                <c:pt idx="3738">
                  <c:v>38623</c:v>
                </c:pt>
                <c:pt idx="3739">
                  <c:v>38624</c:v>
                </c:pt>
                <c:pt idx="3740">
                  <c:v>38625</c:v>
                </c:pt>
                <c:pt idx="3741">
                  <c:v>38628</c:v>
                </c:pt>
                <c:pt idx="3742">
                  <c:v>38629</c:v>
                </c:pt>
                <c:pt idx="3743">
                  <c:v>38630</c:v>
                </c:pt>
                <c:pt idx="3744">
                  <c:v>38631</c:v>
                </c:pt>
                <c:pt idx="3745">
                  <c:v>38632</c:v>
                </c:pt>
                <c:pt idx="3746">
                  <c:v>38635</c:v>
                </c:pt>
                <c:pt idx="3747">
                  <c:v>38636</c:v>
                </c:pt>
                <c:pt idx="3748">
                  <c:v>38637</c:v>
                </c:pt>
                <c:pt idx="3749">
                  <c:v>38638</c:v>
                </c:pt>
                <c:pt idx="3750">
                  <c:v>38639</c:v>
                </c:pt>
                <c:pt idx="3751">
                  <c:v>38642</c:v>
                </c:pt>
                <c:pt idx="3752">
                  <c:v>38643</c:v>
                </c:pt>
                <c:pt idx="3753">
                  <c:v>38644</c:v>
                </c:pt>
                <c:pt idx="3754">
                  <c:v>38645</c:v>
                </c:pt>
                <c:pt idx="3755">
                  <c:v>38646</c:v>
                </c:pt>
                <c:pt idx="3756">
                  <c:v>38649</c:v>
                </c:pt>
                <c:pt idx="3757">
                  <c:v>38650</c:v>
                </c:pt>
                <c:pt idx="3758">
                  <c:v>38651</c:v>
                </c:pt>
                <c:pt idx="3759">
                  <c:v>38652</c:v>
                </c:pt>
                <c:pt idx="3760">
                  <c:v>38653</c:v>
                </c:pt>
                <c:pt idx="3761">
                  <c:v>38656</c:v>
                </c:pt>
                <c:pt idx="3762">
                  <c:v>38657</c:v>
                </c:pt>
                <c:pt idx="3763">
                  <c:v>38658</c:v>
                </c:pt>
                <c:pt idx="3764">
                  <c:v>38659</c:v>
                </c:pt>
                <c:pt idx="3765">
                  <c:v>38660</c:v>
                </c:pt>
                <c:pt idx="3766">
                  <c:v>38663</c:v>
                </c:pt>
                <c:pt idx="3767">
                  <c:v>38664</c:v>
                </c:pt>
                <c:pt idx="3768">
                  <c:v>38665</c:v>
                </c:pt>
                <c:pt idx="3769">
                  <c:v>38666</c:v>
                </c:pt>
                <c:pt idx="3770">
                  <c:v>38667</c:v>
                </c:pt>
                <c:pt idx="3771">
                  <c:v>38670</c:v>
                </c:pt>
                <c:pt idx="3772">
                  <c:v>38671</c:v>
                </c:pt>
                <c:pt idx="3773">
                  <c:v>38672</c:v>
                </c:pt>
                <c:pt idx="3774">
                  <c:v>38673</c:v>
                </c:pt>
                <c:pt idx="3775">
                  <c:v>38674</c:v>
                </c:pt>
                <c:pt idx="3776">
                  <c:v>38677</c:v>
                </c:pt>
                <c:pt idx="3777">
                  <c:v>38678</c:v>
                </c:pt>
                <c:pt idx="3778">
                  <c:v>38679</c:v>
                </c:pt>
                <c:pt idx="3779">
                  <c:v>38680</c:v>
                </c:pt>
                <c:pt idx="3780">
                  <c:v>38681</c:v>
                </c:pt>
                <c:pt idx="3781">
                  <c:v>38684</c:v>
                </c:pt>
                <c:pt idx="3782">
                  <c:v>38685</c:v>
                </c:pt>
                <c:pt idx="3783">
                  <c:v>38686</c:v>
                </c:pt>
                <c:pt idx="3784">
                  <c:v>38687</c:v>
                </c:pt>
                <c:pt idx="3785">
                  <c:v>38688</c:v>
                </c:pt>
                <c:pt idx="3786">
                  <c:v>38691</c:v>
                </c:pt>
                <c:pt idx="3787">
                  <c:v>38692</c:v>
                </c:pt>
                <c:pt idx="3788">
                  <c:v>38693</c:v>
                </c:pt>
                <c:pt idx="3789">
                  <c:v>38694</c:v>
                </c:pt>
                <c:pt idx="3790">
                  <c:v>38695</c:v>
                </c:pt>
                <c:pt idx="3791">
                  <c:v>38698</c:v>
                </c:pt>
                <c:pt idx="3792">
                  <c:v>38699</c:v>
                </c:pt>
                <c:pt idx="3793">
                  <c:v>38700</c:v>
                </c:pt>
                <c:pt idx="3794">
                  <c:v>38701</c:v>
                </c:pt>
                <c:pt idx="3795">
                  <c:v>38702</c:v>
                </c:pt>
                <c:pt idx="3796">
                  <c:v>38705</c:v>
                </c:pt>
                <c:pt idx="3797">
                  <c:v>38706</c:v>
                </c:pt>
                <c:pt idx="3798">
                  <c:v>38707</c:v>
                </c:pt>
                <c:pt idx="3799">
                  <c:v>38708</c:v>
                </c:pt>
                <c:pt idx="3800">
                  <c:v>38709</c:v>
                </c:pt>
                <c:pt idx="3801">
                  <c:v>38713</c:v>
                </c:pt>
                <c:pt idx="3802">
                  <c:v>38714</c:v>
                </c:pt>
                <c:pt idx="3803">
                  <c:v>38715</c:v>
                </c:pt>
                <c:pt idx="3804">
                  <c:v>38716</c:v>
                </c:pt>
                <c:pt idx="3805">
                  <c:v>38719</c:v>
                </c:pt>
                <c:pt idx="3806">
                  <c:v>38720</c:v>
                </c:pt>
                <c:pt idx="3807">
                  <c:v>38721</c:v>
                </c:pt>
                <c:pt idx="3808">
                  <c:v>38722</c:v>
                </c:pt>
                <c:pt idx="3809">
                  <c:v>38723</c:v>
                </c:pt>
                <c:pt idx="3810">
                  <c:v>38726</c:v>
                </c:pt>
                <c:pt idx="3811">
                  <c:v>38727</c:v>
                </c:pt>
                <c:pt idx="3812">
                  <c:v>38728</c:v>
                </c:pt>
                <c:pt idx="3813">
                  <c:v>38729</c:v>
                </c:pt>
                <c:pt idx="3814">
                  <c:v>38730</c:v>
                </c:pt>
                <c:pt idx="3815">
                  <c:v>38733</c:v>
                </c:pt>
                <c:pt idx="3816">
                  <c:v>38734</c:v>
                </c:pt>
                <c:pt idx="3817">
                  <c:v>38735</c:v>
                </c:pt>
                <c:pt idx="3818">
                  <c:v>38736</c:v>
                </c:pt>
                <c:pt idx="3819">
                  <c:v>38737</c:v>
                </c:pt>
                <c:pt idx="3820">
                  <c:v>38740</c:v>
                </c:pt>
                <c:pt idx="3821">
                  <c:v>38741</c:v>
                </c:pt>
                <c:pt idx="3822">
                  <c:v>38742</c:v>
                </c:pt>
                <c:pt idx="3823">
                  <c:v>38743</c:v>
                </c:pt>
                <c:pt idx="3824">
                  <c:v>38744</c:v>
                </c:pt>
                <c:pt idx="3825">
                  <c:v>38747</c:v>
                </c:pt>
                <c:pt idx="3826">
                  <c:v>38748</c:v>
                </c:pt>
                <c:pt idx="3827">
                  <c:v>38749</c:v>
                </c:pt>
                <c:pt idx="3828">
                  <c:v>38750</c:v>
                </c:pt>
                <c:pt idx="3829">
                  <c:v>38751</c:v>
                </c:pt>
                <c:pt idx="3830">
                  <c:v>38754</c:v>
                </c:pt>
                <c:pt idx="3831">
                  <c:v>38755</c:v>
                </c:pt>
                <c:pt idx="3832">
                  <c:v>38756</c:v>
                </c:pt>
                <c:pt idx="3833">
                  <c:v>38757</c:v>
                </c:pt>
                <c:pt idx="3834">
                  <c:v>38758</c:v>
                </c:pt>
                <c:pt idx="3835">
                  <c:v>38761</c:v>
                </c:pt>
                <c:pt idx="3836">
                  <c:v>38762</c:v>
                </c:pt>
                <c:pt idx="3837">
                  <c:v>38763</c:v>
                </c:pt>
                <c:pt idx="3838">
                  <c:v>38764</c:v>
                </c:pt>
                <c:pt idx="3839">
                  <c:v>38765</c:v>
                </c:pt>
                <c:pt idx="3840">
                  <c:v>38768</c:v>
                </c:pt>
                <c:pt idx="3841">
                  <c:v>38769</c:v>
                </c:pt>
                <c:pt idx="3842">
                  <c:v>38770</c:v>
                </c:pt>
                <c:pt idx="3843">
                  <c:v>38771</c:v>
                </c:pt>
                <c:pt idx="3844">
                  <c:v>38772</c:v>
                </c:pt>
                <c:pt idx="3845">
                  <c:v>38775</c:v>
                </c:pt>
                <c:pt idx="3846">
                  <c:v>38776</c:v>
                </c:pt>
                <c:pt idx="3847">
                  <c:v>38777</c:v>
                </c:pt>
                <c:pt idx="3848">
                  <c:v>38778</c:v>
                </c:pt>
                <c:pt idx="3849">
                  <c:v>38779</c:v>
                </c:pt>
                <c:pt idx="3850">
                  <c:v>38782</c:v>
                </c:pt>
                <c:pt idx="3851">
                  <c:v>38783</c:v>
                </c:pt>
                <c:pt idx="3852">
                  <c:v>38784</c:v>
                </c:pt>
                <c:pt idx="3853">
                  <c:v>38785</c:v>
                </c:pt>
                <c:pt idx="3854">
                  <c:v>38786</c:v>
                </c:pt>
                <c:pt idx="3855">
                  <c:v>38789</c:v>
                </c:pt>
                <c:pt idx="3856">
                  <c:v>38790</c:v>
                </c:pt>
                <c:pt idx="3857">
                  <c:v>38791</c:v>
                </c:pt>
                <c:pt idx="3858">
                  <c:v>38792</c:v>
                </c:pt>
                <c:pt idx="3859">
                  <c:v>38793</c:v>
                </c:pt>
                <c:pt idx="3860">
                  <c:v>38796</c:v>
                </c:pt>
                <c:pt idx="3861">
                  <c:v>38797</c:v>
                </c:pt>
                <c:pt idx="3862">
                  <c:v>38798</c:v>
                </c:pt>
                <c:pt idx="3863">
                  <c:v>38799</c:v>
                </c:pt>
                <c:pt idx="3864">
                  <c:v>38800</c:v>
                </c:pt>
                <c:pt idx="3865">
                  <c:v>38803</c:v>
                </c:pt>
                <c:pt idx="3866">
                  <c:v>38804</c:v>
                </c:pt>
                <c:pt idx="3867">
                  <c:v>38805</c:v>
                </c:pt>
                <c:pt idx="3868">
                  <c:v>38806</c:v>
                </c:pt>
                <c:pt idx="3869">
                  <c:v>38807</c:v>
                </c:pt>
                <c:pt idx="3870">
                  <c:v>38810</c:v>
                </c:pt>
                <c:pt idx="3871">
                  <c:v>38811</c:v>
                </c:pt>
                <c:pt idx="3872">
                  <c:v>38812</c:v>
                </c:pt>
                <c:pt idx="3873">
                  <c:v>38813</c:v>
                </c:pt>
                <c:pt idx="3874">
                  <c:v>38814</c:v>
                </c:pt>
                <c:pt idx="3875">
                  <c:v>38817</c:v>
                </c:pt>
                <c:pt idx="3876">
                  <c:v>38818</c:v>
                </c:pt>
                <c:pt idx="3877">
                  <c:v>38819</c:v>
                </c:pt>
                <c:pt idx="3878">
                  <c:v>38820</c:v>
                </c:pt>
                <c:pt idx="3879">
                  <c:v>38825</c:v>
                </c:pt>
                <c:pt idx="3880">
                  <c:v>38826</c:v>
                </c:pt>
                <c:pt idx="3881">
                  <c:v>38827</c:v>
                </c:pt>
                <c:pt idx="3882">
                  <c:v>38828</c:v>
                </c:pt>
                <c:pt idx="3883">
                  <c:v>38831</c:v>
                </c:pt>
                <c:pt idx="3884">
                  <c:v>38832</c:v>
                </c:pt>
                <c:pt idx="3885">
                  <c:v>38833</c:v>
                </c:pt>
                <c:pt idx="3886">
                  <c:v>38834</c:v>
                </c:pt>
                <c:pt idx="3887">
                  <c:v>38835</c:v>
                </c:pt>
                <c:pt idx="3888">
                  <c:v>38839</c:v>
                </c:pt>
                <c:pt idx="3889">
                  <c:v>38840</c:v>
                </c:pt>
                <c:pt idx="3890">
                  <c:v>38841</c:v>
                </c:pt>
                <c:pt idx="3891">
                  <c:v>38842</c:v>
                </c:pt>
                <c:pt idx="3892">
                  <c:v>38845</c:v>
                </c:pt>
                <c:pt idx="3893">
                  <c:v>38846</c:v>
                </c:pt>
                <c:pt idx="3894">
                  <c:v>38847</c:v>
                </c:pt>
                <c:pt idx="3895">
                  <c:v>38848</c:v>
                </c:pt>
                <c:pt idx="3896">
                  <c:v>38849</c:v>
                </c:pt>
                <c:pt idx="3897">
                  <c:v>38852</c:v>
                </c:pt>
                <c:pt idx="3898">
                  <c:v>38853</c:v>
                </c:pt>
                <c:pt idx="3899">
                  <c:v>38854</c:v>
                </c:pt>
                <c:pt idx="3900">
                  <c:v>38855</c:v>
                </c:pt>
                <c:pt idx="3901">
                  <c:v>38856</c:v>
                </c:pt>
                <c:pt idx="3902">
                  <c:v>38859</c:v>
                </c:pt>
                <c:pt idx="3903">
                  <c:v>38860</c:v>
                </c:pt>
                <c:pt idx="3904">
                  <c:v>38861</c:v>
                </c:pt>
                <c:pt idx="3905">
                  <c:v>38862</c:v>
                </c:pt>
                <c:pt idx="3906">
                  <c:v>38863</c:v>
                </c:pt>
                <c:pt idx="3907">
                  <c:v>38866</c:v>
                </c:pt>
                <c:pt idx="3908">
                  <c:v>38867</c:v>
                </c:pt>
                <c:pt idx="3909">
                  <c:v>38868</c:v>
                </c:pt>
                <c:pt idx="3910">
                  <c:v>38869</c:v>
                </c:pt>
                <c:pt idx="3911">
                  <c:v>38870</c:v>
                </c:pt>
                <c:pt idx="3912">
                  <c:v>38873</c:v>
                </c:pt>
                <c:pt idx="3913">
                  <c:v>38874</c:v>
                </c:pt>
                <c:pt idx="3914">
                  <c:v>38875</c:v>
                </c:pt>
                <c:pt idx="3915">
                  <c:v>38876</c:v>
                </c:pt>
                <c:pt idx="3916">
                  <c:v>38877</c:v>
                </c:pt>
                <c:pt idx="3917">
                  <c:v>38880</c:v>
                </c:pt>
                <c:pt idx="3918">
                  <c:v>38881</c:v>
                </c:pt>
                <c:pt idx="3919">
                  <c:v>38882</c:v>
                </c:pt>
                <c:pt idx="3920">
                  <c:v>38883</c:v>
                </c:pt>
                <c:pt idx="3921">
                  <c:v>38884</c:v>
                </c:pt>
                <c:pt idx="3922">
                  <c:v>38887</c:v>
                </c:pt>
                <c:pt idx="3923">
                  <c:v>38888</c:v>
                </c:pt>
                <c:pt idx="3924">
                  <c:v>38889</c:v>
                </c:pt>
                <c:pt idx="3925">
                  <c:v>38890</c:v>
                </c:pt>
                <c:pt idx="3926">
                  <c:v>38891</c:v>
                </c:pt>
                <c:pt idx="3927">
                  <c:v>38894</c:v>
                </c:pt>
                <c:pt idx="3928">
                  <c:v>38895</c:v>
                </c:pt>
                <c:pt idx="3929">
                  <c:v>38896</c:v>
                </c:pt>
                <c:pt idx="3930">
                  <c:v>38897</c:v>
                </c:pt>
                <c:pt idx="3931">
                  <c:v>38898</c:v>
                </c:pt>
                <c:pt idx="3932">
                  <c:v>38901</c:v>
                </c:pt>
                <c:pt idx="3933">
                  <c:v>38902</c:v>
                </c:pt>
                <c:pt idx="3934">
                  <c:v>38903</c:v>
                </c:pt>
                <c:pt idx="3935">
                  <c:v>38904</c:v>
                </c:pt>
                <c:pt idx="3936">
                  <c:v>38905</c:v>
                </c:pt>
                <c:pt idx="3937">
                  <c:v>38908</c:v>
                </c:pt>
                <c:pt idx="3938">
                  <c:v>38909</c:v>
                </c:pt>
                <c:pt idx="3939">
                  <c:v>38910</c:v>
                </c:pt>
                <c:pt idx="3940">
                  <c:v>38911</c:v>
                </c:pt>
                <c:pt idx="3941">
                  <c:v>38912</c:v>
                </c:pt>
                <c:pt idx="3942">
                  <c:v>38915</c:v>
                </c:pt>
                <c:pt idx="3943">
                  <c:v>38916</c:v>
                </c:pt>
                <c:pt idx="3944">
                  <c:v>38917</c:v>
                </c:pt>
                <c:pt idx="3945">
                  <c:v>38918</c:v>
                </c:pt>
                <c:pt idx="3946">
                  <c:v>38919</c:v>
                </c:pt>
                <c:pt idx="3947">
                  <c:v>38922</c:v>
                </c:pt>
                <c:pt idx="3948">
                  <c:v>38923</c:v>
                </c:pt>
                <c:pt idx="3949">
                  <c:v>38924</c:v>
                </c:pt>
                <c:pt idx="3950">
                  <c:v>38925</c:v>
                </c:pt>
                <c:pt idx="3951">
                  <c:v>38926</c:v>
                </c:pt>
                <c:pt idx="3952">
                  <c:v>38929</c:v>
                </c:pt>
                <c:pt idx="3953">
                  <c:v>38930</c:v>
                </c:pt>
                <c:pt idx="3954">
                  <c:v>38931</c:v>
                </c:pt>
                <c:pt idx="3955">
                  <c:v>38932</c:v>
                </c:pt>
                <c:pt idx="3956">
                  <c:v>38933</c:v>
                </c:pt>
                <c:pt idx="3957">
                  <c:v>38936</c:v>
                </c:pt>
                <c:pt idx="3958">
                  <c:v>38937</c:v>
                </c:pt>
                <c:pt idx="3959">
                  <c:v>38938</c:v>
                </c:pt>
                <c:pt idx="3960">
                  <c:v>38939</c:v>
                </c:pt>
                <c:pt idx="3961">
                  <c:v>38940</c:v>
                </c:pt>
                <c:pt idx="3962">
                  <c:v>38943</c:v>
                </c:pt>
                <c:pt idx="3963">
                  <c:v>38944</c:v>
                </c:pt>
                <c:pt idx="3964">
                  <c:v>38945</c:v>
                </c:pt>
                <c:pt idx="3965">
                  <c:v>38946</c:v>
                </c:pt>
                <c:pt idx="3966">
                  <c:v>38947</c:v>
                </c:pt>
                <c:pt idx="3967">
                  <c:v>38950</c:v>
                </c:pt>
                <c:pt idx="3968">
                  <c:v>38951</c:v>
                </c:pt>
                <c:pt idx="3969">
                  <c:v>38952</c:v>
                </c:pt>
                <c:pt idx="3970">
                  <c:v>38953</c:v>
                </c:pt>
                <c:pt idx="3971">
                  <c:v>38954</c:v>
                </c:pt>
                <c:pt idx="3972">
                  <c:v>38957</c:v>
                </c:pt>
                <c:pt idx="3973">
                  <c:v>38958</c:v>
                </c:pt>
                <c:pt idx="3974">
                  <c:v>38959</c:v>
                </c:pt>
                <c:pt idx="3975">
                  <c:v>38960</c:v>
                </c:pt>
                <c:pt idx="3976">
                  <c:v>38961</c:v>
                </c:pt>
                <c:pt idx="3977">
                  <c:v>38964</c:v>
                </c:pt>
                <c:pt idx="3978">
                  <c:v>38965</c:v>
                </c:pt>
                <c:pt idx="3979">
                  <c:v>38966</c:v>
                </c:pt>
                <c:pt idx="3980">
                  <c:v>38967</c:v>
                </c:pt>
                <c:pt idx="3981">
                  <c:v>38968</c:v>
                </c:pt>
                <c:pt idx="3982">
                  <c:v>38971</c:v>
                </c:pt>
                <c:pt idx="3983">
                  <c:v>38972</c:v>
                </c:pt>
                <c:pt idx="3984">
                  <c:v>38973</c:v>
                </c:pt>
                <c:pt idx="3985">
                  <c:v>38974</c:v>
                </c:pt>
                <c:pt idx="3986">
                  <c:v>38975</c:v>
                </c:pt>
                <c:pt idx="3987">
                  <c:v>38978</c:v>
                </c:pt>
                <c:pt idx="3988">
                  <c:v>38979</c:v>
                </c:pt>
                <c:pt idx="3989">
                  <c:v>38980</c:v>
                </c:pt>
                <c:pt idx="3990">
                  <c:v>38981</c:v>
                </c:pt>
                <c:pt idx="3991">
                  <c:v>38982</c:v>
                </c:pt>
                <c:pt idx="3992">
                  <c:v>38985</c:v>
                </c:pt>
                <c:pt idx="3993">
                  <c:v>38986</c:v>
                </c:pt>
                <c:pt idx="3994">
                  <c:v>38987</c:v>
                </c:pt>
                <c:pt idx="3995">
                  <c:v>38988</c:v>
                </c:pt>
                <c:pt idx="3996">
                  <c:v>38989</c:v>
                </c:pt>
                <c:pt idx="3997">
                  <c:v>38992</c:v>
                </c:pt>
                <c:pt idx="3998">
                  <c:v>38993</c:v>
                </c:pt>
                <c:pt idx="3999">
                  <c:v>38994</c:v>
                </c:pt>
                <c:pt idx="4000">
                  <c:v>38995</c:v>
                </c:pt>
                <c:pt idx="4001">
                  <c:v>38996</c:v>
                </c:pt>
                <c:pt idx="4002">
                  <c:v>38999</c:v>
                </c:pt>
                <c:pt idx="4003">
                  <c:v>39000</c:v>
                </c:pt>
                <c:pt idx="4004">
                  <c:v>39001</c:v>
                </c:pt>
                <c:pt idx="4005">
                  <c:v>39002</c:v>
                </c:pt>
                <c:pt idx="4006">
                  <c:v>39003</c:v>
                </c:pt>
                <c:pt idx="4007">
                  <c:v>39006</c:v>
                </c:pt>
                <c:pt idx="4008">
                  <c:v>39007</c:v>
                </c:pt>
                <c:pt idx="4009">
                  <c:v>39008</c:v>
                </c:pt>
                <c:pt idx="4010">
                  <c:v>39009</c:v>
                </c:pt>
                <c:pt idx="4011">
                  <c:v>39010</c:v>
                </c:pt>
                <c:pt idx="4012">
                  <c:v>39013</c:v>
                </c:pt>
                <c:pt idx="4013">
                  <c:v>39014</c:v>
                </c:pt>
                <c:pt idx="4014">
                  <c:v>39015</c:v>
                </c:pt>
                <c:pt idx="4015">
                  <c:v>39016</c:v>
                </c:pt>
                <c:pt idx="4016">
                  <c:v>39017</c:v>
                </c:pt>
                <c:pt idx="4017">
                  <c:v>39020</c:v>
                </c:pt>
                <c:pt idx="4018">
                  <c:v>39021</c:v>
                </c:pt>
                <c:pt idx="4019">
                  <c:v>39022</c:v>
                </c:pt>
                <c:pt idx="4020">
                  <c:v>39023</c:v>
                </c:pt>
                <c:pt idx="4021">
                  <c:v>39024</c:v>
                </c:pt>
                <c:pt idx="4022">
                  <c:v>39027</c:v>
                </c:pt>
                <c:pt idx="4023">
                  <c:v>39028</c:v>
                </c:pt>
                <c:pt idx="4024">
                  <c:v>39029</c:v>
                </c:pt>
                <c:pt idx="4025">
                  <c:v>39030</c:v>
                </c:pt>
                <c:pt idx="4026">
                  <c:v>39031</c:v>
                </c:pt>
                <c:pt idx="4027">
                  <c:v>39034</c:v>
                </c:pt>
                <c:pt idx="4028">
                  <c:v>39035</c:v>
                </c:pt>
                <c:pt idx="4029">
                  <c:v>39036</c:v>
                </c:pt>
                <c:pt idx="4030">
                  <c:v>39037</c:v>
                </c:pt>
                <c:pt idx="4031">
                  <c:v>39038</c:v>
                </c:pt>
                <c:pt idx="4032">
                  <c:v>39041</c:v>
                </c:pt>
                <c:pt idx="4033">
                  <c:v>39042</c:v>
                </c:pt>
                <c:pt idx="4034">
                  <c:v>39043</c:v>
                </c:pt>
                <c:pt idx="4035">
                  <c:v>39044</c:v>
                </c:pt>
                <c:pt idx="4036">
                  <c:v>39045</c:v>
                </c:pt>
                <c:pt idx="4037">
                  <c:v>39048</c:v>
                </c:pt>
                <c:pt idx="4038">
                  <c:v>39049</c:v>
                </c:pt>
                <c:pt idx="4039">
                  <c:v>39050</c:v>
                </c:pt>
                <c:pt idx="4040">
                  <c:v>39051</c:v>
                </c:pt>
                <c:pt idx="4041">
                  <c:v>39052</c:v>
                </c:pt>
                <c:pt idx="4042">
                  <c:v>39055</c:v>
                </c:pt>
                <c:pt idx="4043">
                  <c:v>39056</c:v>
                </c:pt>
                <c:pt idx="4044">
                  <c:v>39057</c:v>
                </c:pt>
                <c:pt idx="4045">
                  <c:v>39058</c:v>
                </c:pt>
                <c:pt idx="4046">
                  <c:v>39059</c:v>
                </c:pt>
                <c:pt idx="4047">
                  <c:v>39062</c:v>
                </c:pt>
                <c:pt idx="4048">
                  <c:v>39063</c:v>
                </c:pt>
                <c:pt idx="4049">
                  <c:v>39064</c:v>
                </c:pt>
                <c:pt idx="4050">
                  <c:v>39065</c:v>
                </c:pt>
                <c:pt idx="4051">
                  <c:v>39066</c:v>
                </c:pt>
                <c:pt idx="4052">
                  <c:v>39069</c:v>
                </c:pt>
                <c:pt idx="4053">
                  <c:v>39070</c:v>
                </c:pt>
                <c:pt idx="4054">
                  <c:v>39071</c:v>
                </c:pt>
                <c:pt idx="4055">
                  <c:v>39072</c:v>
                </c:pt>
                <c:pt idx="4056">
                  <c:v>39073</c:v>
                </c:pt>
                <c:pt idx="4057">
                  <c:v>39078</c:v>
                </c:pt>
                <c:pt idx="4058">
                  <c:v>39079</c:v>
                </c:pt>
                <c:pt idx="4059">
                  <c:v>39080</c:v>
                </c:pt>
                <c:pt idx="4060">
                  <c:v>39084</c:v>
                </c:pt>
                <c:pt idx="4061">
                  <c:v>39085</c:v>
                </c:pt>
                <c:pt idx="4062">
                  <c:v>39086</c:v>
                </c:pt>
                <c:pt idx="4063">
                  <c:v>39087</c:v>
                </c:pt>
                <c:pt idx="4064">
                  <c:v>39090</c:v>
                </c:pt>
                <c:pt idx="4065">
                  <c:v>39091</c:v>
                </c:pt>
                <c:pt idx="4066">
                  <c:v>39092</c:v>
                </c:pt>
                <c:pt idx="4067">
                  <c:v>39093</c:v>
                </c:pt>
                <c:pt idx="4068">
                  <c:v>39094</c:v>
                </c:pt>
                <c:pt idx="4069">
                  <c:v>39097</c:v>
                </c:pt>
                <c:pt idx="4070">
                  <c:v>39098</c:v>
                </c:pt>
                <c:pt idx="4071">
                  <c:v>39099</c:v>
                </c:pt>
                <c:pt idx="4072">
                  <c:v>39100</c:v>
                </c:pt>
                <c:pt idx="4073">
                  <c:v>39101</c:v>
                </c:pt>
                <c:pt idx="4074">
                  <c:v>39104</c:v>
                </c:pt>
                <c:pt idx="4075">
                  <c:v>39105</c:v>
                </c:pt>
                <c:pt idx="4076">
                  <c:v>39106</c:v>
                </c:pt>
                <c:pt idx="4077">
                  <c:v>39107</c:v>
                </c:pt>
                <c:pt idx="4078">
                  <c:v>39108</c:v>
                </c:pt>
                <c:pt idx="4079">
                  <c:v>39111</c:v>
                </c:pt>
                <c:pt idx="4080">
                  <c:v>39112</c:v>
                </c:pt>
                <c:pt idx="4081">
                  <c:v>39113</c:v>
                </c:pt>
                <c:pt idx="4082">
                  <c:v>39114</c:v>
                </c:pt>
                <c:pt idx="4083">
                  <c:v>39115</c:v>
                </c:pt>
                <c:pt idx="4084">
                  <c:v>39118</c:v>
                </c:pt>
                <c:pt idx="4085">
                  <c:v>39119</c:v>
                </c:pt>
                <c:pt idx="4086">
                  <c:v>39120</c:v>
                </c:pt>
                <c:pt idx="4087">
                  <c:v>39121</c:v>
                </c:pt>
                <c:pt idx="4088">
                  <c:v>39122</c:v>
                </c:pt>
                <c:pt idx="4089">
                  <c:v>39125</c:v>
                </c:pt>
                <c:pt idx="4090">
                  <c:v>39126</c:v>
                </c:pt>
                <c:pt idx="4091">
                  <c:v>39127</c:v>
                </c:pt>
                <c:pt idx="4092">
                  <c:v>39128</c:v>
                </c:pt>
                <c:pt idx="4093">
                  <c:v>39129</c:v>
                </c:pt>
                <c:pt idx="4094">
                  <c:v>39132</c:v>
                </c:pt>
                <c:pt idx="4095">
                  <c:v>39133</c:v>
                </c:pt>
                <c:pt idx="4096">
                  <c:v>39134</c:v>
                </c:pt>
                <c:pt idx="4097">
                  <c:v>39135</c:v>
                </c:pt>
                <c:pt idx="4098">
                  <c:v>39136</c:v>
                </c:pt>
                <c:pt idx="4099">
                  <c:v>39139</c:v>
                </c:pt>
                <c:pt idx="4100">
                  <c:v>39140</c:v>
                </c:pt>
                <c:pt idx="4101">
                  <c:v>39141</c:v>
                </c:pt>
                <c:pt idx="4102">
                  <c:v>39142</c:v>
                </c:pt>
                <c:pt idx="4103">
                  <c:v>39143</c:v>
                </c:pt>
                <c:pt idx="4104">
                  <c:v>39146</c:v>
                </c:pt>
                <c:pt idx="4105">
                  <c:v>39147</c:v>
                </c:pt>
                <c:pt idx="4106">
                  <c:v>39148</c:v>
                </c:pt>
                <c:pt idx="4107">
                  <c:v>39149</c:v>
                </c:pt>
                <c:pt idx="4108">
                  <c:v>39150</c:v>
                </c:pt>
                <c:pt idx="4109">
                  <c:v>39153</c:v>
                </c:pt>
                <c:pt idx="4110">
                  <c:v>39154</c:v>
                </c:pt>
                <c:pt idx="4111">
                  <c:v>39155</c:v>
                </c:pt>
                <c:pt idx="4112">
                  <c:v>39156</c:v>
                </c:pt>
                <c:pt idx="4113">
                  <c:v>39157</c:v>
                </c:pt>
                <c:pt idx="4114">
                  <c:v>39160</c:v>
                </c:pt>
                <c:pt idx="4115">
                  <c:v>39161</c:v>
                </c:pt>
                <c:pt idx="4116">
                  <c:v>39162</c:v>
                </c:pt>
                <c:pt idx="4117">
                  <c:v>39163</c:v>
                </c:pt>
                <c:pt idx="4118">
                  <c:v>39164</c:v>
                </c:pt>
                <c:pt idx="4119">
                  <c:v>39167</c:v>
                </c:pt>
                <c:pt idx="4120">
                  <c:v>39168</c:v>
                </c:pt>
                <c:pt idx="4121">
                  <c:v>39169</c:v>
                </c:pt>
                <c:pt idx="4122">
                  <c:v>39170</c:v>
                </c:pt>
                <c:pt idx="4123">
                  <c:v>39171</c:v>
                </c:pt>
                <c:pt idx="4124">
                  <c:v>39174</c:v>
                </c:pt>
                <c:pt idx="4125">
                  <c:v>39175</c:v>
                </c:pt>
                <c:pt idx="4126">
                  <c:v>39176</c:v>
                </c:pt>
                <c:pt idx="4127">
                  <c:v>39177</c:v>
                </c:pt>
                <c:pt idx="4128">
                  <c:v>39182</c:v>
                </c:pt>
                <c:pt idx="4129">
                  <c:v>39183</c:v>
                </c:pt>
                <c:pt idx="4130">
                  <c:v>39184</c:v>
                </c:pt>
                <c:pt idx="4131">
                  <c:v>39185</c:v>
                </c:pt>
                <c:pt idx="4132">
                  <c:v>39188</c:v>
                </c:pt>
                <c:pt idx="4133">
                  <c:v>39189</c:v>
                </c:pt>
                <c:pt idx="4134">
                  <c:v>39190</c:v>
                </c:pt>
                <c:pt idx="4135">
                  <c:v>39191</c:v>
                </c:pt>
                <c:pt idx="4136">
                  <c:v>39192</c:v>
                </c:pt>
                <c:pt idx="4137">
                  <c:v>39195</c:v>
                </c:pt>
                <c:pt idx="4138">
                  <c:v>39196</c:v>
                </c:pt>
                <c:pt idx="4139">
                  <c:v>39197</c:v>
                </c:pt>
                <c:pt idx="4140">
                  <c:v>39198</c:v>
                </c:pt>
                <c:pt idx="4141">
                  <c:v>39199</c:v>
                </c:pt>
                <c:pt idx="4142">
                  <c:v>39202</c:v>
                </c:pt>
                <c:pt idx="4143">
                  <c:v>39204</c:v>
                </c:pt>
                <c:pt idx="4144">
                  <c:v>39205</c:v>
                </c:pt>
                <c:pt idx="4145">
                  <c:v>39206</c:v>
                </c:pt>
                <c:pt idx="4146">
                  <c:v>39209</c:v>
                </c:pt>
                <c:pt idx="4147">
                  <c:v>39210</c:v>
                </c:pt>
                <c:pt idx="4148">
                  <c:v>39211</c:v>
                </c:pt>
                <c:pt idx="4149">
                  <c:v>39212</c:v>
                </c:pt>
                <c:pt idx="4150">
                  <c:v>39213</c:v>
                </c:pt>
                <c:pt idx="4151">
                  <c:v>39216</c:v>
                </c:pt>
                <c:pt idx="4152">
                  <c:v>39217</c:v>
                </c:pt>
                <c:pt idx="4153">
                  <c:v>39218</c:v>
                </c:pt>
                <c:pt idx="4154">
                  <c:v>39219</c:v>
                </c:pt>
                <c:pt idx="4155">
                  <c:v>39220</c:v>
                </c:pt>
                <c:pt idx="4156">
                  <c:v>39223</c:v>
                </c:pt>
                <c:pt idx="4157">
                  <c:v>39224</c:v>
                </c:pt>
                <c:pt idx="4158">
                  <c:v>39225</c:v>
                </c:pt>
                <c:pt idx="4159">
                  <c:v>39226</c:v>
                </c:pt>
                <c:pt idx="4160">
                  <c:v>39227</c:v>
                </c:pt>
                <c:pt idx="4161">
                  <c:v>39231</c:v>
                </c:pt>
                <c:pt idx="4162">
                  <c:v>39232</c:v>
                </c:pt>
                <c:pt idx="4163">
                  <c:v>39233</c:v>
                </c:pt>
                <c:pt idx="4164">
                  <c:v>39234</c:v>
                </c:pt>
                <c:pt idx="4165">
                  <c:v>39237</c:v>
                </c:pt>
                <c:pt idx="4166">
                  <c:v>39238</c:v>
                </c:pt>
                <c:pt idx="4167">
                  <c:v>39239</c:v>
                </c:pt>
                <c:pt idx="4168">
                  <c:v>39240</c:v>
                </c:pt>
                <c:pt idx="4169">
                  <c:v>39241</c:v>
                </c:pt>
                <c:pt idx="4170">
                  <c:v>39244</c:v>
                </c:pt>
                <c:pt idx="4171">
                  <c:v>39245</c:v>
                </c:pt>
                <c:pt idx="4172">
                  <c:v>39246</c:v>
                </c:pt>
                <c:pt idx="4173">
                  <c:v>39247</c:v>
                </c:pt>
                <c:pt idx="4174">
                  <c:v>39248</c:v>
                </c:pt>
                <c:pt idx="4175">
                  <c:v>39251</c:v>
                </c:pt>
                <c:pt idx="4176">
                  <c:v>39252</c:v>
                </c:pt>
                <c:pt idx="4177">
                  <c:v>39253</c:v>
                </c:pt>
                <c:pt idx="4178">
                  <c:v>39254</c:v>
                </c:pt>
                <c:pt idx="4179">
                  <c:v>39255</c:v>
                </c:pt>
                <c:pt idx="4180">
                  <c:v>39258</c:v>
                </c:pt>
                <c:pt idx="4181">
                  <c:v>39259</c:v>
                </c:pt>
                <c:pt idx="4182">
                  <c:v>39260</c:v>
                </c:pt>
                <c:pt idx="4183">
                  <c:v>39261</c:v>
                </c:pt>
                <c:pt idx="4184">
                  <c:v>39262</c:v>
                </c:pt>
                <c:pt idx="4185">
                  <c:v>39265</c:v>
                </c:pt>
                <c:pt idx="4186">
                  <c:v>39266</c:v>
                </c:pt>
                <c:pt idx="4187">
                  <c:v>39267</c:v>
                </c:pt>
                <c:pt idx="4188">
                  <c:v>39268</c:v>
                </c:pt>
                <c:pt idx="4189">
                  <c:v>39269</c:v>
                </c:pt>
                <c:pt idx="4190">
                  <c:v>39272</c:v>
                </c:pt>
                <c:pt idx="4191">
                  <c:v>39273</c:v>
                </c:pt>
                <c:pt idx="4192">
                  <c:v>39274</c:v>
                </c:pt>
                <c:pt idx="4193">
                  <c:v>39275</c:v>
                </c:pt>
                <c:pt idx="4194">
                  <c:v>39276</c:v>
                </c:pt>
                <c:pt idx="4195">
                  <c:v>39279</c:v>
                </c:pt>
                <c:pt idx="4196">
                  <c:v>39280</c:v>
                </c:pt>
                <c:pt idx="4197">
                  <c:v>39281</c:v>
                </c:pt>
                <c:pt idx="4198">
                  <c:v>39282</c:v>
                </c:pt>
                <c:pt idx="4199">
                  <c:v>39283</c:v>
                </c:pt>
                <c:pt idx="4200">
                  <c:v>39286</c:v>
                </c:pt>
                <c:pt idx="4201">
                  <c:v>39287</c:v>
                </c:pt>
                <c:pt idx="4202">
                  <c:v>39288</c:v>
                </c:pt>
                <c:pt idx="4203">
                  <c:v>39289</c:v>
                </c:pt>
                <c:pt idx="4204">
                  <c:v>39290</c:v>
                </c:pt>
                <c:pt idx="4205">
                  <c:v>39293</c:v>
                </c:pt>
                <c:pt idx="4206">
                  <c:v>39294</c:v>
                </c:pt>
                <c:pt idx="4207">
                  <c:v>39295</c:v>
                </c:pt>
                <c:pt idx="4208">
                  <c:v>39296</c:v>
                </c:pt>
                <c:pt idx="4209">
                  <c:v>39297</c:v>
                </c:pt>
                <c:pt idx="4210">
                  <c:v>39300</c:v>
                </c:pt>
                <c:pt idx="4211">
                  <c:v>39301</c:v>
                </c:pt>
                <c:pt idx="4212">
                  <c:v>39302</c:v>
                </c:pt>
                <c:pt idx="4213">
                  <c:v>39303</c:v>
                </c:pt>
                <c:pt idx="4214">
                  <c:v>39304</c:v>
                </c:pt>
                <c:pt idx="4215">
                  <c:v>39307</c:v>
                </c:pt>
                <c:pt idx="4216">
                  <c:v>39308</c:v>
                </c:pt>
                <c:pt idx="4217">
                  <c:v>39309</c:v>
                </c:pt>
                <c:pt idx="4218">
                  <c:v>39310</c:v>
                </c:pt>
                <c:pt idx="4219">
                  <c:v>39311</c:v>
                </c:pt>
                <c:pt idx="4220">
                  <c:v>39314</c:v>
                </c:pt>
                <c:pt idx="4221">
                  <c:v>39315</c:v>
                </c:pt>
                <c:pt idx="4222">
                  <c:v>39316</c:v>
                </c:pt>
                <c:pt idx="4223">
                  <c:v>39317</c:v>
                </c:pt>
                <c:pt idx="4224">
                  <c:v>39318</c:v>
                </c:pt>
                <c:pt idx="4225">
                  <c:v>39321</c:v>
                </c:pt>
                <c:pt idx="4226">
                  <c:v>39322</c:v>
                </c:pt>
                <c:pt idx="4227">
                  <c:v>39323</c:v>
                </c:pt>
                <c:pt idx="4228">
                  <c:v>39324</c:v>
                </c:pt>
                <c:pt idx="4229">
                  <c:v>39325</c:v>
                </c:pt>
                <c:pt idx="4230">
                  <c:v>39328</c:v>
                </c:pt>
                <c:pt idx="4231">
                  <c:v>39329</c:v>
                </c:pt>
                <c:pt idx="4232">
                  <c:v>39330</c:v>
                </c:pt>
                <c:pt idx="4233">
                  <c:v>39331</c:v>
                </c:pt>
                <c:pt idx="4234">
                  <c:v>39332</c:v>
                </c:pt>
                <c:pt idx="4235">
                  <c:v>39335</c:v>
                </c:pt>
                <c:pt idx="4236">
                  <c:v>39336</c:v>
                </c:pt>
                <c:pt idx="4237">
                  <c:v>39337</c:v>
                </c:pt>
                <c:pt idx="4238">
                  <c:v>39338</c:v>
                </c:pt>
                <c:pt idx="4239">
                  <c:v>39339</c:v>
                </c:pt>
                <c:pt idx="4240">
                  <c:v>39342</c:v>
                </c:pt>
                <c:pt idx="4241">
                  <c:v>39343</c:v>
                </c:pt>
                <c:pt idx="4242">
                  <c:v>39344</c:v>
                </c:pt>
                <c:pt idx="4243">
                  <c:v>39345</c:v>
                </c:pt>
                <c:pt idx="4244">
                  <c:v>39346</c:v>
                </c:pt>
                <c:pt idx="4245">
                  <c:v>39349</c:v>
                </c:pt>
                <c:pt idx="4246">
                  <c:v>39350</c:v>
                </c:pt>
                <c:pt idx="4247">
                  <c:v>39351</c:v>
                </c:pt>
                <c:pt idx="4248">
                  <c:v>39352</c:v>
                </c:pt>
                <c:pt idx="4249">
                  <c:v>39353</c:v>
                </c:pt>
                <c:pt idx="4250">
                  <c:v>39356</c:v>
                </c:pt>
                <c:pt idx="4251">
                  <c:v>39357</c:v>
                </c:pt>
                <c:pt idx="4252">
                  <c:v>39358</c:v>
                </c:pt>
                <c:pt idx="4253">
                  <c:v>39359</c:v>
                </c:pt>
                <c:pt idx="4254">
                  <c:v>39360</c:v>
                </c:pt>
                <c:pt idx="4255">
                  <c:v>39363</c:v>
                </c:pt>
                <c:pt idx="4256">
                  <c:v>39364</c:v>
                </c:pt>
                <c:pt idx="4257">
                  <c:v>39365</c:v>
                </c:pt>
                <c:pt idx="4258">
                  <c:v>39366</c:v>
                </c:pt>
                <c:pt idx="4259">
                  <c:v>39367</c:v>
                </c:pt>
                <c:pt idx="4260">
                  <c:v>39370</c:v>
                </c:pt>
                <c:pt idx="4261">
                  <c:v>39371</c:v>
                </c:pt>
                <c:pt idx="4262">
                  <c:v>39372</c:v>
                </c:pt>
                <c:pt idx="4263">
                  <c:v>39373</c:v>
                </c:pt>
                <c:pt idx="4264">
                  <c:v>39374</c:v>
                </c:pt>
                <c:pt idx="4265">
                  <c:v>39377</c:v>
                </c:pt>
                <c:pt idx="4266">
                  <c:v>39378</c:v>
                </c:pt>
                <c:pt idx="4267">
                  <c:v>39379</c:v>
                </c:pt>
                <c:pt idx="4268">
                  <c:v>39380</c:v>
                </c:pt>
                <c:pt idx="4269">
                  <c:v>39381</c:v>
                </c:pt>
                <c:pt idx="4270">
                  <c:v>39384</c:v>
                </c:pt>
                <c:pt idx="4271">
                  <c:v>39385</c:v>
                </c:pt>
                <c:pt idx="4272">
                  <c:v>39386</c:v>
                </c:pt>
                <c:pt idx="4273">
                  <c:v>39387</c:v>
                </c:pt>
                <c:pt idx="4274">
                  <c:v>39388</c:v>
                </c:pt>
                <c:pt idx="4275">
                  <c:v>39391</c:v>
                </c:pt>
                <c:pt idx="4276">
                  <c:v>39392</c:v>
                </c:pt>
                <c:pt idx="4277">
                  <c:v>39393</c:v>
                </c:pt>
                <c:pt idx="4278">
                  <c:v>39394</c:v>
                </c:pt>
                <c:pt idx="4279">
                  <c:v>39395</c:v>
                </c:pt>
                <c:pt idx="4280">
                  <c:v>39398</c:v>
                </c:pt>
                <c:pt idx="4281">
                  <c:v>39399</c:v>
                </c:pt>
                <c:pt idx="4282">
                  <c:v>39400</c:v>
                </c:pt>
                <c:pt idx="4283">
                  <c:v>39401</c:v>
                </c:pt>
                <c:pt idx="4284">
                  <c:v>39402</c:v>
                </c:pt>
                <c:pt idx="4285">
                  <c:v>39405</c:v>
                </c:pt>
                <c:pt idx="4286">
                  <c:v>39406</c:v>
                </c:pt>
                <c:pt idx="4287">
                  <c:v>39407</c:v>
                </c:pt>
                <c:pt idx="4288">
                  <c:v>39408</c:v>
                </c:pt>
                <c:pt idx="4289">
                  <c:v>39409</c:v>
                </c:pt>
                <c:pt idx="4290">
                  <c:v>39412</c:v>
                </c:pt>
                <c:pt idx="4291">
                  <c:v>39413</c:v>
                </c:pt>
                <c:pt idx="4292">
                  <c:v>39414</c:v>
                </c:pt>
                <c:pt idx="4293">
                  <c:v>39415</c:v>
                </c:pt>
                <c:pt idx="4294">
                  <c:v>39416</c:v>
                </c:pt>
                <c:pt idx="4295">
                  <c:v>39419</c:v>
                </c:pt>
                <c:pt idx="4296">
                  <c:v>39420</c:v>
                </c:pt>
                <c:pt idx="4297">
                  <c:v>39421</c:v>
                </c:pt>
                <c:pt idx="4298">
                  <c:v>39422</c:v>
                </c:pt>
                <c:pt idx="4299">
                  <c:v>39423</c:v>
                </c:pt>
                <c:pt idx="4300">
                  <c:v>39426</c:v>
                </c:pt>
                <c:pt idx="4301">
                  <c:v>39427</c:v>
                </c:pt>
                <c:pt idx="4302">
                  <c:v>39428</c:v>
                </c:pt>
                <c:pt idx="4303">
                  <c:v>39429</c:v>
                </c:pt>
                <c:pt idx="4304">
                  <c:v>39430</c:v>
                </c:pt>
                <c:pt idx="4305">
                  <c:v>39433</c:v>
                </c:pt>
                <c:pt idx="4306">
                  <c:v>39434</c:v>
                </c:pt>
                <c:pt idx="4307">
                  <c:v>39435</c:v>
                </c:pt>
                <c:pt idx="4308">
                  <c:v>39436</c:v>
                </c:pt>
                <c:pt idx="4309">
                  <c:v>39437</c:v>
                </c:pt>
                <c:pt idx="4310">
                  <c:v>39443</c:v>
                </c:pt>
                <c:pt idx="4311">
                  <c:v>39444</c:v>
                </c:pt>
                <c:pt idx="4312">
                  <c:v>39449</c:v>
                </c:pt>
                <c:pt idx="4313">
                  <c:v>39450</c:v>
                </c:pt>
                <c:pt idx="4314">
                  <c:v>39451</c:v>
                </c:pt>
                <c:pt idx="4315">
                  <c:v>39454</c:v>
                </c:pt>
                <c:pt idx="4316">
                  <c:v>39455</c:v>
                </c:pt>
                <c:pt idx="4317">
                  <c:v>39456</c:v>
                </c:pt>
                <c:pt idx="4318">
                  <c:v>39457</c:v>
                </c:pt>
                <c:pt idx="4319">
                  <c:v>39458</c:v>
                </c:pt>
                <c:pt idx="4320">
                  <c:v>39461</c:v>
                </c:pt>
                <c:pt idx="4321">
                  <c:v>39462</c:v>
                </c:pt>
                <c:pt idx="4322">
                  <c:v>39463</c:v>
                </c:pt>
                <c:pt idx="4323">
                  <c:v>39464</c:v>
                </c:pt>
                <c:pt idx="4324">
                  <c:v>39465</c:v>
                </c:pt>
                <c:pt idx="4325">
                  <c:v>39468</c:v>
                </c:pt>
                <c:pt idx="4326">
                  <c:v>39469</c:v>
                </c:pt>
                <c:pt idx="4327">
                  <c:v>39470</c:v>
                </c:pt>
                <c:pt idx="4328">
                  <c:v>39471</c:v>
                </c:pt>
                <c:pt idx="4329">
                  <c:v>39472</c:v>
                </c:pt>
                <c:pt idx="4330">
                  <c:v>39475</c:v>
                </c:pt>
                <c:pt idx="4331">
                  <c:v>39476</c:v>
                </c:pt>
                <c:pt idx="4332">
                  <c:v>39477</c:v>
                </c:pt>
                <c:pt idx="4333">
                  <c:v>39478</c:v>
                </c:pt>
                <c:pt idx="4334">
                  <c:v>39479</c:v>
                </c:pt>
                <c:pt idx="4335">
                  <c:v>39482</c:v>
                </c:pt>
                <c:pt idx="4336">
                  <c:v>39483</c:v>
                </c:pt>
                <c:pt idx="4337">
                  <c:v>39484</c:v>
                </c:pt>
                <c:pt idx="4338">
                  <c:v>39485</c:v>
                </c:pt>
                <c:pt idx="4339">
                  <c:v>39486</c:v>
                </c:pt>
                <c:pt idx="4340">
                  <c:v>39489</c:v>
                </c:pt>
                <c:pt idx="4341">
                  <c:v>39490</c:v>
                </c:pt>
                <c:pt idx="4342">
                  <c:v>39491</c:v>
                </c:pt>
                <c:pt idx="4343">
                  <c:v>39492</c:v>
                </c:pt>
                <c:pt idx="4344">
                  <c:v>39493</c:v>
                </c:pt>
                <c:pt idx="4345">
                  <c:v>39497</c:v>
                </c:pt>
                <c:pt idx="4346">
                  <c:v>39498</c:v>
                </c:pt>
                <c:pt idx="4347">
                  <c:v>39499</c:v>
                </c:pt>
                <c:pt idx="4348">
                  <c:v>39500</c:v>
                </c:pt>
                <c:pt idx="4349">
                  <c:v>39503</c:v>
                </c:pt>
                <c:pt idx="4350">
                  <c:v>39504</c:v>
                </c:pt>
                <c:pt idx="4351">
                  <c:v>39505</c:v>
                </c:pt>
                <c:pt idx="4352">
                  <c:v>39506</c:v>
                </c:pt>
                <c:pt idx="4353">
                  <c:v>39507</c:v>
                </c:pt>
                <c:pt idx="4354">
                  <c:v>39510</c:v>
                </c:pt>
                <c:pt idx="4355">
                  <c:v>39511</c:v>
                </c:pt>
                <c:pt idx="4356">
                  <c:v>39512</c:v>
                </c:pt>
                <c:pt idx="4357">
                  <c:v>39513</c:v>
                </c:pt>
                <c:pt idx="4358">
                  <c:v>39514</c:v>
                </c:pt>
                <c:pt idx="4359">
                  <c:v>39517</c:v>
                </c:pt>
                <c:pt idx="4360">
                  <c:v>39518</c:v>
                </c:pt>
                <c:pt idx="4361">
                  <c:v>39519</c:v>
                </c:pt>
                <c:pt idx="4362">
                  <c:v>39520</c:v>
                </c:pt>
                <c:pt idx="4363">
                  <c:v>39521</c:v>
                </c:pt>
                <c:pt idx="4364">
                  <c:v>39524</c:v>
                </c:pt>
                <c:pt idx="4365">
                  <c:v>39525</c:v>
                </c:pt>
                <c:pt idx="4366">
                  <c:v>39526</c:v>
                </c:pt>
                <c:pt idx="4367">
                  <c:v>39527</c:v>
                </c:pt>
                <c:pt idx="4368">
                  <c:v>39532</c:v>
                </c:pt>
                <c:pt idx="4369">
                  <c:v>39533</c:v>
                </c:pt>
                <c:pt idx="4370">
                  <c:v>39534</c:v>
                </c:pt>
                <c:pt idx="4371">
                  <c:v>39535</c:v>
                </c:pt>
                <c:pt idx="4372">
                  <c:v>39538</c:v>
                </c:pt>
                <c:pt idx="4373">
                  <c:v>39539</c:v>
                </c:pt>
                <c:pt idx="4374">
                  <c:v>39540</c:v>
                </c:pt>
                <c:pt idx="4375">
                  <c:v>39541</c:v>
                </c:pt>
                <c:pt idx="4376">
                  <c:v>39542</c:v>
                </c:pt>
                <c:pt idx="4377">
                  <c:v>39545</c:v>
                </c:pt>
                <c:pt idx="4378">
                  <c:v>39546</c:v>
                </c:pt>
                <c:pt idx="4379">
                  <c:v>39547</c:v>
                </c:pt>
                <c:pt idx="4380">
                  <c:v>39548</c:v>
                </c:pt>
                <c:pt idx="4381">
                  <c:v>39549</c:v>
                </c:pt>
                <c:pt idx="4382">
                  <c:v>39552</c:v>
                </c:pt>
                <c:pt idx="4383">
                  <c:v>39553</c:v>
                </c:pt>
                <c:pt idx="4384">
                  <c:v>39554</c:v>
                </c:pt>
                <c:pt idx="4385">
                  <c:v>39555</c:v>
                </c:pt>
                <c:pt idx="4386">
                  <c:v>39556</c:v>
                </c:pt>
                <c:pt idx="4387">
                  <c:v>39559</c:v>
                </c:pt>
                <c:pt idx="4388">
                  <c:v>39560</c:v>
                </c:pt>
                <c:pt idx="4389">
                  <c:v>39561</c:v>
                </c:pt>
                <c:pt idx="4390">
                  <c:v>39562</c:v>
                </c:pt>
                <c:pt idx="4391">
                  <c:v>39563</c:v>
                </c:pt>
                <c:pt idx="4392">
                  <c:v>39566</c:v>
                </c:pt>
                <c:pt idx="4393">
                  <c:v>39567</c:v>
                </c:pt>
                <c:pt idx="4394">
                  <c:v>39568</c:v>
                </c:pt>
                <c:pt idx="4395">
                  <c:v>39570</c:v>
                </c:pt>
                <c:pt idx="4396">
                  <c:v>39573</c:v>
                </c:pt>
                <c:pt idx="4397">
                  <c:v>39574</c:v>
                </c:pt>
                <c:pt idx="4398">
                  <c:v>39575</c:v>
                </c:pt>
                <c:pt idx="4399">
                  <c:v>39576</c:v>
                </c:pt>
                <c:pt idx="4400">
                  <c:v>39577</c:v>
                </c:pt>
                <c:pt idx="4401">
                  <c:v>39580</c:v>
                </c:pt>
                <c:pt idx="4402">
                  <c:v>39581</c:v>
                </c:pt>
                <c:pt idx="4403">
                  <c:v>39582</c:v>
                </c:pt>
                <c:pt idx="4404">
                  <c:v>39583</c:v>
                </c:pt>
                <c:pt idx="4405">
                  <c:v>39584</c:v>
                </c:pt>
                <c:pt idx="4406">
                  <c:v>39587</c:v>
                </c:pt>
                <c:pt idx="4407">
                  <c:v>39588</c:v>
                </c:pt>
                <c:pt idx="4408">
                  <c:v>39589</c:v>
                </c:pt>
                <c:pt idx="4409">
                  <c:v>39590</c:v>
                </c:pt>
                <c:pt idx="4410">
                  <c:v>39591</c:v>
                </c:pt>
                <c:pt idx="4411">
                  <c:v>39594</c:v>
                </c:pt>
                <c:pt idx="4412">
                  <c:v>39595</c:v>
                </c:pt>
                <c:pt idx="4413">
                  <c:v>39596</c:v>
                </c:pt>
                <c:pt idx="4414">
                  <c:v>39597</c:v>
                </c:pt>
                <c:pt idx="4415">
                  <c:v>39598</c:v>
                </c:pt>
                <c:pt idx="4416">
                  <c:v>39601</c:v>
                </c:pt>
                <c:pt idx="4417">
                  <c:v>39602</c:v>
                </c:pt>
                <c:pt idx="4418">
                  <c:v>39603</c:v>
                </c:pt>
                <c:pt idx="4419">
                  <c:v>39604</c:v>
                </c:pt>
                <c:pt idx="4420">
                  <c:v>39605</c:v>
                </c:pt>
                <c:pt idx="4421">
                  <c:v>39608</c:v>
                </c:pt>
                <c:pt idx="4422">
                  <c:v>39609</c:v>
                </c:pt>
                <c:pt idx="4423">
                  <c:v>39610</c:v>
                </c:pt>
                <c:pt idx="4424">
                  <c:v>39611</c:v>
                </c:pt>
                <c:pt idx="4425">
                  <c:v>39612</c:v>
                </c:pt>
                <c:pt idx="4426">
                  <c:v>39615</c:v>
                </c:pt>
                <c:pt idx="4427">
                  <c:v>39616</c:v>
                </c:pt>
                <c:pt idx="4428">
                  <c:v>39617</c:v>
                </c:pt>
                <c:pt idx="4429">
                  <c:v>39618</c:v>
                </c:pt>
                <c:pt idx="4430">
                  <c:v>39619</c:v>
                </c:pt>
                <c:pt idx="4431">
                  <c:v>39622</c:v>
                </c:pt>
                <c:pt idx="4432">
                  <c:v>39623</c:v>
                </c:pt>
                <c:pt idx="4433">
                  <c:v>39624</c:v>
                </c:pt>
                <c:pt idx="4434">
                  <c:v>39625</c:v>
                </c:pt>
                <c:pt idx="4435">
                  <c:v>39626</c:v>
                </c:pt>
                <c:pt idx="4436">
                  <c:v>39629</c:v>
                </c:pt>
                <c:pt idx="4437">
                  <c:v>39630</c:v>
                </c:pt>
                <c:pt idx="4438">
                  <c:v>39631</c:v>
                </c:pt>
                <c:pt idx="4439">
                  <c:v>39632</c:v>
                </c:pt>
                <c:pt idx="4440">
                  <c:v>39633</c:v>
                </c:pt>
                <c:pt idx="4441">
                  <c:v>39636</c:v>
                </c:pt>
                <c:pt idx="4442">
                  <c:v>39637</c:v>
                </c:pt>
                <c:pt idx="4443">
                  <c:v>39638</c:v>
                </c:pt>
                <c:pt idx="4444">
                  <c:v>39639</c:v>
                </c:pt>
                <c:pt idx="4445">
                  <c:v>39640</c:v>
                </c:pt>
                <c:pt idx="4446">
                  <c:v>39643</c:v>
                </c:pt>
                <c:pt idx="4447">
                  <c:v>39644</c:v>
                </c:pt>
                <c:pt idx="4448">
                  <c:v>39645</c:v>
                </c:pt>
                <c:pt idx="4449">
                  <c:v>39646</c:v>
                </c:pt>
                <c:pt idx="4450">
                  <c:v>39647</c:v>
                </c:pt>
                <c:pt idx="4451">
                  <c:v>39650</c:v>
                </c:pt>
                <c:pt idx="4452">
                  <c:v>39651</c:v>
                </c:pt>
                <c:pt idx="4453">
                  <c:v>39652</c:v>
                </c:pt>
                <c:pt idx="4454">
                  <c:v>39653</c:v>
                </c:pt>
                <c:pt idx="4455">
                  <c:v>39654</c:v>
                </c:pt>
                <c:pt idx="4456">
                  <c:v>39657</c:v>
                </c:pt>
                <c:pt idx="4457">
                  <c:v>39658</c:v>
                </c:pt>
                <c:pt idx="4458">
                  <c:v>39659</c:v>
                </c:pt>
                <c:pt idx="4459">
                  <c:v>39660</c:v>
                </c:pt>
                <c:pt idx="4460">
                  <c:v>39661</c:v>
                </c:pt>
                <c:pt idx="4461">
                  <c:v>39664</c:v>
                </c:pt>
                <c:pt idx="4462">
                  <c:v>39665</c:v>
                </c:pt>
                <c:pt idx="4463">
                  <c:v>39666</c:v>
                </c:pt>
                <c:pt idx="4464">
                  <c:v>39667</c:v>
                </c:pt>
                <c:pt idx="4465">
                  <c:v>39668</c:v>
                </c:pt>
                <c:pt idx="4466">
                  <c:v>39671</c:v>
                </c:pt>
                <c:pt idx="4467">
                  <c:v>39672</c:v>
                </c:pt>
                <c:pt idx="4468">
                  <c:v>39673</c:v>
                </c:pt>
                <c:pt idx="4469">
                  <c:v>39674</c:v>
                </c:pt>
                <c:pt idx="4470">
                  <c:v>39675</c:v>
                </c:pt>
                <c:pt idx="4471">
                  <c:v>39678</c:v>
                </c:pt>
                <c:pt idx="4472">
                  <c:v>39679</c:v>
                </c:pt>
                <c:pt idx="4473">
                  <c:v>39680</c:v>
                </c:pt>
                <c:pt idx="4474">
                  <c:v>39681</c:v>
                </c:pt>
                <c:pt idx="4475">
                  <c:v>39682</c:v>
                </c:pt>
                <c:pt idx="4476">
                  <c:v>39685</c:v>
                </c:pt>
                <c:pt idx="4477">
                  <c:v>39686</c:v>
                </c:pt>
                <c:pt idx="4478">
                  <c:v>39687</c:v>
                </c:pt>
                <c:pt idx="4479">
                  <c:v>39688</c:v>
                </c:pt>
                <c:pt idx="4480">
                  <c:v>39689</c:v>
                </c:pt>
                <c:pt idx="4481">
                  <c:v>39692</c:v>
                </c:pt>
                <c:pt idx="4482">
                  <c:v>39693</c:v>
                </c:pt>
                <c:pt idx="4483">
                  <c:v>39694</c:v>
                </c:pt>
                <c:pt idx="4484">
                  <c:v>39695</c:v>
                </c:pt>
                <c:pt idx="4485">
                  <c:v>39696</c:v>
                </c:pt>
                <c:pt idx="4486">
                  <c:v>39699</c:v>
                </c:pt>
                <c:pt idx="4487">
                  <c:v>39700</c:v>
                </c:pt>
                <c:pt idx="4488">
                  <c:v>39701</c:v>
                </c:pt>
                <c:pt idx="4489">
                  <c:v>39702</c:v>
                </c:pt>
                <c:pt idx="4490">
                  <c:v>39703</c:v>
                </c:pt>
                <c:pt idx="4491">
                  <c:v>39706</c:v>
                </c:pt>
                <c:pt idx="4492">
                  <c:v>39707</c:v>
                </c:pt>
                <c:pt idx="4493">
                  <c:v>39708</c:v>
                </c:pt>
                <c:pt idx="4494">
                  <c:v>39709</c:v>
                </c:pt>
                <c:pt idx="4495">
                  <c:v>39710</c:v>
                </c:pt>
                <c:pt idx="4496">
                  <c:v>39713</c:v>
                </c:pt>
                <c:pt idx="4497">
                  <c:v>39714</c:v>
                </c:pt>
                <c:pt idx="4498">
                  <c:v>39715</c:v>
                </c:pt>
                <c:pt idx="4499">
                  <c:v>39716</c:v>
                </c:pt>
                <c:pt idx="4500">
                  <c:v>39717</c:v>
                </c:pt>
                <c:pt idx="4501">
                  <c:v>39720</c:v>
                </c:pt>
                <c:pt idx="4502">
                  <c:v>39721</c:v>
                </c:pt>
                <c:pt idx="4503">
                  <c:v>39722</c:v>
                </c:pt>
                <c:pt idx="4504">
                  <c:v>39723</c:v>
                </c:pt>
                <c:pt idx="4505">
                  <c:v>39724</c:v>
                </c:pt>
                <c:pt idx="4506">
                  <c:v>39727</c:v>
                </c:pt>
                <c:pt idx="4507">
                  <c:v>39728</c:v>
                </c:pt>
                <c:pt idx="4508">
                  <c:v>39729</c:v>
                </c:pt>
                <c:pt idx="4509">
                  <c:v>39730</c:v>
                </c:pt>
                <c:pt idx="4510">
                  <c:v>39731</c:v>
                </c:pt>
                <c:pt idx="4511">
                  <c:v>39734</c:v>
                </c:pt>
                <c:pt idx="4512">
                  <c:v>39735</c:v>
                </c:pt>
                <c:pt idx="4513">
                  <c:v>39736</c:v>
                </c:pt>
                <c:pt idx="4514">
                  <c:v>39737</c:v>
                </c:pt>
                <c:pt idx="4515">
                  <c:v>39738</c:v>
                </c:pt>
                <c:pt idx="4516">
                  <c:v>39741</c:v>
                </c:pt>
                <c:pt idx="4517">
                  <c:v>39742</c:v>
                </c:pt>
                <c:pt idx="4518">
                  <c:v>39743</c:v>
                </c:pt>
                <c:pt idx="4519">
                  <c:v>39744</c:v>
                </c:pt>
                <c:pt idx="4520">
                  <c:v>39745</c:v>
                </c:pt>
                <c:pt idx="4521">
                  <c:v>39748</c:v>
                </c:pt>
                <c:pt idx="4522">
                  <c:v>39749</c:v>
                </c:pt>
                <c:pt idx="4523">
                  <c:v>39750</c:v>
                </c:pt>
                <c:pt idx="4524">
                  <c:v>39751</c:v>
                </c:pt>
                <c:pt idx="4525">
                  <c:v>39752</c:v>
                </c:pt>
                <c:pt idx="4526">
                  <c:v>39755</c:v>
                </c:pt>
                <c:pt idx="4527">
                  <c:v>39756</c:v>
                </c:pt>
                <c:pt idx="4528">
                  <c:v>39757</c:v>
                </c:pt>
                <c:pt idx="4529">
                  <c:v>39758</c:v>
                </c:pt>
                <c:pt idx="4530">
                  <c:v>39759</c:v>
                </c:pt>
                <c:pt idx="4531">
                  <c:v>39762</c:v>
                </c:pt>
                <c:pt idx="4532">
                  <c:v>39763</c:v>
                </c:pt>
                <c:pt idx="4533">
                  <c:v>39764</c:v>
                </c:pt>
                <c:pt idx="4534">
                  <c:v>39765</c:v>
                </c:pt>
                <c:pt idx="4535">
                  <c:v>39766</c:v>
                </c:pt>
                <c:pt idx="4536">
                  <c:v>39769</c:v>
                </c:pt>
                <c:pt idx="4537">
                  <c:v>39770</c:v>
                </c:pt>
                <c:pt idx="4538">
                  <c:v>39771</c:v>
                </c:pt>
                <c:pt idx="4539">
                  <c:v>39772</c:v>
                </c:pt>
                <c:pt idx="4540">
                  <c:v>39773</c:v>
                </c:pt>
                <c:pt idx="4541">
                  <c:v>39776</c:v>
                </c:pt>
                <c:pt idx="4542">
                  <c:v>39777</c:v>
                </c:pt>
                <c:pt idx="4543">
                  <c:v>39778</c:v>
                </c:pt>
                <c:pt idx="4544">
                  <c:v>39779</c:v>
                </c:pt>
                <c:pt idx="4545">
                  <c:v>39780</c:v>
                </c:pt>
                <c:pt idx="4546">
                  <c:v>39783</c:v>
                </c:pt>
                <c:pt idx="4547">
                  <c:v>39784</c:v>
                </c:pt>
                <c:pt idx="4548">
                  <c:v>39785</c:v>
                </c:pt>
                <c:pt idx="4549">
                  <c:v>39786</c:v>
                </c:pt>
                <c:pt idx="4550">
                  <c:v>39787</c:v>
                </c:pt>
                <c:pt idx="4551">
                  <c:v>39790</c:v>
                </c:pt>
                <c:pt idx="4552">
                  <c:v>39791</c:v>
                </c:pt>
                <c:pt idx="4553">
                  <c:v>39792</c:v>
                </c:pt>
                <c:pt idx="4554">
                  <c:v>39793</c:v>
                </c:pt>
                <c:pt idx="4555">
                  <c:v>39794</c:v>
                </c:pt>
                <c:pt idx="4556">
                  <c:v>39797</c:v>
                </c:pt>
                <c:pt idx="4557">
                  <c:v>39798</c:v>
                </c:pt>
                <c:pt idx="4558">
                  <c:v>39799</c:v>
                </c:pt>
                <c:pt idx="4559">
                  <c:v>39800</c:v>
                </c:pt>
                <c:pt idx="4560">
                  <c:v>39801</c:v>
                </c:pt>
                <c:pt idx="4561">
                  <c:v>39804</c:v>
                </c:pt>
                <c:pt idx="4562">
                  <c:v>39805</c:v>
                </c:pt>
                <c:pt idx="4563">
                  <c:v>39806</c:v>
                </c:pt>
                <c:pt idx="4564">
                  <c:v>39808</c:v>
                </c:pt>
                <c:pt idx="4565">
                  <c:v>39811</c:v>
                </c:pt>
                <c:pt idx="4566">
                  <c:v>39812</c:v>
                </c:pt>
                <c:pt idx="4567">
                  <c:v>39815</c:v>
                </c:pt>
                <c:pt idx="4568">
                  <c:v>39818</c:v>
                </c:pt>
                <c:pt idx="4569">
                  <c:v>39819</c:v>
                </c:pt>
                <c:pt idx="4570">
                  <c:v>39820</c:v>
                </c:pt>
                <c:pt idx="4571">
                  <c:v>39821</c:v>
                </c:pt>
                <c:pt idx="4572">
                  <c:v>39822</c:v>
                </c:pt>
                <c:pt idx="4573">
                  <c:v>39825</c:v>
                </c:pt>
                <c:pt idx="4574">
                  <c:v>39826</c:v>
                </c:pt>
                <c:pt idx="4575">
                  <c:v>39827</c:v>
                </c:pt>
                <c:pt idx="4576">
                  <c:v>39828</c:v>
                </c:pt>
                <c:pt idx="4577">
                  <c:v>39829</c:v>
                </c:pt>
                <c:pt idx="4578">
                  <c:v>39832</c:v>
                </c:pt>
                <c:pt idx="4579">
                  <c:v>39833</c:v>
                </c:pt>
                <c:pt idx="4580">
                  <c:v>39834</c:v>
                </c:pt>
                <c:pt idx="4581">
                  <c:v>39835</c:v>
                </c:pt>
                <c:pt idx="4582">
                  <c:v>39836</c:v>
                </c:pt>
                <c:pt idx="4583">
                  <c:v>39839</c:v>
                </c:pt>
                <c:pt idx="4584">
                  <c:v>39840</c:v>
                </c:pt>
                <c:pt idx="4585">
                  <c:v>39841</c:v>
                </c:pt>
                <c:pt idx="4586">
                  <c:v>39842</c:v>
                </c:pt>
                <c:pt idx="4587">
                  <c:v>39843</c:v>
                </c:pt>
                <c:pt idx="4588">
                  <c:v>39846</c:v>
                </c:pt>
                <c:pt idx="4589">
                  <c:v>39847</c:v>
                </c:pt>
                <c:pt idx="4590">
                  <c:v>39848</c:v>
                </c:pt>
                <c:pt idx="4591">
                  <c:v>39849</c:v>
                </c:pt>
                <c:pt idx="4592">
                  <c:v>39850</c:v>
                </c:pt>
                <c:pt idx="4593">
                  <c:v>39853</c:v>
                </c:pt>
                <c:pt idx="4594">
                  <c:v>39854</c:v>
                </c:pt>
                <c:pt idx="4595">
                  <c:v>39855</c:v>
                </c:pt>
                <c:pt idx="4596">
                  <c:v>39856</c:v>
                </c:pt>
                <c:pt idx="4597">
                  <c:v>39857</c:v>
                </c:pt>
                <c:pt idx="4598">
                  <c:v>39861</c:v>
                </c:pt>
                <c:pt idx="4599">
                  <c:v>39862</c:v>
                </c:pt>
                <c:pt idx="4600">
                  <c:v>39863</c:v>
                </c:pt>
                <c:pt idx="4601">
                  <c:v>39864</c:v>
                </c:pt>
                <c:pt idx="4602">
                  <c:v>39867</c:v>
                </c:pt>
                <c:pt idx="4603">
                  <c:v>39868</c:v>
                </c:pt>
                <c:pt idx="4604">
                  <c:v>39869</c:v>
                </c:pt>
                <c:pt idx="4605">
                  <c:v>39870</c:v>
                </c:pt>
                <c:pt idx="4606">
                  <c:v>39871</c:v>
                </c:pt>
                <c:pt idx="4607">
                  <c:v>39874</c:v>
                </c:pt>
                <c:pt idx="4608">
                  <c:v>39875</c:v>
                </c:pt>
                <c:pt idx="4609">
                  <c:v>39876</c:v>
                </c:pt>
                <c:pt idx="4610">
                  <c:v>39877</c:v>
                </c:pt>
                <c:pt idx="4611">
                  <c:v>39878</c:v>
                </c:pt>
                <c:pt idx="4612">
                  <c:v>39881</c:v>
                </c:pt>
                <c:pt idx="4613">
                  <c:v>39882</c:v>
                </c:pt>
                <c:pt idx="4614">
                  <c:v>39883</c:v>
                </c:pt>
                <c:pt idx="4615">
                  <c:v>39884</c:v>
                </c:pt>
                <c:pt idx="4616">
                  <c:v>39885</c:v>
                </c:pt>
                <c:pt idx="4617">
                  <c:v>39888</c:v>
                </c:pt>
                <c:pt idx="4618">
                  <c:v>39889</c:v>
                </c:pt>
                <c:pt idx="4619">
                  <c:v>39890</c:v>
                </c:pt>
                <c:pt idx="4620">
                  <c:v>39891</c:v>
                </c:pt>
                <c:pt idx="4621">
                  <c:v>39892</c:v>
                </c:pt>
                <c:pt idx="4622">
                  <c:v>39895</c:v>
                </c:pt>
                <c:pt idx="4623">
                  <c:v>39896</c:v>
                </c:pt>
                <c:pt idx="4624">
                  <c:v>39897</c:v>
                </c:pt>
                <c:pt idx="4625">
                  <c:v>39898</c:v>
                </c:pt>
                <c:pt idx="4626">
                  <c:v>39899</c:v>
                </c:pt>
                <c:pt idx="4627">
                  <c:v>39902</c:v>
                </c:pt>
                <c:pt idx="4628">
                  <c:v>39903</c:v>
                </c:pt>
                <c:pt idx="4629">
                  <c:v>39904</c:v>
                </c:pt>
                <c:pt idx="4630">
                  <c:v>39905</c:v>
                </c:pt>
                <c:pt idx="4631">
                  <c:v>39906</c:v>
                </c:pt>
                <c:pt idx="4632">
                  <c:v>39909</c:v>
                </c:pt>
                <c:pt idx="4633">
                  <c:v>39910</c:v>
                </c:pt>
                <c:pt idx="4634">
                  <c:v>39911</c:v>
                </c:pt>
                <c:pt idx="4635">
                  <c:v>39912</c:v>
                </c:pt>
                <c:pt idx="4636">
                  <c:v>39916</c:v>
                </c:pt>
                <c:pt idx="4637">
                  <c:v>39917</c:v>
                </c:pt>
                <c:pt idx="4638">
                  <c:v>39918</c:v>
                </c:pt>
                <c:pt idx="4639">
                  <c:v>39919</c:v>
                </c:pt>
                <c:pt idx="4640">
                  <c:v>39920</c:v>
                </c:pt>
                <c:pt idx="4641">
                  <c:v>39923</c:v>
                </c:pt>
                <c:pt idx="4642">
                  <c:v>39924</c:v>
                </c:pt>
                <c:pt idx="4643">
                  <c:v>39925</c:v>
                </c:pt>
                <c:pt idx="4644">
                  <c:v>39926</c:v>
                </c:pt>
                <c:pt idx="4645">
                  <c:v>39927</c:v>
                </c:pt>
                <c:pt idx="4646">
                  <c:v>39930</c:v>
                </c:pt>
                <c:pt idx="4647">
                  <c:v>39931</c:v>
                </c:pt>
                <c:pt idx="4648">
                  <c:v>39932</c:v>
                </c:pt>
                <c:pt idx="4649">
                  <c:v>39933</c:v>
                </c:pt>
                <c:pt idx="4650">
                  <c:v>39934</c:v>
                </c:pt>
                <c:pt idx="4651">
                  <c:v>39937</c:v>
                </c:pt>
                <c:pt idx="4652">
                  <c:v>39938</c:v>
                </c:pt>
                <c:pt idx="4653">
                  <c:v>39939</c:v>
                </c:pt>
                <c:pt idx="4654">
                  <c:v>39940</c:v>
                </c:pt>
                <c:pt idx="4655">
                  <c:v>39941</c:v>
                </c:pt>
                <c:pt idx="4656">
                  <c:v>39944</c:v>
                </c:pt>
                <c:pt idx="4657">
                  <c:v>39945</c:v>
                </c:pt>
                <c:pt idx="4658">
                  <c:v>39946</c:v>
                </c:pt>
                <c:pt idx="4659">
                  <c:v>39947</c:v>
                </c:pt>
                <c:pt idx="4660">
                  <c:v>39948</c:v>
                </c:pt>
                <c:pt idx="4661">
                  <c:v>39951</c:v>
                </c:pt>
                <c:pt idx="4662">
                  <c:v>39952</c:v>
                </c:pt>
                <c:pt idx="4663">
                  <c:v>39953</c:v>
                </c:pt>
                <c:pt idx="4664">
                  <c:v>39954</c:v>
                </c:pt>
                <c:pt idx="4665">
                  <c:v>39955</c:v>
                </c:pt>
                <c:pt idx="4666">
                  <c:v>39958</c:v>
                </c:pt>
                <c:pt idx="4667">
                  <c:v>39959</c:v>
                </c:pt>
                <c:pt idx="4668">
                  <c:v>39960</c:v>
                </c:pt>
                <c:pt idx="4669">
                  <c:v>39961</c:v>
                </c:pt>
                <c:pt idx="4670">
                  <c:v>39962</c:v>
                </c:pt>
                <c:pt idx="4671">
                  <c:v>39965</c:v>
                </c:pt>
                <c:pt idx="4672">
                  <c:v>39966</c:v>
                </c:pt>
                <c:pt idx="4673">
                  <c:v>39967</c:v>
                </c:pt>
                <c:pt idx="4674">
                  <c:v>39968</c:v>
                </c:pt>
                <c:pt idx="4675">
                  <c:v>39969</c:v>
                </c:pt>
                <c:pt idx="4676">
                  <c:v>39972</c:v>
                </c:pt>
                <c:pt idx="4677">
                  <c:v>39973</c:v>
                </c:pt>
                <c:pt idx="4678">
                  <c:v>39974</c:v>
                </c:pt>
                <c:pt idx="4679">
                  <c:v>39975</c:v>
                </c:pt>
                <c:pt idx="4680">
                  <c:v>39976</c:v>
                </c:pt>
                <c:pt idx="4681">
                  <c:v>39979</c:v>
                </c:pt>
                <c:pt idx="4682">
                  <c:v>39980</c:v>
                </c:pt>
                <c:pt idx="4683">
                  <c:v>39981</c:v>
                </c:pt>
                <c:pt idx="4684">
                  <c:v>39982</c:v>
                </c:pt>
                <c:pt idx="4685">
                  <c:v>39983</c:v>
                </c:pt>
                <c:pt idx="4686">
                  <c:v>39986</c:v>
                </c:pt>
                <c:pt idx="4687">
                  <c:v>39987</c:v>
                </c:pt>
                <c:pt idx="4688">
                  <c:v>39988</c:v>
                </c:pt>
                <c:pt idx="4689">
                  <c:v>39989</c:v>
                </c:pt>
                <c:pt idx="4690">
                  <c:v>39990</c:v>
                </c:pt>
                <c:pt idx="4691">
                  <c:v>39993</c:v>
                </c:pt>
                <c:pt idx="4692">
                  <c:v>39994</c:v>
                </c:pt>
                <c:pt idx="4693">
                  <c:v>39995</c:v>
                </c:pt>
                <c:pt idx="4694">
                  <c:v>39996</c:v>
                </c:pt>
                <c:pt idx="4695">
                  <c:v>39997</c:v>
                </c:pt>
                <c:pt idx="4696">
                  <c:v>40000</c:v>
                </c:pt>
                <c:pt idx="4697">
                  <c:v>40001</c:v>
                </c:pt>
                <c:pt idx="4698">
                  <c:v>40002</c:v>
                </c:pt>
                <c:pt idx="4699">
                  <c:v>40003</c:v>
                </c:pt>
                <c:pt idx="4700">
                  <c:v>40004</c:v>
                </c:pt>
                <c:pt idx="4701">
                  <c:v>40007</c:v>
                </c:pt>
                <c:pt idx="4702">
                  <c:v>40008</c:v>
                </c:pt>
                <c:pt idx="4703">
                  <c:v>40009</c:v>
                </c:pt>
                <c:pt idx="4704">
                  <c:v>40010</c:v>
                </c:pt>
                <c:pt idx="4705">
                  <c:v>40011</c:v>
                </c:pt>
                <c:pt idx="4706">
                  <c:v>40014</c:v>
                </c:pt>
                <c:pt idx="4707">
                  <c:v>40015</c:v>
                </c:pt>
                <c:pt idx="4708">
                  <c:v>40016</c:v>
                </c:pt>
                <c:pt idx="4709">
                  <c:v>40017</c:v>
                </c:pt>
                <c:pt idx="4710">
                  <c:v>40018</c:v>
                </c:pt>
                <c:pt idx="4711">
                  <c:v>40021</c:v>
                </c:pt>
                <c:pt idx="4712">
                  <c:v>40022</c:v>
                </c:pt>
                <c:pt idx="4713">
                  <c:v>40023</c:v>
                </c:pt>
                <c:pt idx="4714">
                  <c:v>40024</c:v>
                </c:pt>
                <c:pt idx="4715">
                  <c:v>40025</c:v>
                </c:pt>
                <c:pt idx="4716">
                  <c:v>40028</c:v>
                </c:pt>
                <c:pt idx="4717">
                  <c:v>40029</c:v>
                </c:pt>
                <c:pt idx="4718">
                  <c:v>40030</c:v>
                </c:pt>
                <c:pt idx="4719">
                  <c:v>40031</c:v>
                </c:pt>
                <c:pt idx="4720">
                  <c:v>40032</c:v>
                </c:pt>
                <c:pt idx="4721">
                  <c:v>40035</c:v>
                </c:pt>
                <c:pt idx="4722">
                  <c:v>40036</c:v>
                </c:pt>
                <c:pt idx="4723">
                  <c:v>40037</c:v>
                </c:pt>
                <c:pt idx="4724">
                  <c:v>40038</c:v>
                </c:pt>
                <c:pt idx="4725">
                  <c:v>40039</c:v>
                </c:pt>
                <c:pt idx="4726">
                  <c:v>40042</c:v>
                </c:pt>
                <c:pt idx="4727">
                  <c:v>40043</c:v>
                </c:pt>
                <c:pt idx="4728">
                  <c:v>40044</c:v>
                </c:pt>
                <c:pt idx="4729">
                  <c:v>40045</c:v>
                </c:pt>
                <c:pt idx="4730">
                  <c:v>40046</c:v>
                </c:pt>
                <c:pt idx="4731">
                  <c:v>40049</c:v>
                </c:pt>
                <c:pt idx="4732">
                  <c:v>40050</c:v>
                </c:pt>
                <c:pt idx="4733">
                  <c:v>40051</c:v>
                </c:pt>
                <c:pt idx="4734">
                  <c:v>40052</c:v>
                </c:pt>
                <c:pt idx="4735">
                  <c:v>40053</c:v>
                </c:pt>
                <c:pt idx="4736">
                  <c:v>40056</c:v>
                </c:pt>
                <c:pt idx="4737">
                  <c:v>40057</c:v>
                </c:pt>
                <c:pt idx="4738">
                  <c:v>40058</c:v>
                </c:pt>
                <c:pt idx="4739">
                  <c:v>40059</c:v>
                </c:pt>
                <c:pt idx="4740">
                  <c:v>40060</c:v>
                </c:pt>
                <c:pt idx="4741">
                  <c:v>40063</c:v>
                </c:pt>
                <c:pt idx="4742">
                  <c:v>40064</c:v>
                </c:pt>
                <c:pt idx="4743">
                  <c:v>40065</c:v>
                </c:pt>
                <c:pt idx="4744">
                  <c:v>40066</c:v>
                </c:pt>
                <c:pt idx="4745">
                  <c:v>40067</c:v>
                </c:pt>
                <c:pt idx="4746">
                  <c:v>40070</c:v>
                </c:pt>
                <c:pt idx="4747">
                  <c:v>40071</c:v>
                </c:pt>
                <c:pt idx="4748">
                  <c:v>40072</c:v>
                </c:pt>
                <c:pt idx="4749">
                  <c:v>40073</c:v>
                </c:pt>
                <c:pt idx="4750">
                  <c:v>40074</c:v>
                </c:pt>
                <c:pt idx="4751">
                  <c:v>40077</c:v>
                </c:pt>
                <c:pt idx="4752">
                  <c:v>40078</c:v>
                </c:pt>
                <c:pt idx="4753">
                  <c:v>40079</c:v>
                </c:pt>
                <c:pt idx="4754">
                  <c:v>40080</c:v>
                </c:pt>
                <c:pt idx="4755">
                  <c:v>40081</c:v>
                </c:pt>
                <c:pt idx="4756">
                  <c:v>40084</c:v>
                </c:pt>
                <c:pt idx="4757">
                  <c:v>40085</c:v>
                </c:pt>
                <c:pt idx="4758">
                  <c:v>40086</c:v>
                </c:pt>
                <c:pt idx="4759">
                  <c:v>40087</c:v>
                </c:pt>
                <c:pt idx="4760">
                  <c:v>40088</c:v>
                </c:pt>
                <c:pt idx="4761">
                  <c:v>40091</c:v>
                </c:pt>
                <c:pt idx="4762">
                  <c:v>40092</c:v>
                </c:pt>
                <c:pt idx="4763">
                  <c:v>40093</c:v>
                </c:pt>
                <c:pt idx="4764">
                  <c:v>40094</c:v>
                </c:pt>
                <c:pt idx="4765">
                  <c:v>40095</c:v>
                </c:pt>
                <c:pt idx="4766">
                  <c:v>40098</c:v>
                </c:pt>
                <c:pt idx="4767">
                  <c:v>40099</c:v>
                </c:pt>
                <c:pt idx="4768">
                  <c:v>40100</c:v>
                </c:pt>
                <c:pt idx="4769">
                  <c:v>40101</c:v>
                </c:pt>
                <c:pt idx="4770">
                  <c:v>40102</c:v>
                </c:pt>
                <c:pt idx="4771">
                  <c:v>40105</c:v>
                </c:pt>
                <c:pt idx="4772">
                  <c:v>40106</c:v>
                </c:pt>
                <c:pt idx="4773">
                  <c:v>40107</c:v>
                </c:pt>
                <c:pt idx="4774">
                  <c:v>40108</c:v>
                </c:pt>
                <c:pt idx="4775">
                  <c:v>40109</c:v>
                </c:pt>
                <c:pt idx="4776">
                  <c:v>40112</c:v>
                </c:pt>
                <c:pt idx="4777">
                  <c:v>40113</c:v>
                </c:pt>
                <c:pt idx="4778">
                  <c:v>40114</c:v>
                </c:pt>
                <c:pt idx="4779">
                  <c:v>40115</c:v>
                </c:pt>
                <c:pt idx="4780">
                  <c:v>40116</c:v>
                </c:pt>
                <c:pt idx="4781">
                  <c:v>40119</c:v>
                </c:pt>
                <c:pt idx="4782">
                  <c:v>40120</c:v>
                </c:pt>
                <c:pt idx="4783">
                  <c:v>40121</c:v>
                </c:pt>
                <c:pt idx="4784">
                  <c:v>40122</c:v>
                </c:pt>
                <c:pt idx="4785">
                  <c:v>40123</c:v>
                </c:pt>
                <c:pt idx="4786">
                  <c:v>40126</c:v>
                </c:pt>
                <c:pt idx="4787">
                  <c:v>40127</c:v>
                </c:pt>
                <c:pt idx="4788">
                  <c:v>40128</c:v>
                </c:pt>
                <c:pt idx="4789">
                  <c:v>40129</c:v>
                </c:pt>
                <c:pt idx="4790">
                  <c:v>40130</c:v>
                </c:pt>
                <c:pt idx="4791">
                  <c:v>40133</c:v>
                </c:pt>
                <c:pt idx="4792">
                  <c:v>40134</c:v>
                </c:pt>
                <c:pt idx="4793">
                  <c:v>40135</c:v>
                </c:pt>
                <c:pt idx="4794">
                  <c:v>40136</c:v>
                </c:pt>
                <c:pt idx="4795">
                  <c:v>40137</c:v>
                </c:pt>
                <c:pt idx="4796">
                  <c:v>40140</c:v>
                </c:pt>
                <c:pt idx="4797">
                  <c:v>40141</c:v>
                </c:pt>
                <c:pt idx="4798">
                  <c:v>40142</c:v>
                </c:pt>
                <c:pt idx="4799">
                  <c:v>40143</c:v>
                </c:pt>
                <c:pt idx="4800">
                  <c:v>40144</c:v>
                </c:pt>
                <c:pt idx="4801">
                  <c:v>40147</c:v>
                </c:pt>
                <c:pt idx="4802">
                  <c:v>40148</c:v>
                </c:pt>
                <c:pt idx="4803">
                  <c:v>40149</c:v>
                </c:pt>
                <c:pt idx="4804">
                  <c:v>40150</c:v>
                </c:pt>
                <c:pt idx="4805">
                  <c:v>40151</c:v>
                </c:pt>
                <c:pt idx="4806">
                  <c:v>40154</c:v>
                </c:pt>
                <c:pt idx="4807">
                  <c:v>40155</c:v>
                </c:pt>
                <c:pt idx="4808">
                  <c:v>40156</c:v>
                </c:pt>
                <c:pt idx="4809">
                  <c:v>40157</c:v>
                </c:pt>
                <c:pt idx="4810">
                  <c:v>40158</c:v>
                </c:pt>
                <c:pt idx="4811">
                  <c:v>40161</c:v>
                </c:pt>
                <c:pt idx="4812">
                  <c:v>40162</c:v>
                </c:pt>
                <c:pt idx="4813">
                  <c:v>40163</c:v>
                </c:pt>
                <c:pt idx="4814">
                  <c:v>40164</c:v>
                </c:pt>
                <c:pt idx="4815">
                  <c:v>40165</c:v>
                </c:pt>
                <c:pt idx="4816">
                  <c:v>40168</c:v>
                </c:pt>
                <c:pt idx="4817">
                  <c:v>40169</c:v>
                </c:pt>
                <c:pt idx="4818">
                  <c:v>40170</c:v>
                </c:pt>
                <c:pt idx="4819">
                  <c:v>40175</c:v>
                </c:pt>
                <c:pt idx="4820">
                  <c:v>40176</c:v>
                </c:pt>
                <c:pt idx="4821">
                  <c:v>40177</c:v>
                </c:pt>
                <c:pt idx="4822">
                  <c:v>40182</c:v>
                </c:pt>
                <c:pt idx="4823">
                  <c:v>40183</c:v>
                </c:pt>
                <c:pt idx="4824">
                  <c:v>40184</c:v>
                </c:pt>
                <c:pt idx="4825">
                  <c:v>40185</c:v>
                </c:pt>
                <c:pt idx="4826">
                  <c:v>40186</c:v>
                </c:pt>
                <c:pt idx="4827">
                  <c:v>40189</c:v>
                </c:pt>
                <c:pt idx="4828">
                  <c:v>40190</c:v>
                </c:pt>
                <c:pt idx="4829">
                  <c:v>40191</c:v>
                </c:pt>
                <c:pt idx="4830">
                  <c:v>40192</c:v>
                </c:pt>
                <c:pt idx="4831">
                  <c:v>40193</c:v>
                </c:pt>
                <c:pt idx="4832">
                  <c:v>40196</c:v>
                </c:pt>
                <c:pt idx="4833">
                  <c:v>40197</c:v>
                </c:pt>
                <c:pt idx="4834">
                  <c:v>40198</c:v>
                </c:pt>
                <c:pt idx="4835">
                  <c:v>40199</c:v>
                </c:pt>
                <c:pt idx="4836">
                  <c:v>40200</c:v>
                </c:pt>
                <c:pt idx="4837">
                  <c:v>40203</c:v>
                </c:pt>
                <c:pt idx="4838">
                  <c:v>40204</c:v>
                </c:pt>
                <c:pt idx="4839">
                  <c:v>40205</c:v>
                </c:pt>
                <c:pt idx="4840">
                  <c:v>40206</c:v>
                </c:pt>
                <c:pt idx="4841">
                  <c:v>40207</c:v>
                </c:pt>
                <c:pt idx="4842">
                  <c:v>40210</c:v>
                </c:pt>
                <c:pt idx="4843">
                  <c:v>40211</c:v>
                </c:pt>
                <c:pt idx="4844">
                  <c:v>40212</c:v>
                </c:pt>
                <c:pt idx="4845">
                  <c:v>40213</c:v>
                </c:pt>
                <c:pt idx="4846">
                  <c:v>40214</c:v>
                </c:pt>
                <c:pt idx="4847">
                  <c:v>40217</c:v>
                </c:pt>
                <c:pt idx="4848">
                  <c:v>40218</c:v>
                </c:pt>
                <c:pt idx="4849">
                  <c:v>40219</c:v>
                </c:pt>
                <c:pt idx="4850">
                  <c:v>40220</c:v>
                </c:pt>
                <c:pt idx="4851">
                  <c:v>40221</c:v>
                </c:pt>
                <c:pt idx="4852">
                  <c:v>40224</c:v>
                </c:pt>
                <c:pt idx="4853">
                  <c:v>40225</c:v>
                </c:pt>
                <c:pt idx="4854">
                  <c:v>40226</c:v>
                </c:pt>
                <c:pt idx="4855">
                  <c:v>40227</c:v>
                </c:pt>
                <c:pt idx="4856">
                  <c:v>40228</c:v>
                </c:pt>
                <c:pt idx="4857">
                  <c:v>40231</c:v>
                </c:pt>
                <c:pt idx="4858">
                  <c:v>40232</c:v>
                </c:pt>
                <c:pt idx="4859">
                  <c:v>40233</c:v>
                </c:pt>
                <c:pt idx="4860">
                  <c:v>40234</c:v>
                </c:pt>
                <c:pt idx="4861">
                  <c:v>40235</c:v>
                </c:pt>
                <c:pt idx="4862">
                  <c:v>40238</c:v>
                </c:pt>
                <c:pt idx="4863">
                  <c:v>40239</c:v>
                </c:pt>
                <c:pt idx="4864">
                  <c:v>40240</c:v>
                </c:pt>
                <c:pt idx="4865">
                  <c:v>40241</c:v>
                </c:pt>
                <c:pt idx="4866">
                  <c:v>40242</c:v>
                </c:pt>
                <c:pt idx="4867">
                  <c:v>40245</c:v>
                </c:pt>
                <c:pt idx="4868">
                  <c:v>40246</c:v>
                </c:pt>
                <c:pt idx="4869">
                  <c:v>40247</c:v>
                </c:pt>
                <c:pt idx="4870">
                  <c:v>40248</c:v>
                </c:pt>
                <c:pt idx="4871">
                  <c:v>40249</c:v>
                </c:pt>
                <c:pt idx="4872">
                  <c:v>40252</c:v>
                </c:pt>
                <c:pt idx="4873">
                  <c:v>40253</c:v>
                </c:pt>
                <c:pt idx="4874">
                  <c:v>40254</c:v>
                </c:pt>
                <c:pt idx="4875">
                  <c:v>40255</c:v>
                </c:pt>
                <c:pt idx="4876">
                  <c:v>40256</c:v>
                </c:pt>
                <c:pt idx="4877">
                  <c:v>40259</c:v>
                </c:pt>
                <c:pt idx="4878">
                  <c:v>40260</c:v>
                </c:pt>
                <c:pt idx="4879">
                  <c:v>40261</c:v>
                </c:pt>
                <c:pt idx="4880">
                  <c:v>40262</c:v>
                </c:pt>
                <c:pt idx="4881">
                  <c:v>40263</c:v>
                </c:pt>
                <c:pt idx="4882">
                  <c:v>40266</c:v>
                </c:pt>
                <c:pt idx="4883">
                  <c:v>40267</c:v>
                </c:pt>
                <c:pt idx="4884">
                  <c:v>40268</c:v>
                </c:pt>
                <c:pt idx="4885">
                  <c:v>40269</c:v>
                </c:pt>
                <c:pt idx="4886">
                  <c:v>40273</c:v>
                </c:pt>
                <c:pt idx="4887">
                  <c:v>40274</c:v>
                </c:pt>
                <c:pt idx="4888">
                  <c:v>40275</c:v>
                </c:pt>
                <c:pt idx="4889">
                  <c:v>40276</c:v>
                </c:pt>
                <c:pt idx="4890">
                  <c:v>40277</c:v>
                </c:pt>
                <c:pt idx="4891">
                  <c:v>40280</c:v>
                </c:pt>
                <c:pt idx="4892">
                  <c:v>40281</c:v>
                </c:pt>
                <c:pt idx="4893">
                  <c:v>40282</c:v>
                </c:pt>
                <c:pt idx="4894">
                  <c:v>40283</c:v>
                </c:pt>
                <c:pt idx="4895">
                  <c:v>40284</c:v>
                </c:pt>
                <c:pt idx="4896">
                  <c:v>40287</c:v>
                </c:pt>
                <c:pt idx="4897">
                  <c:v>40288</c:v>
                </c:pt>
                <c:pt idx="4898">
                  <c:v>40289</c:v>
                </c:pt>
                <c:pt idx="4899">
                  <c:v>40290</c:v>
                </c:pt>
                <c:pt idx="4900">
                  <c:v>40291</c:v>
                </c:pt>
                <c:pt idx="4901">
                  <c:v>40294</c:v>
                </c:pt>
              </c:numCache>
            </c:numRef>
          </c:cat>
          <c:val>
            <c:numRef>
              <c:f>'Aufgabe 4'!$C$54:$C$4955</c:f>
              <c:numCache>
                <c:formatCode>General</c:formatCode>
                <c:ptCount val="4902"/>
                <c:pt idx="0">
                  <c:v>1443.2</c:v>
                </c:pt>
                <c:pt idx="1">
                  <c:v>1415.3</c:v>
                </c:pt>
                <c:pt idx="2">
                  <c:v>1420.6</c:v>
                </c:pt>
                <c:pt idx="3">
                  <c:v>1418.9</c:v>
                </c:pt>
                <c:pt idx="4">
                  <c:v>1441.2</c:v>
                </c:pt>
                <c:pt idx="5">
                  <c:v>1462.6</c:v>
                </c:pt>
                <c:pt idx="6">
                  <c:v>1446.3</c:v>
                </c:pt>
                <c:pt idx="7">
                  <c:v>1471</c:v>
                </c:pt>
                <c:pt idx="8">
                  <c:v>1504.7</c:v>
                </c:pt>
                <c:pt idx="9">
                  <c:v>1512.8</c:v>
                </c:pt>
                <c:pt idx="10">
                  <c:v>1504.8</c:v>
                </c:pt>
                <c:pt idx="11">
                  <c:v>1492.7</c:v>
                </c:pt>
                <c:pt idx="12">
                  <c:v>1517.2</c:v>
                </c:pt>
                <c:pt idx="13">
                  <c:v>1517.8</c:v>
                </c:pt>
                <c:pt idx="14">
                  <c:v>1522.4</c:v>
                </c:pt>
                <c:pt idx="15">
                  <c:v>1475.9</c:v>
                </c:pt>
                <c:pt idx="16">
                  <c:v>1477.4</c:v>
                </c:pt>
                <c:pt idx="17">
                  <c:v>1457.2</c:v>
                </c:pt>
                <c:pt idx="18">
                  <c:v>1409.3</c:v>
                </c:pt>
                <c:pt idx="19">
                  <c:v>1414.9</c:v>
                </c:pt>
                <c:pt idx="20">
                  <c:v>1410.9</c:v>
                </c:pt>
                <c:pt idx="21">
                  <c:v>1398.2</c:v>
                </c:pt>
                <c:pt idx="22">
                  <c:v>1366.1</c:v>
                </c:pt>
                <c:pt idx="23">
                  <c:v>1366.7</c:v>
                </c:pt>
                <c:pt idx="24">
                  <c:v>1396.1</c:v>
                </c:pt>
                <c:pt idx="25">
                  <c:v>1358.2</c:v>
                </c:pt>
                <c:pt idx="26">
                  <c:v>1354</c:v>
                </c:pt>
                <c:pt idx="27">
                  <c:v>1375.2</c:v>
                </c:pt>
                <c:pt idx="28">
                  <c:v>1383.4</c:v>
                </c:pt>
                <c:pt idx="29">
                  <c:v>1382.3</c:v>
                </c:pt>
                <c:pt idx="30">
                  <c:v>1327.8</c:v>
                </c:pt>
                <c:pt idx="31">
                  <c:v>1325.6</c:v>
                </c:pt>
                <c:pt idx="32">
                  <c:v>1322.7</c:v>
                </c:pt>
                <c:pt idx="33">
                  <c:v>1422.7</c:v>
                </c:pt>
                <c:pt idx="34">
                  <c:v>1405.1</c:v>
                </c:pt>
                <c:pt idx="35">
                  <c:v>1390.2</c:v>
                </c:pt>
                <c:pt idx="36">
                  <c:v>1375.1</c:v>
                </c:pt>
                <c:pt idx="37">
                  <c:v>1358.8</c:v>
                </c:pt>
                <c:pt idx="38">
                  <c:v>1375.2</c:v>
                </c:pt>
                <c:pt idx="39">
                  <c:v>1382.1</c:v>
                </c:pt>
                <c:pt idx="40">
                  <c:v>1382.7</c:v>
                </c:pt>
                <c:pt idx="41">
                  <c:v>1380.3</c:v>
                </c:pt>
                <c:pt idx="42">
                  <c:v>1400.7</c:v>
                </c:pt>
                <c:pt idx="43">
                  <c:v>1420.1</c:v>
                </c:pt>
                <c:pt idx="44">
                  <c:v>1426.5</c:v>
                </c:pt>
                <c:pt idx="45">
                  <c:v>1435</c:v>
                </c:pt>
                <c:pt idx="46">
                  <c:v>1438.9</c:v>
                </c:pt>
                <c:pt idx="47">
                  <c:v>1428.7</c:v>
                </c:pt>
                <c:pt idx="48">
                  <c:v>1436.3</c:v>
                </c:pt>
                <c:pt idx="49">
                  <c:v>1467.8</c:v>
                </c:pt>
                <c:pt idx="50">
                  <c:v>1488.7</c:v>
                </c:pt>
                <c:pt idx="51">
                  <c:v>1468.9</c:v>
                </c:pt>
                <c:pt idx="52">
                  <c:v>1489.4</c:v>
                </c:pt>
                <c:pt idx="53">
                  <c:v>1486.5</c:v>
                </c:pt>
                <c:pt idx="54">
                  <c:v>1531.2</c:v>
                </c:pt>
                <c:pt idx="55">
                  <c:v>1572.6</c:v>
                </c:pt>
                <c:pt idx="56">
                  <c:v>1587.1</c:v>
                </c:pt>
                <c:pt idx="57">
                  <c:v>1567.3</c:v>
                </c:pt>
                <c:pt idx="58">
                  <c:v>1566.3</c:v>
                </c:pt>
                <c:pt idx="59">
                  <c:v>1582.5</c:v>
                </c:pt>
                <c:pt idx="60">
                  <c:v>1601.2</c:v>
                </c:pt>
                <c:pt idx="61">
                  <c:v>1558.2</c:v>
                </c:pt>
                <c:pt idx="62">
                  <c:v>1565.5</c:v>
                </c:pt>
                <c:pt idx="63">
                  <c:v>1542.1</c:v>
                </c:pt>
                <c:pt idx="64">
                  <c:v>1516.7</c:v>
                </c:pt>
                <c:pt idx="65">
                  <c:v>1530.9</c:v>
                </c:pt>
                <c:pt idx="66">
                  <c:v>1540.3</c:v>
                </c:pt>
                <c:pt idx="67">
                  <c:v>1594.3</c:v>
                </c:pt>
                <c:pt idx="68">
                  <c:v>1580.5</c:v>
                </c:pt>
                <c:pt idx="69">
                  <c:v>1580.5</c:v>
                </c:pt>
                <c:pt idx="70">
                  <c:v>1565.8</c:v>
                </c:pt>
                <c:pt idx="71">
                  <c:v>1571.6</c:v>
                </c:pt>
                <c:pt idx="72">
                  <c:v>1542.2</c:v>
                </c:pt>
                <c:pt idx="73">
                  <c:v>1576.6</c:v>
                </c:pt>
                <c:pt idx="74">
                  <c:v>1570.6</c:v>
                </c:pt>
                <c:pt idx="75">
                  <c:v>1552.9</c:v>
                </c:pt>
                <c:pt idx="76">
                  <c:v>1546.5</c:v>
                </c:pt>
                <c:pt idx="77">
                  <c:v>1517.9</c:v>
                </c:pt>
                <c:pt idx="78">
                  <c:v>1519.6</c:v>
                </c:pt>
                <c:pt idx="79">
                  <c:v>1520.3</c:v>
                </c:pt>
                <c:pt idx="80">
                  <c:v>1515.5</c:v>
                </c:pt>
                <c:pt idx="81">
                  <c:v>1498.4</c:v>
                </c:pt>
                <c:pt idx="82">
                  <c:v>1508.8</c:v>
                </c:pt>
                <c:pt idx="83">
                  <c:v>1522.8</c:v>
                </c:pt>
                <c:pt idx="84">
                  <c:v>1538.6</c:v>
                </c:pt>
                <c:pt idx="85">
                  <c:v>1577.5</c:v>
                </c:pt>
                <c:pt idx="86">
                  <c:v>1572</c:v>
                </c:pt>
                <c:pt idx="87">
                  <c:v>1586.9</c:v>
                </c:pt>
                <c:pt idx="88">
                  <c:v>1580</c:v>
                </c:pt>
                <c:pt idx="89">
                  <c:v>1582.1</c:v>
                </c:pt>
                <c:pt idx="90">
                  <c:v>1561.9</c:v>
                </c:pt>
                <c:pt idx="91">
                  <c:v>1565.4</c:v>
                </c:pt>
                <c:pt idx="92">
                  <c:v>1583.1</c:v>
                </c:pt>
                <c:pt idx="93">
                  <c:v>1601.4</c:v>
                </c:pt>
                <c:pt idx="94">
                  <c:v>1603.4</c:v>
                </c:pt>
                <c:pt idx="95">
                  <c:v>1623.8</c:v>
                </c:pt>
                <c:pt idx="96">
                  <c:v>1613.8</c:v>
                </c:pt>
                <c:pt idx="97">
                  <c:v>1599.4</c:v>
                </c:pt>
                <c:pt idx="98">
                  <c:v>1571.9</c:v>
                </c:pt>
                <c:pt idx="99">
                  <c:v>1597.1</c:v>
                </c:pt>
                <c:pt idx="100">
                  <c:v>1603.7</c:v>
                </c:pt>
                <c:pt idx="101">
                  <c:v>1620.5</c:v>
                </c:pt>
                <c:pt idx="102">
                  <c:v>1623.8</c:v>
                </c:pt>
                <c:pt idx="103">
                  <c:v>1620.3</c:v>
                </c:pt>
                <c:pt idx="104">
                  <c:v>1605.8</c:v>
                </c:pt>
                <c:pt idx="105">
                  <c:v>1630</c:v>
                </c:pt>
                <c:pt idx="106">
                  <c:v>1631.8</c:v>
                </c:pt>
                <c:pt idx="107">
                  <c:v>1624</c:v>
                </c:pt>
                <c:pt idx="108">
                  <c:v>1627.5</c:v>
                </c:pt>
                <c:pt idx="109">
                  <c:v>1607.3</c:v>
                </c:pt>
                <c:pt idx="110">
                  <c:v>1620.6</c:v>
                </c:pt>
                <c:pt idx="111">
                  <c:v>1610.9</c:v>
                </c:pt>
                <c:pt idx="112">
                  <c:v>1598.5</c:v>
                </c:pt>
                <c:pt idx="113">
                  <c:v>1590.4</c:v>
                </c:pt>
                <c:pt idx="114">
                  <c:v>1598.1</c:v>
                </c:pt>
                <c:pt idx="115">
                  <c:v>1598.9</c:v>
                </c:pt>
                <c:pt idx="116">
                  <c:v>1617.4</c:v>
                </c:pt>
                <c:pt idx="117">
                  <c:v>1647.7</c:v>
                </c:pt>
                <c:pt idx="118">
                  <c:v>1652.7</c:v>
                </c:pt>
                <c:pt idx="119">
                  <c:v>1671.9</c:v>
                </c:pt>
                <c:pt idx="120">
                  <c:v>1681.5</c:v>
                </c:pt>
                <c:pt idx="121">
                  <c:v>1682.1</c:v>
                </c:pt>
                <c:pt idx="122">
                  <c:v>1681.5</c:v>
                </c:pt>
                <c:pt idx="123">
                  <c:v>1704.1</c:v>
                </c:pt>
                <c:pt idx="124">
                  <c:v>1694.1</c:v>
                </c:pt>
                <c:pt idx="125">
                  <c:v>1685.4</c:v>
                </c:pt>
                <c:pt idx="126">
                  <c:v>1712.8</c:v>
                </c:pt>
                <c:pt idx="127">
                  <c:v>1704.2</c:v>
                </c:pt>
                <c:pt idx="128">
                  <c:v>1709.6</c:v>
                </c:pt>
                <c:pt idx="129">
                  <c:v>1704.9</c:v>
                </c:pt>
                <c:pt idx="130">
                  <c:v>1715.2</c:v>
                </c:pt>
                <c:pt idx="131">
                  <c:v>1700.8</c:v>
                </c:pt>
                <c:pt idx="132">
                  <c:v>1692.6</c:v>
                </c:pt>
                <c:pt idx="133">
                  <c:v>1699.8</c:v>
                </c:pt>
                <c:pt idx="134">
                  <c:v>1701.1</c:v>
                </c:pt>
                <c:pt idx="135">
                  <c:v>1695.4</c:v>
                </c:pt>
                <c:pt idx="136">
                  <c:v>1683</c:v>
                </c:pt>
                <c:pt idx="137">
                  <c:v>1687</c:v>
                </c:pt>
                <c:pt idx="138">
                  <c:v>1711.9</c:v>
                </c:pt>
                <c:pt idx="139">
                  <c:v>1691.6</c:v>
                </c:pt>
                <c:pt idx="140">
                  <c:v>1691.5</c:v>
                </c:pt>
                <c:pt idx="141">
                  <c:v>1672.1</c:v>
                </c:pt>
                <c:pt idx="142">
                  <c:v>1666.1</c:v>
                </c:pt>
                <c:pt idx="143">
                  <c:v>1622.2</c:v>
                </c:pt>
                <c:pt idx="144">
                  <c:v>1625.2</c:v>
                </c:pt>
                <c:pt idx="145">
                  <c:v>1610.5</c:v>
                </c:pt>
                <c:pt idx="146">
                  <c:v>1614.4</c:v>
                </c:pt>
                <c:pt idx="147">
                  <c:v>1616.1</c:v>
                </c:pt>
                <c:pt idx="148">
                  <c:v>1618.9</c:v>
                </c:pt>
                <c:pt idx="149">
                  <c:v>1605</c:v>
                </c:pt>
                <c:pt idx="150">
                  <c:v>1627.6</c:v>
                </c:pt>
                <c:pt idx="151">
                  <c:v>1634.7</c:v>
                </c:pt>
                <c:pt idx="152">
                  <c:v>1637.9</c:v>
                </c:pt>
                <c:pt idx="153">
                  <c:v>1644.8</c:v>
                </c:pt>
                <c:pt idx="154">
                  <c:v>1646.6</c:v>
                </c:pt>
                <c:pt idx="155">
                  <c:v>1643.9</c:v>
                </c:pt>
                <c:pt idx="156">
                  <c:v>1625.5</c:v>
                </c:pt>
                <c:pt idx="157">
                  <c:v>1618.3</c:v>
                </c:pt>
                <c:pt idx="158">
                  <c:v>1624</c:v>
                </c:pt>
                <c:pt idx="159">
                  <c:v>1623</c:v>
                </c:pt>
                <c:pt idx="160">
                  <c:v>1632.9</c:v>
                </c:pt>
                <c:pt idx="161">
                  <c:v>1621.7</c:v>
                </c:pt>
                <c:pt idx="162">
                  <c:v>1615.4</c:v>
                </c:pt>
                <c:pt idx="163">
                  <c:v>1605.6</c:v>
                </c:pt>
                <c:pt idx="164">
                  <c:v>1605.6</c:v>
                </c:pt>
                <c:pt idx="165">
                  <c:v>1614.9</c:v>
                </c:pt>
                <c:pt idx="166">
                  <c:v>1622.3</c:v>
                </c:pt>
                <c:pt idx="167">
                  <c:v>1622.6</c:v>
                </c:pt>
                <c:pt idx="168">
                  <c:v>1615.4</c:v>
                </c:pt>
                <c:pt idx="169">
                  <c:v>1622</c:v>
                </c:pt>
                <c:pt idx="170">
                  <c:v>1611.9</c:v>
                </c:pt>
                <c:pt idx="171">
                  <c:v>1631.4</c:v>
                </c:pt>
                <c:pt idx="172">
                  <c:v>1630.2</c:v>
                </c:pt>
                <c:pt idx="173">
                  <c:v>1632.2</c:v>
                </c:pt>
                <c:pt idx="174">
                  <c:v>1626.1</c:v>
                </c:pt>
                <c:pt idx="175">
                  <c:v>1644.7</c:v>
                </c:pt>
                <c:pt idx="176">
                  <c:v>1650.2</c:v>
                </c:pt>
                <c:pt idx="177">
                  <c:v>1654.3</c:v>
                </c:pt>
                <c:pt idx="178">
                  <c:v>1653.3</c:v>
                </c:pt>
                <c:pt idx="179">
                  <c:v>1497.9</c:v>
                </c:pt>
                <c:pt idx="180">
                  <c:v>1526.9</c:v>
                </c:pt>
                <c:pt idx="181">
                  <c:v>1570.8</c:v>
                </c:pt>
                <c:pt idx="182">
                  <c:v>1630.8</c:v>
                </c:pt>
                <c:pt idx="183">
                  <c:v>1627.2</c:v>
                </c:pt>
                <c:pt idx="184">
                  <c:v>1654.2</c:v>
                </c:pt>
                <c:pt idx="185">
                  <c:v>1647.1</c:v>
                </c:pt>
                <c:pt idx="186">
                  <c:v>1647.5</c:v>
                </c:pt>
                <c:pt idx="187">
                  <c:v>1655.5</c:v>
                </c:pt>
                <c:pt idx="188">
                  <c:v>1650.5</c:v>
                </c:pt>
                <c:pt idx="189">
                  <c:v>1650.5</c:v>
                </c:pt>
                <c:pt idx="190">
                  <c:v>1655.6</c:v>
                </c:pt>
                <c:pt idx="191">
                  <c:v>1647.9</c:v>
                </c:pt>
                <c:pt idx="192">
                  <c:v>1647.2</c:v>
                </c:pt>
                <c:pt idx="193">
                  <c:v>1646.2</c:v>
                </c:pt>
                <c:pt idx="194">
                  <c:v>1633.1</c:v>
                </c:pt>
                <c:pt idx="195">
                  <c:v>1629.1</c:v>
                </c:pt>
                <c:pt idx="196">
                  <c:v>1628.2</c:v>
                </c:pt>
                <c:pt idx="197">
                  <c:v>1631.3</c:v>
                </c:pt>
                <c:pt idx="198">
                  <c:v>1637.6</c:v>
                </c:pt>
                <c:pt idx="199">
                  <c:v>1629.8</c:v>
                </c:pt>
                <c:pt idx="200">
                  <c:v>1634.6</c:v>
                </c:pt>
                <c:pt idx="201">
                  <c:v>1628.1</c:v>
                </c:pt>
                <c:pt idx="202">
                  <c:v>1620.7</c:v>
                </c:pt>
                <c:pt idx="203">
                  <c:v>1616.1</c:v>
                </c:pt>
                <c:pt idx="204">
                  <c:v>1614.2</c:v>
                </c:pt>
                <c:pt idx="205">
                  <c:v>1626.6</c:v>
                </c:pt>
                <c:pt idx="206">
                  <c:v>1625.4</c:v>
                </c:pt>
                <c:pt idx="207">
                  <c:v>1620</c:v>
                </c:pt>
                <c:pt idx="208">
                  <c:v>1608.1</c:v>
                </c:pt>
                <c:pt idx="209">
                  <c:v>1607</c:v>
                </c:pt>
                <c:pt idx="210">
                  <c:v>1609.6</c:v>
                </c:pt>
                <c:pt idx="211">
                  <c:v>1607.3</c:v>
                </c:pt>
                <c:pt idx="212">
                  <c:v>1601.7</c:v>
                </c:pt>
                <c:pt idx="213">
                  <c:v>1588.7</c:v>
                </c:pt>
                <c:pt idx="214">
                  <c:v>1578.7</c:v>
                </c:pt>
                <c:pt idx="215">
                  <c:v>1567.2</c:v>
                </c:pt>
                <c:pt idx="216">
                  <c:v>1568</c:v>
                </c:pt>
                <c:pt idx="217">
                  <c:v>1568.4</c:v>
                </c:pt>
                <c:pt idx="218">
                  <c:v>1571</c:v>
                </c:pt>
                <c:pt idx="219">
                  <c:v>1585</c:v>
                </c:pt>
                <c:pt idx="220">
                  <c:v>1570.1</c:v>
                </c:pt>
                <c:pt idx="221">
                  <c:v>1564.5</c:v>
                </c:pt>
                <c:pt idx="222">
                  <c:v>1563.3</c:v>
                </c:pt>
                <c:pt idx="223">
                  <c:v>1572.7</c:v>
                </c:pt>
                <c:pt idx="224">
                  <c:v>1580.7</c:v>
                </c:pt>
                <c:pt idx="225">
                  <c:v>1587.9</c:v>
                </c:pt>
                <c:pt idx="226">
                  <c:v>1579</c:v>
                </c:pt>
                <c:pt idx="227">
                  <c:v>1572</c:v>
                </c:pt>
                <c:pt idx="228">
                  <c:v>1576.8</c:v>
                </c:pt>
                <c:pt idx="229">
                  <c:v>1590.8</c:v>
                </c:pt>
                <c:pt idx="230">
                  <c:v>1582.8</c:v>
                </c:pt>
                <c:pt idx="231">
                  <c:v>1582.1</c:v>
                </c:pt>
                <c:pt idx="232">
                  <c:v>1573.6</c:v>
                </c:pt>
                <c:pt idx="233">
                  <c:v>1573.6</c:v>
                </c:pt>
                <c:pt idx="234">
                  <c:v>1576.1</c:v>
                </c:pt>
                <c:pt idx="235">
                  <c:v>1574.2</c:v>
                </c:pt>
                <c:pt idx="236">
                  <c:v>1578.4</c:v>
                </c:pt>
                <c:pt idx="237">
                  <c:v>1606.2</c:v>
                </c:pt>
                <c:pt idx="238">
                  <c:v>1609</c:v>
                </c:pt>
                <c:pt idx="239">
                  <c:v>1621.2</c:v>
                </c:pt>
                <c:pt idx="240">
                  <c:v>1623.2</c:v>
                </c:pt>
                <c:pt idx="241">
                  <c:v>1621</c:v>
                </c:pt>
                <c:pt idx="242">
                  <c:v>1629.4</c:v>
                </c:pt>
                <c:pt idx="243">
                  <c:v>1611.9</c:v>
                </c:pt>
                <c:pt idx="244">
                  <c:v>1599.1</c:v>
                </c:pt>
                <c:pt idx="245">
                  <c:v>1598.1</c:v>
                </c:pt>
                <c:pt idx="246">
                  <c:v>1600.3</c:v>
                </c:pt>
                <c:pt idx="247">
                  <c:v>1589.2</c:v>
                </c:pt>
                <c:pt idx="248">
                  <c:v>1602.9</c:v>
                </c:pt>
                <c:pt idx="249">
                  <c:v>1586.2</c:v>
                </c:pt>
                <c:pt idx="250">
                  <c:v>1588.2</c:v>
                </c:pt>
                <c:pt idx="251">
                  <c:v>1566.6</c:v>
                </c:pt>
                <c:pt idx="252">
                  <c:v>1545.4</c:v>
                </c:pt>
                <c:pt idx="253">
                  <c:v>1546.8</c:v>
                </c:pt>
                <c:pt idx="254">
                  <c:v>1561</c:v>
                </c:pt>
                <c:pt idx="255">
                  <c:v>1553.4</c:v>
                </c:pt>
                <c:pt idx="256">
                  <c:v>1558.2</c:v>
                </c:pt>
                <c:pt idx="257">
                  <c:v>1559.1</c:v>
                </c:pt>
                <c:pt idx="258">
                  <c:v>1551.1</c:v>
                </c:pt>
                <c:pt idx="259">
                  <c:v>1543.6</c:v>
                </c:pt>
                <c:pt idx="260">
                  <c:v>1546.4</c:v>
                </c:pt>
                <c:pt idx="261">
                  <c:v>1558.3</c:v>
                </c:pt>
                <c:pt idx="262">
                  <c:v>1552.9</c:v>
                </c:pt>
                <c:pt idx="263">
                  <c:v>1560.9</c:v>
                </c:pt>
                <c:pt idx="264">
                  <c:v>1573.8</c:v>
                </c:pt>
                <c:pt idx="265">
                  <c:v>1561.8</c:v>
                </c:pt>
                <c:pt idx="266">
                  <c:v>1543.2</c:v>
                </c:pt>
                <c:pt idx="267">
                  <c:v>1539.6</c:v>
                </c:pt>
                <c:pt idx="268">
                  <c:v>1563.6</c:v>
                </c:pt>
                <c:pt idx="269">
                  <c:v>1578</c:v>
                </c:pt>
                <c:pt idx="270">
                  <c:v>1601.9</c:v>
                </c:pt>
                <c:pt idx="271">
                  <c:v>1603.6</c:v>
                </c:pt>
                <c:pt idx="272">
                  <c:v>1603.3</c:v>
                </c:pt>
                <c:pt idx="273">
                  <c:v>1592.5</c:v>
                </c:pt>
                <c:pt idx="274">
                  <c:v>1578.7</c:v>
                </c:pt>
                <c:pt idx="275">
                  <c:v>1589.8</c:v>
                </c:pt>
                <c:pt idx="276">
                  <c:v>1615.7</c:v>
                </c:pt>
                <c:pt idx="277">
                  <c:v>1622.7</c:v>
                </c:pt>
                <c:pt idx="278">
                  <c:v>1628.5</c:v>
                </c:pt>
                <c:pt idx="279">
                  <c:v>1667.5</c:v>
                </c:pt>
                <c:pt idx="280">
                  <c:v>1666.3</c:v>
                </c:pt>
                <c:pt idx="281">
                  <c:v>1671</c:v>
                </c:pt>
                <c:pt idx="282">
                  <c:v>1677.2</c:v>
                </c:pt>
                <c:pt idx="283">
                  <c:v>1685.3</c:v>
                </c:pt>
                <c:pt idx="284">
                  <c:v>1680.1</c:v>
                </c:pt>
                <c:pt idx="285">
                  <c:v>1669.6</c:v>
                </c:pt>
                <c:pt idx="286">
                  <c:v>1664.8</c:v>
                </c:pt>
                <c:pt idx="287">
                  <c:v>1683.6</c:v>
                </c:pt>
                <c:pt idx="288">
                  <c:v>1683.1</c:v>
                </c:pt>
                <c:pt idx="289">
                  <c:v>1672.4</c:v>
                </c:pt>
                <c:pt idx="290">
                  <c:v>1680.9</c:v>
                </c:pt>
                <c:pt idx="291">
                  <c:v>1687.5</c:v>
                </c:pt>
                <c:pt idx="292">
                  <c:v>1689</c:v>
                </c:pt>
                <c:pt idx="293">
                  <c:v>1674.6</c:v>
                </c:pt>
                <c:pt idx="294">
                  <c:v>1686.6</c:v>
                </c:pt>
                <c:pt idx="295">
                  <c:v>1681.1</c:v>
                </c:pt>
                <c:pt idx="296">
                  <c:v>1685.5</c:v>
                </c:pt>
                <c:pt idx="297">
                  <c:v>1682.1</c:v>
                </c:pt>
                <c:pt idx="298">
                  <c:v>1683.6</c:v>
                </c:pt>
                <c:pt idx="299">
                  <c:v>1678.9</c:v>
                </c:pt>
                <c:pt idx="300">
                  <c:v>1681.4</c:v>
                </c:pt>
                <c:pt idx="301">
                  <c:v>1676.5</c:v>
                </c:pt>
                <c:pt idx="302">
                  <c:v>1681.1</c:v>
                </c:pt>
                <c:pt idx="303">
                  <c:v>1695</c:v>
                </c:pt>
                <c:pt idx="304">
                  <c:v>1687.8</c:v>
                </c:pt>
                <c:pt idx="305">
                  <c:v>1703.2</c:v>
                </c:pt>
                <c:pt idx="306">
                  <c:v>1717.6</c:v>
                </c:pt>
                <c:pt idx="307">
                  <c:v>1729.1</c:v>
                </c:pt>
                <c:pt idx="308">
                  <c:v>1722.3</c:v>
                </c:pt>
                <c:pt idx="309">
                  <c:v>1737.3</c:v>
                </c:pt>
                <c:pt idx="310">
                  <c:v>1749.9</c:v>
                </c:pt>
                <c:pt idx="311">
                  <c:v>1745.1</c:v>
                </c:pt>
                <c:pt idx="312">
                  <c:v>1747.9</c:v>
                </c:pt>
                <c:pt idx="313">
                  <c:v>1763.3</c:v>
                </c:pt>
                <c:pt idx="314">
                  <c:v>1759.1</c:v>
                </c:pt>
                <c:pt idx="315">
                  <c:v>1764.8</c:v>
                </c:pt>
                <c:pt idx="316">
                  <c:v>1746</c:v>
                </c:pt>
                <c:pt idx="317">
                  <c:v>1750.3</c:v>
                </c:pt>
                <c:pt idx="318">
                  <c:v>1750.5</c:v>
                </c:pt>
                <c:pt idx="319">
                  <c:v>1743.4</c:v>
                </c:pt>
                <c:pt idx="320">
                  <c:v>1727.5</c:v>
                </c:pt>
                <c:pt idx="321">
                  <c:v>1732.6</c:v>
                </c:pt>
                <c:pt idx="322">
                  <c:v>1724.8</c:v>
                </c:pt>
                <c:pt idx="323">
                  <c:v>1730.1</c:v>
                </c:pt>
                <c:pt idx="324">
                  <c:v>1732.2</c:v>
                </c:pt>
                <c:pt idx="325">
                  <c:v>1724.6</c:v>
                </c:pt>
                <c:pt idx="326">
                  <c:v>1736.3</c:v>
                </c:pt>
                <c:pt idx="327">
                  <c:v>1717.5</c:v>
                </c:pt>
                <c:pt idx="328">
                  <c:v>1713.1</c:v>
                </c:pt>
                <c:pt idx="329">
                  <c:v>1716.3</c:v>
                </c:pt>
                <c:pt idx="330">
                  <c:v>1719</c:v>
                </c:pt>
                <c:pt idx="331">
                  <c:v>1711.5</c:v>
                </c:pt>
                <c:pt idx="332">
                  <c:v>1710.3</c:v>
                </c:pt>
                <c:pt idx="333">
                  <c:v>1717.9</c:v>
                </c:pt>
                <c:pt idx="334">
                  <c:v>1707.3</c:v>
                </c:pt>
                <c:pt idx="335">
                  <c:v>1721.7</c:v>
                </c:pt>
                <c:pt idx="336">
                  <c:v>1719.6</c:v>
                </c:pt>
                <c:pt idx="337">
                  <c:v>1734.6</c:v>
                </c:pt>
                <c:pt idx="338">
                  <c:v>1739.4</c:v>
                </c:pt>
                <c:pt idx="339">
                  <c:v>1720</c:v>
                </c:pt>
                <c:pt idx="340">
                  <c:v>1720.3</c:v>
                </c:pt>
                <c:pt idx="341">
                  <c:v>1736.1</c:v>
                </c:pt>
                <c:pt idx="342">
                  <c:v>1727.7</c:v>
                </c:pt>
                <c:pt idx="343">
                  <c:v>1732.5</c:v>
                </c:pt>
                <c:pt idx="344">
                  <c:v>1743.8</c:v>
                </c:pt>
                <c:pt idx="345">
                  <c:v>1749.2</c:v>
                </c:pt>
                <c:pt idx="346">
                  <c:v>1746.5</c:v>
                </c:pt>
                <c:pt idx="347">
                  <c:v>1753.3</c:v>
                </c:pt>
                <c:pt idx="348">
                  <c:v>1752.4</c:v>
                </c:pt>
                <c:pt idx="349">
                  <c:v>1745.7</c:v>
                </c:pt>
                <c:pt idx="350">
                  <c:v>1742.2</c:v>
                </c:pt>
                <c:pt idx="351">
                  <c:v>1735.9</c:v>
                </c:pt>
                <c:pt idx="352">
                  <c:v>1735.9</c:v>
                </c:pt>
                <c:pt idx="353">
                  <c:v>1734</c:v>
                </c:pt>
                <c:pt idx="354">
                  <c:v>1728.3</c:v>
                </c:pt>
                <c:pt idx="355">
                  <c:v>1732.6</c:v>
                </c:pt>
                <c:pt idx="356">
                  <c:v>1743.5</c:v>
                </c:pt>
                <c:pt idx="357">
                  <c:v>1750.8</c:v>
                </c:pt>
                <c:pt idx="358">
                  <c:v>1748.2</c:v>
                </c:pt>
                <c:pt idx="359">
                  <c:v>1753</c:v>
                </c:pt>
                <c:pt idx="360">
                  <c:v>1751.2</c:v>
                </c:pt>
                <c:pt idx="361">
                  <c:v>1749.4</c:v>
                </c:pt>
                <c:pt idx="362">
                  <c:v>1742.3</c:v>
                </c:pt>
                <c:pt idx="363">
                  <c:v>1724.1</c:v>
                </c:pt>
                <c:pt idx="364">
                  <c:v>1758.4</c:v>
                </c:pt>
                <c:pt idx="365">
                  <c:v>1763.3</c:v>
                </c:pt>
                <c:pt idx="366">
                  <c:v>1787.5</c:v>
                </c:pt>
                <c:pt idx="367">
                  <c:v>1785.5</c:v>
                </c:pt>
                <c:pt idx="368">
                  <c:v>1803</c:v>
                </c:pt>
                <c:pt idx="369">
                  <c:v>1811.6</c:v>
                </c:pt>
                <c:pt idx="370">
                  <c:v>1806.7</c:v>
                </c:pt>
                <c:pt idx="371">
                  <c:v>1794.1</c:v>
                </c:pt>
                <c:pt idx="372">
                  <c:v>1803.2</c:v>
                </c:pt>
                <c:pt idx="373">
                  <c:v>1798.1</c:v>
                </c:pt>
                <c:pt idx="374">
                  <c:v>1801.4</c:v>
                </c:pt>
                <c:pt idx="375">
                  <c:v>1788.6</c:v>
                </c:pt>
                <c:pt idx="376">
                  <c:v>1792.3</c:v>
                </c:pt>
                <c:pt idx="377">
                  <c:v>1789.1</c:v>
                </c:pt>
                <c:pt idx="378">
                  <c:v>1786.3</c:v>
                </c:pt>
                <c:pt idx="379">
                  <c:v>1789.8</c:v>
                </c:pt>
                <c:pt idx="380">
                  <c:v>1781.8</c:v>
                </c:pt>
                <c:pt idx="381">
                  <c:v>1782.3</c:v>
                </c:pt>
                <c:pt idx="382">
                  <c:v>1773.9</c:v>
                </c:pt>
                <c:pt idx="383">
                  <c:v>1779.1</c:v>
                </c:pt>
                <c:pt idx="384">
                  <c:v>1771.8</c:v>
                </c:pt>
                <c:pt idx="385">
                  <c:v>1772.9</c:v>
                </c:pt>
                <c:pt idx="386">
                  <c:v>1770.6</c:v>
                </c:pt>
                <c:pt idx="387">
                  <c:v>1771.1</c:v>
                </c:pt>
                <c:pt idx="388">
                  <c:v>1768.5</c:v>
                </c:pt>
                <c:pt idx="389">
                  <c:v>1764.9</c:v>
                </c:pt>
                <c:pt idx="390">
                  <c:v>1754.1</c:v>
                </c:pt>
                <c:pt idx="391">
                  <c:v>1757.1</c:v>
                </c:pt>
                <c:pt idx="392">
                  <c:v>1752.6</c:v>
                </c:pt>
                <c:pt idx="393">
                  <c:v>1756.3</c:v>
                </c:pt>
                <c:pt idx="394">
                  <c:v>1768.6</c:v>
                </c:pt>
                <c:pt idx="395">
                  <c:v>1777</c:v>
                </c:pt>
                <c:pt idx="396">
                  <c:v>1772.4</c:v>
                </c:pt>
                <c:pt idx="397">
                  <c:v>1767.5</c:v>
                </c:pt>
                <c:pt idx="398">
                  <c:v>1751.2</c:v>
                </c:pt>
                <c:pt idx="399">
                  <c:v>1757.6</c:v>
                </c:pt>
                <c:pt idx="400">
                  <c:v>1754.5</c:v>
                </c:pt>
                <c:pt idx="401">
                  <c:v>1736.5</c:v>
                </c:pt>
                <c:pt idx="402">
                  <c:v>1734.1</c:v>
                </c:pt>
                <c:pt idx="403">
                  <c:v>1734.6</c:v>
                </c:pt>
                <c:pt idx="404">
                  <c:v>1740.5</c:v>
                </c:pt>
                <c:pt idx="405">
                  <c:v>1702.7</c:v>
                </c:pt>
                <c:pt idx="406">
                  <c:v>1649.7</c:v>
                </c:pt>
                <c:pt idx="407">
                  <c:v>1659.8</c:v>
                </c:pt>
                <c:pt idx="408">
                  <c:v>1628.2</c:v>
                </c:pt>
                <c:pt idx="409">
                  <c:v>1623.4</c:v>
                </c:pt>
                <c:pt idx="410">
                  <c:v>1610.4</c:v>
                </c:pt>
                <c:pt idx="411">
                  <c:v>1618.1</c:v>
                </c:pt>
                <c:pt idx="412">
                  <c:v>1610.6</c:v>
                </c:pt>
                <c:pt idx="413">
                  <c:v>1628.2</c:v>
                </c:pt>
                <c:pt idx="414">
                  <c:v>1624</c:v>
                </c:pt>
                <c:pt idx="415">
                  <c:v>1615.4</c:v>
                </c:pt>
                <c:pt idx="416">
                  <c:v>1594.7</c:v>
                </c:pt>
                <c:pt idx="417">
                  <c:v>1611.5</c:v>
                </c:pt>
                <c:pt idx="418">
                  <c:v>1628.8</c:v>
                </c:pt>
                <c:pt idx="419">
                  <c:v>1621.2</c:v>
                </c:pt>
                <c:pt idx="420">
                  <c:v>1609.5</c:v>
                </c:pt>
                <c:pt idx="421">
                  <c:v>1582.6</c:v>
                </c:pt>
                <c:pt idx="422">
                  <c:v>1564.6</c:v>
                </c:pt>
                <c:pt idx="423">
                  <c:v>1553</c:v>
                </c:pt>
                <c:pt idx="424">
                  <c:v>1541</c:v>
                </c:pt>
                <c:pt idx="425">
                  <c:v>1547.8</c:v>
                </c:pt>
                <c:pt idx="426">
                  <c:v>1555.4</c:v>
                </c:pt>
                <c:pt idx="427">
                  <c:v>1533.2</c:v>
                </c:pt>
                <c:pt idx="428">
                  <c:v>1524.7</c:v>
                </c:pt>
                <c:pt idx="429">
                  <c:v>1513.1</c:v>
                </c:pt>
                <c:pt idx="430">
                  <c:v>1520</c:v>
                </c:pt>
                <c:pt idx="431">
                  <c:v>1498.7</c:v>
                </c:pt>
                <c:pt idx="432">
                  <c:v>1468.9</c:v>
                </c:pt>
                <c:pt idx="433">
                  <c:v>1473.3</c:v>
                </c:pt>
                <c:pt idx="434">
                  <c:v>1513.4</c:v>
                </c:pt>
                <c:pt idx="435">
                  <c:v>1516.5</c:v>
                </c:pt>
                <c:pt idx="436">
                  <c:v>1541.3</c:v>
                </c:pt>
                <c:pt idx="437">
                  <c:v>1518.7</c:v>
                </c:pt>
                <c:pt idx="438">
                  <c:v>1506.7</c:v>
                </c:pt>
                <c:pt idx="439">
                  <c:v>1530.8</c:v>
                </c:pt>
                <c:pt idx="440">
                  <c:v>1536.5</c:v>
                </c:pt>
                <c:pt idx="441">
                  <c:v>1540.6</c:v>
                </c:pt>
                <c:pt idx="442">
                  <c:v>1544.6</c:v>
                </c:pt>
                <c:pt idx="443">
                  <c:v>1525.3</c:v>
                </c:pt>
                <c:pt idx="444">
                  <c:v>1528.3</c:v>
                </c:pt>
                <c:pt idx="445">
                  <c:v>1527.8</c:v>
                </c:pt>
                <c:pt idx="446">
                  <c:v>1595</c:v>
                </c:pt>
                <c:pt idx="447">
                  <c:v>1587.6</c:v>
                </c:pt>
                <c:pt idx="448">
                  <c:v>1584.6</c:v>
                </c:pt>
                <c:pt idx="449">
                  <c:v>1578.7</c:v>
                </c:pt>
                <c:pt idx="450">
                  <c:v>1589.3</c:v>
                </c:pt>
                <c:pt idx="451">
                  <c:v>1573.9</c:v>
                </c:pt>
                <c:pt idx="452">
                  <c:v>1550.3</c:v>
                </c:pt>
                <c:pt idx="453">
                  <c:v>1557.8</c:v>
                </c:pt>
                <c:pt idx="454">
                  <c:v>1530.9</c:v>
                </c:pt>
                <c:pt idx="455">
                  <c:v>1513.4</c:v>
                </c:pt>
                <c:pt idx="456">
                  <c:v>1475</c:v>
                </c:pt>
                <c:pt idx="457">
                  <c:v>1476.3</c:v>
                </c:pt>
                <c:pt idx="458">
                  <c:v>1466.4</c:v>
                </c:pt>
                <c:pt idx="459">
                  <c:v>1484</c:v>
                </c:pt>
                <c:pt idx="460">
                  <c:v>1478</c:v>
                </c:pt>
                <c:pt idx="461">
                  <c:v>1424.4</c:v>
                </c:pt>
                <c:pt idx="462">
                  <c:v>1420.3</c:v>
                </c:pt>
                <c:pt idx="463">
                  <c:v>1436.1</c:v>
                </c:pt>
                <c:pt idx="464">
                  <c:v>1451.1</c:v>
                </c:pt>
                <c:pt idx="465">
                  <c:v>1439.7</c:v>
                </c:pt>
                <c:pt idx="466">
                  <c:v>1432.5</c:v>
                </c:pt>
                <c:pt idx="467">
                  <c:v>1465.5</c:v>
                </c:pt>
                <c:pt idx="468">
                  <c:v>1458.5</c:v>
                </c:pt>
                <c:pt idx="469">
                  <c:v>1453.4</c:v>
                </c:pt>
                <c:pt idx="470">
                  <c:v>1461.6</c:v>
                </c:pt>
                <c:pt idx="471">
                  <c:v>1479.1</c:v>
                </c:pt>
                <c:pt idx="472">
                  <c:v>1511.6</c:v>
                </c:pt>
                <c:pt idx="473">
                  <c:v>1503.9</c:v>
                </c:pt>
                <c:pt idx="474">
                  <c:v>1510.1</c:v>
                </c:pt>
                <c:pt idx="475">
                  <c:v>1526.8</c:v>
                </c:pt>
                <c:pt idx="476">
                  <c:v>1542.5</c:v>
                </c:pt>
                <c:pt idx="477">
                  <c:v>1533.8</c:v>
                </c:pt>
                <c:pt idx="478">
                  <c:v>1510.3</c:v>
                </c:pt>
                <c:pt idx="479">
                  <c:v>1493.6</c:v>
                </c:pt>
                <c:pt idx="480">
                  <c:v>1492.3</c:v>
                </c:pt>
                <c:pt idx="481">
                  <c:v>1472.6</c:v>
                </c:pt>
                <c:pt idx="482">
                  <c:v>1485</c:v>
                </c:pt>
                <c:pt idx="483">
                  <c:v>1472.7</c:v>
                </c:pt>
                <c:pt idx="484">
                  <c:v>1480.9</c:v>
                </c:pt>
                <c:pt idx="485">
                  <c:v>1487.2</c:v>
                </c:pt>
                <c:pt idx="486">
                  <c:v>1508.8</c:v>
                </c:pt>
                <c:pt idx="487">
                  <c:v>1519.1</c:v>
                </c:pt>
                <c:pt idx="488">
                  <c:v>1512.2</c:v>
                </c:pt>
                <c:pt idx="489">
                  <c:v>1535.4</c:v>
                </c:pt>
                <c:pt idx="490">
                  <c:v>1548.5</c:v>
                </c:pt>
                <c:pt idx="491">
                  <c:v>1547</c:v>
                </c:pt>
                <c:pt idx="492">
                  <c:v>1545.1</c:v>
                </c:pt>
                <c:pt idx="493">
                  <c:v>1551.7</c:v>
                </c:pt>
                <c:pt idx="494">
                  <c:v>1544.8</c:v>
                </c:pt>
                <c:pt idx="495">
                  <c:v>1530.9</c:v>
                </c:pt>
                <c:pt idx="496">
                  <c:v>1510.3</c:v>
                </c:pt>
                <c:pt idx="497">
                  <c:v>1517.7</c:v>
                </c:pt>
                <c:pt idx="498">
                  <c:v>1523.2</c:v>
                </c:pt>
                <c:pt idx="499">
                  <c:v>1523</c:v>
                </c:pt>
                <c:pt idx="500">
                  <c:v>1544.3</c:v>
                </c:pt>
                <c:pt idx="501">
                  <c:v>1544.9</c:v>
                </c:pt>
                <c:pt idx="502">
                  <c:v>1534</c:v>
                </c:pt>
                <c:pt idx="503">
                  <c:v>1532.5</c:v>
                </c:pt>
                <c:pt idx="504">
                  <c:v>1522.2</c:v>
                </c:pt>
                <c:pt idx="505">
                  <c:v>1525.3</c:v>
                </c:pt>
                <c:pt idx="506">
                  <c:v>1508.2</c:v>
                </c:pt>
                <c:pt idx="507">
                  <c:v>1500.6</c:v>
                </c:pt>
                <c:pt idx="508">
                  <c:v>1494.5</c:v>
                </c:pt>
                <c:pt idx="509">
                  <c:v>1476</c:v>
                </c:pt>
                <c:pt idx="510">
                  <c:v>1469.8</c:v>
                </c:pt>
                <c:pt idx="511">
                  <c:v>1481.2</c:v>
                </c:pt>
                <c:pt idx="512">
                  <c:v>1472.1</c:v>
                </c:pt>
                <c:pt idx="513">
                  <c:v>1476.2</c:v>
                </c:pt>
                <c:pt idx="514">
                  <c:v>1492</c:v>
                </c:pt>
                <c:pt idx="515">
                  <c:v>1515.6</c:v>
                </c:pt>
                <c:pt idx="516">
                  <c:v>1523.6</c:v>
                </c:pt>
                <c:pt idx="517">
                  <c:v>1527</c:v>
                </c:pt>
                <c:pt idx="518">
                  <c:v>1544.6</c:v>
                </c:pt>
                <c:pt idx="519">
                  <c:v>1542.2</c:v>
                </c:pt>
                <c:pt idx="520">
                  <c:v>1545.1</c:v>
                </c:pt>
                <c:pt idx="521">
                  <c:v>1531.3</c:v>
                </c:pt>
                <c:pt idx="522">
                  <c:v>1556.4</c:v>
                </c:pt>
                <c:pt idx="523">
                  <c:v>1556.4</c:v>
                </c:pt>
                <c:pt idx="524">
                  <c:v>1542.5</c:v>
                </c:pt>
                <c:pt idx="525">
                  <c:v>1531.5</c:v>
                </c:pt>
                <c:pt idx="526">
                  <c:v>1532</c:v>
                </c:pt>
                <c:pt idx="527">
                  <c:v>1530.2</c:v>
                </c:pt>
                <c:pt idx="528">
                  <c:v>1516.5</c:v>
                </c:pt>
                <c:pt idx="529">
                  <c:v>1523.7</c:v>
                </c:pt>
                <c:pt idx="530">
                  <c:v>1544.6</c:v>
                </c:pt>
                <c:pt idx="531">
                  <c:v>1573.1</c:v>
                </c:pt>
                <c:pt idx="532">
                  <c:v>1578.8</c:v>
                </c:pt>
                <c:pt idx="533">
                  <c:v>1574.9</c:v>
                </c:pt>
                <c:pt idx="534">
                  <c:v>1573.7</c:v>
                </c:pt>
                <c:pt idx="535">
                  <c:v>1587.6</c:v>
                </c:pt>
                <c:pt idx="536">
                  <c:v>1569.2</c:v>
                </c:pt>
                <c:pt idx="537">
                  <c:v>1576.2</c:v>
                </c:pt>
                <c:pt idx="538">
                  <c:v>1562.3</c:v>
                </c:pt>
                <c:pt idx="539">
                  <c:v>1567.8</c:v>
                </c:pt>
                <c:pt idx="540">
                  <c:v>1571.9</c:v>
                </c:pt>
                <c:pt idx="541">
                  <c:v>1585.2</c:v>
                </c:pt>
                <c:pt idx="542">
                  <c:v>1583.1</c:v>
                </c:pt>
                <c:pt idx="543">
                  <c:v>1601.5</c:v>
                </c:pt>
                <c:pt idx="544">
                  <c:v>1601.6</c:v>
                </c:pt>
                <c:pt idx="545">
                  <c:v>1641.4</c:v>
                </c:pt>
                <c:pt idx="546">
                  <c:v>1647.2</c:v>
                </c:pt>
                <c:pt idx="547">
                  <c:v>1641.6</c:v>
                </c:pt>
                <c:pt idx="548">
                  <c:v>1649.8</c:v>
                </c:pt>
                <c:pt idx="549">
                  <c:v>1651.1</c:v>
                </c:pt>
                <c:pt idx="550">
                  <c:v>1661.4</c:v>
                </c:pt>
                <c:pt idx="551">
                  <c:v>1664.7</c:v>
                </c:pt>
                <c:pt idx="552">
                  <c:v>1664.2</c:v>
                </c:pt>
                <c:pt idx="553">
                  <c:v>1653.3</c:v>
                </c:pt>
                <c:pt idx="554">
                  <c:v>1672.3</c:v>
                </c:pt>
                <c:pt idx="555">
                  <c:v>1677.4</c:v>
                </c:pt>
                <c:pt idx="556">
                  <c:v>1680.7</c:v>
                </c:pt>
                <c:pt idx="557">
                  <c:v>1661.6</c:v>
                </c:pt>
                <c:pt idx="558">
                  <c:v>1644.2</c:v>
                </c:pt>
                <c:pt idx="559">
                  <c:v>1658.9</c:v>
                </c:pt>
                <c:pt idx="560">
                  <c:v>1684.4</c:v>
                </c:pt>
                <c:pt idx="561">
                  <c:v>1701</c:v>
                </c:pt>
                <c:pt idx="562">
                  <c:v>1696.7</c:v>
                </c:pt>
                <c:pt idx="563">
                  <c:v>1693.7</c:v>
                </c:pt>
                <c:pt idx="564">
                  <c:v>1687.4</c:v>
                </c:pt>
                <c:pt idx="565">
                  <c:v>1682.8</c:v>
                </c:pt>
                <c:pt idx="566">
                  <c:v>1694.8</c:v>
                </c:pt>
                <c:pt idx="567">
                  <c:v>1713.1</c:v>
                </c:pt>
                <c:pt idx="568">
                  <c:v>1709.7</c:v>
                </c:pt>
                <c:pt idx="569">
                  <c:v>1717.4</c:v>
                </c:pt>
                <c:pt idx="570">
                  <c:v>1707.1</c:v>
                </c:pt>
                <c:pt idx="571">
                  <c:v>1702.6</c:v>
                </c:pt>
                <c:pt idx="572">
                  <c:v>1697.8</c:v>
                </c:pt>
                <c:pt idx="573">
                  <c:v>1685.1</c:v>
                </c:pt>
                <c:pt idx="574">
                  <c:v>1696.2</c:v>
                </c:pt>
                <c:pt idx="575">
                  <c:v>1698.8</c:v>
                </c:pt>
                <c:pt idx="576">
                  <c:v>1661.4</c:v>
                </c:pt>
                <c:pt idx="577">
                  <c:v>1648.4</c:v>
                </c:pt>
                <c:pt idx="578">
                  <c:v>1659.5</c:v>
                </c:pt>
                <c:pt idx="579">
                  <c:v>1657.2</c:v>
                </c:pt>
                <c:pt idx="580">
                  <c:v>1661.3</c:v>
                </c:pt>
                <c:pt idx="581">
                  <c:v>1674.9</c:v>
                </c:pt>
                <c:pt idx="582">
                  <c:v>1685.1</c:v>
                </c:pt>
                <c:pt idx="583">
                  <c:v>1684.2</c:v>
                </c:pt>
                <c:pt idx="584">
                  <c:v>1671.5</c:v>
                </c:pt>
                <c:pt idx="585">
                  <c:v>1661.8</c:v>
                </c:pt>
                <c:pt idx="586">
                  <c:v>1658.7</c:v>
                </c:pt>
                <c:pt idx="587">
                  <c:v>1665.4</c:v>
                </c:pt>
                <c:pt idx="588">
                  <c:v>1650.3</c:v>
                </c:pt>
                <c:pt idx="589">
                  <c:v>1655.7</c:v>
                </c:pt>
                <c:pt idx="590">
                  <c:v>1671.1</c:v>
                </c:pt>
                <c:pt idx="591">
                  <c:v>1672.4</c:v>
                </c:pt>
                <c:pt idx="592">
                  <c:v>1675.2</c:v>
                </c:pt>
                <c:pt idx="593">
                  <c:v>1678.9</c:v>
                </c:pt>
                <c:pt idx="594">
                  <c:v>1693.3</c:v>
                </c:pt>
                <c:pt idx="595">
                  <c:v>1687.1</c:v>
                </c:pt>
                <c:pt idx="596">
                  <c:v>1666.9</c:v>
                </c:pt>
                <c:pt idx="597">
                  <c:v>1666.7</c:v>
                </c:pt>
                <c:pt idx="598">
                  <c:v>1657.1</c:v>
                </c:pt>
                <c:pt idx="599">
                  <c:v>1649.8</c:v>
                </c:pt>
                <c:pt idx="600">
                  <c:v>1640.8</c:v>
                </c:pt>
                <c:pt idx="601">
                  <c:v>1628.9</c:v>
                </c:pt>
                <c:pt idx="602">
                  <c:v>1623.9</c:v>
                </c:pt>
                <c:pt idx="603">
                  <c:v>1627.2</c:v>
                </c:pt>
                <c:pt idx="604">
                  <c:v>1629.2</c:v>
                </c:pt>
                <c:pt idx="605">
                  <c:v>1627.4</c:v>
                </c:pt>
                <c:pt idx="606">
                  <c:v>1623.2</c:v>
                </c:pt>
                <c:pt idx="607">
                  <c:v>1623.3</c:v>
                </c:pt>
                <c:pt idx="608">
                  <c:v>1611.9</c:v>
                </c:pt>
                <c:pt idx="609">
                  <c:v>1609</c:v>
                </c:pt>
                <c:pt idx="610">
                  <c:v>1616.2</c:v>
                </c:pt>
                <c:pt idx="611">
                  <c:v>1629.5</c:v>
                </c:pt>
                <c:pt idx="612">
                  <c:v>1639.8</c:v>
                </c:pt>
                <c:pt idx="613">
                  <c:v>1634.5</c:v>
                </c:pt>
                <c:pt idx="614">
                  <c:v>1627.9</c:v>
                </c:pt>
                <c:pt idx="615">
                  <c:v>1628.5</c:v>
                </c:pt>
                <c:pt idx="616">
                  <c:v>1617.4</c:v>
                </c:pt>
                <c:pt idx="617">
                  <c:v>1610.6</c:v>
                </c:pt>
                <c:pt idx="618">
                  <c:v>1603.1</c:v>
                </c:pt>
                <c:pt idx="619">
                  <c:v>1618.2</c:v>
                </c:pt>
                <c:pt idx="620">
                  <c:v>1622</c:v>
                </c:pt>
                <c:pt idx="621">
                  <c:v>1634.5</c:v>
                </c:pt>
                <c:pt idx="622">
                  <c:v>1631.9</c:v>
                </c:pt>
                <c:pt idx="623">
                  <c:v>1619.9</c:v>
                </c:pt>
                <c:pt idx="624">
                  <c:v>1625.2</c:v>
                </c:pt>
                <c:pt idx="625">
                  <c:v>1629.6</c:v>
                </c:pt>
                <c:pt idx="626">
                  <c:v>1637.9</c:v>
                </c:pt>
                <c:pt idx="627">
                  <c:v>1655.6</c:v>
                </c:pt>
                <c:pt idx="628">
                  <c:v>1661.6</c:v>
                </c:pt>
                <c:pt idx="629">
                  <c:v>1673.1</c:v>
                </c:pt>
                <c:pt idx="630">
                  <c:v>1681</c:v>
                </c:pt>
                <c:pt idx="631">
                  <c:v>1692</c:v>
                </c:pt>
                <c:pt idx="632">
                  <c:v>1684.1</c:v>
                </c:pt>
                <c:pt idx="633">
                  <c:v>1689.6</c:v>
                </c:pt>
                <c:pt idx="634">
                  <c:v>1692.3</c:v>
                </c:pt>
                <c:pt idx="635">
                  <c:v>1686.9</c:v>
                </c:pt>
                <c:pt idx="636">
                  <c:v>1689.8</c:v>
                </c:pt>
                <c:pt idx="637">
                  <c:v>1698.1</c:v>
                </c:pt>
                <c:pt idx="638">
                  <c:v>1699.4</c:v>
                </c:pt>
                <c:pt idx="639">
                  <c:v>1686.3</c:v>
                </c:pt>
                <c:pt idx="640">
                  <c:v>1695.2</c:v>
                </c:pt>
                <c:pt idx="641">
                  <c:v>1707.2</c:v>
                </c:pt>
                <c:pt idx="642">
                  <c:v>1708.3</c:v>
                </c:pt>
                <c:pt idx="643">
                  <c:v>1697.6</c:v>
                </c:pt>
                <c:pt idx="644">
                  <c:v>1706.6</c:v>
                </c:pt>
                <c:pt idx="645">
                  <c:v>1697.8</c:v>
                </c:pt>
                <c:pt idx="646">
                  <c:v>1692.2</c:v>
                </c:pt>
                <c:pt idx="647">
                  <c:v>1700.9</c:v>
                </c:pt>
                <c:pt idx="648">
                  <c:v>1719.8</c:v>
                </c:pt>
                <c:pt idx="649">
                  <c:v>1783.7</c:v>
                </c:pt>
                <c:pt idx="650">
                  <c:v>1797.4</c:v>
                </c:pt>
                <c:pt idx="651">
                  <c:v>1818.2</c:v>
                </c:pt>
                <c:pt idx="652">
                  <c:v>1807.2</c:v>
                </c:pt>
                <c:pt idx="653">
                  <c:v>1811.6</c:v>
                </c:pt>
                <c:pt idx="654">
                  <c:v>1807.7</c:v>
                </c:pt>
                <c:pt idx="655">
                  <c:v>1813.5</c:v>
                </c:pt>
                <c:pt idx="656">
                  <c:v>1836.3</c:v>
                </c:pt>
                <c:pt idx="657">
                  <c:v>1839</c:v>
                </c:pt>
                <c:pt idx="658">
                  <c:v>1823.8</c:v>
                </c:pt>
                <c:pt idx="659">
                  <c:v>1823.5</c:v>
                </c:pt>
                <c:pt idx="660">
                  <c:v>1830.8</c:v>
                </c:pt>
                <c:pt idx="661">
                  <c:v>1854.5</c:v>
                </c:pt>
                <c:pt idx="662">
                  <c:v>1845.2</c:v>
                </c:pt>
                <c:pt idx="663">
                  <c:v>1833.9</c:v>
                </c:pt>
                <c:pt idx="664">
                  <c:v>1833.7</c:v>
                </c:pt>
                <c:pt idx="665">
                  <c:v>1803.2</c:v>
                </c:pt>
                <c:pt idx="666">
                  <c:v>1815.1</c:v>
                </c:pt>
                <c:pt idx="667">
                  <c:v>1843.4</c:v>
                </c:pt>
                <c:pt idx="668">
                  <c:v>1860.6</c:v>
                </c:pt>
                <c:pt idx="669">
                  <c:v>1860.7</c:v>
                </c:pt>
                <c:pt idx="670">
                  <c:v>1869.4</c:v>
                </c:pt>
                <c:pt idx="671">
                  <c:v>1872.3</c:v>
                </c:pt>
                <c:pt idx="672">
                  <c:v>1865.2</c:v>
                </c:pt>
                <c:pt idx="673">
                  <c:v>1865.8</c:v>
                </c:pt>
                <c:pt idx="674">
                  <c:v>1905</c:v>
                </c:pt>
                <c:pt idx="675">
                  <c:v>1906.6</c:v>
                </c:pt>
                <c:pt idx="676">
                  <c:v>1912.2</c:v>
                </c:pt>
                <c:pt idx="677">
                  <c:v>1910.2</c:v>
                </c:pt>
                <c:pt idx="678">
                  <c:v>1935.7</c:v>
                </c:pt>
                <c:pt idx="679">
                  <c:v>1939</c:v>
                </c:pt>
                <c:pt idx="680">
                  <c:v>1922.7</c:v>
                </c:pt>
                <c:pt idx="681">
                  <c:v>1888.3</c:v>
                </c:pt>
                <c:pt idx="682">
                  <c:v>1897.7</c:v>
                </c:pt>
                <c:pt idx="683">
                  <c:v>1917.8</c:v>
                </c:pt>
                <c:pt idx="684">
                  <c:v>1901.2</c:v>
                </c:pt>
                <c:pt idx="685">
                  <c:v>1904.6</c:v>
                </c:pt>
                <c:pt idx="686">
                  <c:v>1921.9</c:v>
                </c:pt>
                <c:pt idx="687">
                  <c:v>1944.9</c:v>
                </c:pt>
                <c:pt idx="688">
                  <c:v>1918.6</c:v>
                </c:pt>
                <c:pt idx="689">
                  <c:v>1925.6</c:v>
                </c:pt>
                <c:pt idx="690">
                  <c:v>1925.2</c:v>
                </c:pt>
                <c:pt idx="691">
                  <c:v>1910.3</c:v>
                </c:pt>
                <c:pt idx="692">
                  <c:v>1886</c:v>
                </c:pt>
                <c:pt idx="693">
                  <c:v>1885.3</c:v>
                </c:pt>
                <c:pt idx="694">
                  <c:v>1880.8</c:v>
                </c:pt>
                <c:pt idx="695">
                  <c:v>1861.4</c:v>
                </c:pt>
                <c:pt idx="696">
                  <c:v>1872.6</c:v>
                </c:pt>
                <c:pt idx="697">
                  <c:v>1880.6</c:v>
                </c:pt>
                <c:pt idx="698">
                  <c:v>1860.4</c:v>
                </c:pt>
                <c:pt idx="699">
                  <c:v>1855.7</c:v>
                </c:pt>
                <c:pt idx="700">
                  <c:v>1882</c:v>
                </c:pt>
                <c:pt idx="701">
                  <c:v>1912.8</c:v>
                </c:pt>
                <c:pt idx="702">
                  <c:v>1925.9</c:v>
                </c:pt>
                <c:pt idx="703">
                  <c:v>1893</c:v>
                </c:pt>
                <c:pt idx="704">
                  <c:v>1916.5</c:v>
                </c:pt>
                <c:pt idx="705">
                  <c:v>1885.9</c:v>
                </c:pt>
                <c:pt idx="706">
                  <c:v>1912.2</c:v>
                </c:pt>
                <c:pt idx="707">
                  <c:v>1913.6</c:v>
                </c:pt>
                <c:pt idx="708">
                  <c:v>1907.7</c:v>
                </c:pt>
                <c:pt idx="709">
                  <c:v>1915.7</c:v>
                </c:pt>
                <c:pt idx="710">
                  <c:v>1912.1</c:v>
                </c:pt>
                <c:pt idx="711">
                  <c:v>1923.7</c:v>
                </c:pt>
                <c:pt idx="712">
                  <c:v>1972.7</c:v>
                </c:pt>
                <c:pt idx="713">
                  <c:v>1987.1</c:v>
                </c:pt>
                <c:pt idx="714">
                  <c:v>1997</c:v>
                </c:pt>
                <c:pt idx="715">
                  <c:v>2005</c:v>
                </c:pt>
                <c:pt idx="716">
                  <c:v>2011</c:v>
                </c:pt>
                <c:pt idx="717">
                  <c:v>1998.6</c:v>
                </c:pt>
                <c:pt idx="718">
                  <c:v>2001.5</c:v>
                </c:pt>
                <c:pt idx="719">
                  <c:v>1990.1</c:v>
                </c:pt>
                <c:pt idx="720">
                  <c:v>2015</c:v>
                </c:pt>
                <c:pt idx="721">
                  <c:v>2033.3</c:v>
                </c:pt>
                <c:pt idx="722">
                  <c:v>2026.8</c:v>
                </c:pt>
                <c:pt idx="723">
                  <c:v>2042.6</c:v>
                </c:pt>
                <c:pt idx="724">
                  <c:v>2034.7</c:v>
                </c:pt>
                <c:pt idx="725">
                  <c:v>2066.1999999999998</c:v>
                </c:pt>
                <c:pt idx="726">
                  <c:v>2074.4</c:v>
                </c:pt>
                <c:pt idx="727">
                  <c:v>2058.6999999999998</c:v>
                </c:pt>
                <c:pt idx="728">
                  <c:v>2043.1</c:v>
                </c:pt>
                <c:pt idx="729">
                  <c:v>2038.5</c:v>
                </c:pt>
                <c:pt idx="730">
                  <c:v>2069</c:v>
                </c:pt>
                <c:pt idx="731">
                  <c:v>2062.1</c:v>
                </c:pt>
                <c:pt idx="732">
                  <c:v>2095.6</c:v>
                </c:pt>
                <c:pt idx="733">
                  <c:v>2084.4</c:v>
                </c:pt>
                <c:pt idx="734">
                  <c:v>2062.6</c:v>
                </c:pt>
                <c:pt idx="735">
                  <c:v>2012.6</c:v>
                </c:pt>
                <c:pt idx="736">
                  <c:v>2010.8</c:v>
                </c:pt>
                <c:pt idx="737">
                  <c:v>2022.8</c:v>
                </c:pt>
                <c:pt idx="738">
                  <c:v>2023.8</c:v>
                </c:pt>
                <c:pt idx="739">
                  <c:v>2023.3</c:v>
                </c:pt>
                <c:pt idx="740">
                  <c:v>2015</c:v>
                </c:pt>
                <c:pt idx="741">
                  <c:v>2049.1</c:v>
                </c:pt>
                <c:pt idx="742">
                  <c:v>2071.6999999999998</c:v>
                </c:pt>
                <c:pt idx="743">
                  <c:v>2085.3000000000002</c:v>
                </c:pt>
                <c:pt idx="744">
                  <c:v>2077.4</c:v>
                </c:pt>
                <c:pt idx="745">
                  <c:v>2030</c:v>
                </c:pt>
                <c:pt idx="746">
                  <c:v>2027.4</c:v>
                </c:pt>
                <c:pt idx="747">
                  <c:v>2029.6</c:v>
                </c:pt>
                <c:pt idx="748">
                  <c:v>2047.7</c:v>
                </c:pt>
                <c:pt idx="749">
                  <c:v>2047.2</c:v>
                </c:pt>
                <c:pt idx="750">
                  <c:v>2043.4</c:v>
                </c:pt>
                <c:pt idx="751">
                  <c:v>2057.8000000000002</c:v>
                </c:pt>
                <c:pt idx="752">
                  <c:v>2089.9</c:v>
                </c:pt>
                <c:pt idx="753">
                  <c:v>2110.5</c:v>
                </c:pt>
                <c:pt idx="754">
                  <c:v>2120.6</c:v>
                </c:pt>
                <c:pt idx="755">
                  <c:v>2118.8000000000002</c:v>
                </c:pt>
                <c:pt idx="756">
                  <c:v>2115.5</c:v>
                </c:pt>
                <c:pt idx="757">
                  <c:v>2148.1</c:v>
                </c:pt>
                <c:pt idx="758">
                  <c:v>2175.8000000000002</c:v>
                </c:pt>
                <c:pt idx="759">
                  <c:v>2161.1</c:v>
                </c:pt>
                <c:pt idx="760">
                  <c:v>2172.8000000000002</c:v>
                </c:pt>
                <c:pt idx="761">
                  <c:v>2150</c:v>
                </c:pt>
                <c:pt idx="762">
                  <c:v>2110.6999999999998</c:v>
                </c:pt>
                <c:pt idx="763">
                  <c:v>2137.5</c:v>
                </c:pt>
                <c:pt idx="764">
                  <c:v>2151</c:v>
                </c:pt>
                <c:pt idx="765">
                  <c:v>2178.1999999999998</c:v>
                </c:pt>
                <c:pt idx="766">
                  <c:v>2182.9</c:v>
                </c:pt>
                <c:pt idx="767">
                  <c:v>2197.5</c:v>
                </c:pt>
                <c:pt idx="768">
                  <c:v>2222.8000000000002</c:v>
                </c:pt>
                <c:pt idx="769">
                  <c:v>2254</c:v>
                </c:pt>
                <c:pt idx="770">
                  <c:v>2242.8000000000002</c:v>
                </c:pt>
                <c:pt idx="771">
                  <c:v>2214.6999999999998</c:v>
                </c:pt>
                <c:pt idx="772">
                  <c:v>2266.6999999999998</c:v>
                </c:pt>
                <c:pt idx="773">
                  <c:v>2268</c:v>
                </c:pt>
                <c:pt idx="774">
                  <c:v>2253.6</c:v>
                </c:pt>
                <c:pt idx="775">
                  <c:v>2233.4</c:v>
                </c:pt>
                <c:pt idx="776">
                  <c:v>2220.1999999999998</c:v>
                </c:pt>
                <c:pt idx="777">
                  <c:v>2211.6</c:v>
                </c:pt>
                <c:pt idx="778">
                  <c:v>2233.8000000000002</c:v>
                </c:pt>
                <c:pt idx="779">
                  <c:v>2228.8000000000002</c:v>
                </c:pt>
                <c:pt idx="780">
                  <c:v>2209.1999999999998</c:v>
                </c:pt>
                <c:pt idx="781">
                  <c:v>2164.6999999999998</c:v>
                </c:pt>
                <c:pt idx="782">
                  <c:v>2141.8000000000002</c:v>
                </c:pt>
                <c:pt idx="783">
                  <c:v>2137.4</c:v>
                </c:pt>
                <c:pt idx="784">
                  <c:v>2113.8000000000002</c:v>
                </c:pt>
                <c:pt idx="785">
                  <c:v>2134.4</c:v>
                </c:pt>
                <c:pt idx="786">
                  <c:v>2116.1999999999998</c:v>
                </c:pt>
                <c:pt idx="787">
                  <c:v>2075.6</c:v>
                </c:pt>
                <c:pt idx="788">
                  <c:v>2080</c:v>
                </c:pt>
                <c:pt idx="789">
                  <c:v>2126.8000000000002</c:v>
                </c:pt>
                <c:pt idx="790">
                  <c:v>2119.1999999999998</c:v>
                </c:pt>
                <c:pt idx="791">
                  <c:v>2125.1</c:v>
                </c:pt>
                <c:pt idx="792">
                  <c:v>2133.5</c:v>
                </c:pt>
                <c:pt idx="793">
                  <c:v>2177.5</c:v>
                </c:pt>
                <c:pt idx="794">
                  <c:v>2179.6999999999998</c:v>
                </c:pt>
                <c:pt idx="795">
                  <c:v>2184</c:v>
                </c:pt>
                <c:pt idx="796">
                  <c:v>2151.6999999999998</c:v>
                </c:pt>
                <c:pt idx="797">
                  <c:v>2138.3000000000002</c:v>
                </c:pt>
                <c:pt idx="798">
                  <c:v>2079.4</c:v>
                </c:pt>
                <c:pt idx="799">
                  <c:v>2107.1999999999998</c:v>
                </c:pt>
                <c:pt idx="800">
                  <c:v>2085.3000000000002</c:v>
                </c:pt>
                <c:pt idx="801">
                  <c:v>2119</c:v>
                </c:pt>
                <c:pt idx="802">
                  <c:v>2090.6</c:v>
                </c:pt>
                <c:pt idx="803">
                  <c:v>2116</c:v>
                </c:pt>
                <c:pt idx="804">
                  <c:v>2115.6</c:v>
                </c:pt>
                <c:pt idx="805">
                  <c:v>2136.6</c:v>
                </c:pt>
                <c:pt idx="806">
                  <c:v>2128.6999999999998</c:v>
                </c:pt>
                <c:pt idx="807">
                  <c:v>2152</c:v>
                </c:pt>
                <c:pt idx="808">
                  <c:v>2119.5</c:v>
                </c:pt>
                <c:pt idx="809">
                  <c:v>2107.6</c:v>
                </c:pt>
                <c:pt idx="810">
                  <c:v>2127.6999999999998</c:v>
                </c:pt>
                <c:pt idx="811">
                  <c:v>2090.3000000000002</c:v>
                </c:pt>
                <c:pt idx="812">
                  <c:v>2075</c:v>
                </c:pt>
                <c:pt idx="813">
                  <c:v>2091.6</c:v>
                </c:pt>
                <c:pt idx="814">
                  <c:v>2067.1</c:v>
                </c:pt>
                <c:pt idx="815">
                  <c:v>2020.3</c:v>
                </c:pt>
                <c:pt idx="816">
                  <c:v>2038</c:v>
                </c:pt>
                <c:pt idx="817">
                  <c:v>2060.1</c:v>
                </c:pt>
                <c:pt idx="818">
                  <c:v>2109</c:v>
                </c:pt>
                <c:pt idx="819">
                  <c:v>2124</c:v>
                </c:pt>
                <c:pt idx="820">
                  <c:v>2115.1</c:v>
                </c:pt>
                <c:pt idx="821">
                  <c:v>2141.1</c:v>
                </c:pt>
                <c:pt idx="822">
                  <c:v>2103.5</c:v>
                </c:pt>
                <c:pt idx="823">
                  <c:v>2145.1999999999998</c:v>
                </c:pt>
                <c:pt idx="824">
                  <c:v>2165.6</c:v>
                </c:pt>
                <c:pt idx="825">
                  <c:v>2172.6999999999998</c:v>
                </c:pt>
                <c:pt idx="826">
                  <c:v>2175.1</c:v>
                </c:pt>
                <c:pt idx="827">
                  <c:v>2155.6</c:v>
                </c:pt>
                <c:pt idx="828">
                  <c:v>2131.3000000000002</c:v>
                </c:pt>
                <c:pt idx="829">
                  <c:v>2141.3000000000002</c:v>
                </c:pt>
                <c:pt idx="830">
                  <c:v>2161.1</c:v>
                </c:pt>
                <c:pt idx="831">
                  <c:v>2161.6999999999998</c:v>
                </c:pt>
                <c:pt idx="832">
                  <c:v>2130.1</c:v>
                </c:pt>
                <c:pt idx="833">
                  <c:v>2161.4</c:v>
                </c:pt>
                <c:pt idx="834">
                  <c:v>2168.4</c:v>
                </c:pt>
                <c:pt idx="835">
                  <c:v>2147.5</c:v>
                </c:pt>
                <c:pt idx="836">
                  <c:v>2133.1</c:v>
                </c:pt>
                <c:pt idx="837">
                  <c:v>2158.3000000000002</c:v>
                </c:pt>
                <c:pt idx="838">
                  <c:v>2191.1999999999998</c:v>
                </c:pt>
                <c:pt idx="839">
                  <c:v>2201.4</c:v>
                </c:pt>
                <c:pt idx="840">
                  <c:v>2203.4</c:v>
                </c:pt>
                <c:pt idx="841">
                  <c:v>2225.3000000000002</c:v>
                </c:pt>
                <c:pt idx="842">
                  <c:v>2210.6</c:v>
                </c:pt>
                <c:pt idx="843">
                  <c:v>2209.1999999999998</c:v>
                </c:pt>
                <c:pt idx="844">
                  <c:v>2198.6999999999998</c:v>
                </c:pt>
                <c:pt idx="845">
                  <c:v>2200.4</c:v>
                </c:pt>
                <c:pt idx="846">
                  <c:v>2228.8000000000002</c:v>
                </c:pt>
                <c:pt idx="847">
                  <c:v>2172.4</c:v>
                </c:pt>
                <c:pt idx="848">
                  <c:v>2182.6</c:v>
                </c:pt>
                <c:pt idx="849">
                  <c:v>2197</c:v>
                </c:pt>
                <c:pt idx="850">
                  <c:v>2213.9</c:v>
                </c:pt>
                <c:pt idx="851">
                  <c:v>2202.1999999999998</c:v>
                </c:pt>
                <c:pt idx="852">
                  <c:v>2243.1999999999998</c:v>
                </c:pt>
                <c:pt idx="853">
                  <c:v>2253.6</c:v>
                </c:pt>
                <c:pt idx="854">
                  <c:v>2251.1999999999998</c:v>
                </c:pt>
                <c:pt idx="855">
                  <c:v>2246</c:v>
                </c:pt>
                <c:pt idx="856">
                  <c:v>2268.6999999999998</c:v>
                </c:pt>
                <c:pt idx="857">
                  <c:v>2252.3000000000002</c:v>
                </c:pt>
                <c:pt idx="858">
                  <c:v>2249</c:v>
                </c:pt>
                <c:pt idx="859">
                  <c:v>2235.8000000000002</c:v>
                </c:pt>
                <c:pt idx="860">
                  <c:v>2237</c:v>
                </c:pt>
                <c:pt idx="861">
                  <c:v>2218.9</c:v>
                </c:pt>
                <c:pt idx="862">
                  <c:v>2235.1999999999998</c:v>
                </c:pt>
                <c:pt idx="863">
                  <c:v>2243.6</c:v>
                </c:pt>
                <c:pt idx="864">
                  <c:v>2258.8000000000002</c:v>
                </c:pt>
                <c:pt idx="865">
                  <c:v>2271.1</c:v>
                </c:pt>
                <c:pt idx="866">
                  <c:v>2259.6999999999998</c:v>
                </c:pt>
                <c:pt idx="867">
                  <c:v>2267.4</c:v>
                </c:pt>
                <c:pt idx="868">
                  <c:v>2247.8000000000002</c:v>
                </c:pt>
                <c:pt idx="869">
                  <c:v>2249.6999999999998</c:v>
                </c:pt>
                <c:pt idx="870">
                  <c:v>2198.6999999999998</c:v>
                </c:pt>
                <c:pt idx="871">
                  <c:v>2158.8000000000002</c:v>
                </c:pt>
                <c:pt idx="872">
                  <c:v>2130.3000000000002</c:v>
                </c:pt>
                <c:pt idx="873">
                  <c:v>2141</c:v>
                </c:pt>
                <c:pt idx="874">
                  <c:v>2118.1999999999998</c:v>
                </c:pt>
                <c:pt idx="875">
                  <c:v>2127.6999999999998</c:v>
                </c:pt>
                <c:pt idx="876">
                  <c:v>2129.6999999999998</c:v>
                </c:pt>
                <c:pt idx="877">
                  <c:v>2148.4</c:v>
                </c:pt>
                <c:pt idx="878">
                  <c:v>2163.1</c:v>
                </c:pt>
                <c:pt idx="879">
                  <c:v>2135.1</c:v>
                </c:pt>
                <c:pt idx="880">
                  <c:v>2145.1999999999998</c:v>
                </c:pt>
                <c:pt idx="881">
                  <c:v>2129.3000000000002</c:v>
                </c:pt>
                <c:pt idx="882">
                  <c:v>2133.1</c:v>
                </c:pt>
                <c:pt idx="883">
                  <c:v>2105.8000000000002</c:v>
                </c:pt>
                <c:pt idx="884">
                  <c:v>2074.6999999999998</c:v>
                </c:pt>
                <c:pt idx="885">
                  <c:v>2074.6999999999998</c:v>
                </c:pt>
                <c:pt idx="886">
                  <c:v>2054.9</c:v>
                </c:pt>
                <c:pt idx="887">
                  <c:v>2050.6999999999998</c:v>
                </c:pt>
                <c:pt idx="888">
                  <c:v>1968.8</c:v>
                </c:pt>
                <c:pt idx="889">
                  <c:v>1983.3</c:v>
                </c:pt>
                <c:pt idx="890">
                  <c:v>1994.4</c:v>
                </c:pt>
                <c:pt idx="891">
                  <c:v>2022.1</c:v>
                </c:pt>
                <c:pt idx="892">
                  <c:v>2005.3</c:v>
                </c:pt>
                <c:pt idx="893">
                  <c:v>1988.6</c:v>
                </c:pt>
                <c:pt idx="894">
                  <c:v>2018.3</c:v>
                </c:pt>
                <c:pt idx="895">
                  <c:v>2046.3</c:v>
                </c:pt>
                <c:pt idx="896">
                  <c:v>2025.3</c:v>
                </c:pt>
                <c:pt idx="897">
                  <c:v>2036.5</c:v>
                </c:pt>
                <c:pt idx="898">
                  <c:v>2054.4</c:v>
                </c:pt>
                <c:pt idx="899">
                  <c:v>2032.7</c:v>
                </c:pt>
                <c:pt idx="900">
                  <c:v>2035.7</c:v>
                </c:pt>
                <c:pt idx="901">
                  <c:v>2043.9</c:v>
                </c:pt>
                <c:pt idx="902">
                  <c:v>2050.9</c:v>
                </c:pt>
                <c:pt idx="903">
                  <c:v>2065.6999999999998</c:v>
                </c:pt>
                <c:pt idx="904">
                  <c:v>2048.1</c:v>
                </c:pt>
                <c:pt idx="905">
                  <c:v>2054</c:v>
                </c:pt>
                <c:pt idx="906">
                  <c:v>2055.6</c:v>
                </c:pt>
                <c:pt idx="907">
                  <c:v>2093.6</c:v>
                </c:pt>
                <c:pt idx="908">
                  <c:v>2098.1999999999998</c:v>
                </c:pt>
                <c:pt idx="909">
                  <c:v>2128.8000000000002</c:v>
                </c:pt>
                <c:pt idx="910">
                  <c:v>2138.6999999999998</c:v>
                </c:pt>
                <c:pt idx="911">
                  <c:v>2113.3000000000002</c:v>
                </c:pt>
                <c:pt idx="912">
                  <c:v>2150.3000000000002</c:v>
                </c:pt>
                <c:pt idx="913">
                  <c:v>2136.1999999999998</c:v>
                </c:pt>
                <c:pt idx="914">
                  <c:v>2152</c:v>
                </c:pt>
                <c:pt idx="915">
                  <c:v>2140.4</c:v>
                </c:pt>
                <c:pt idx="916">
                  <c:v>2122.8000000000002</c:v>
                </c:pt>
                <c:pt idx="917">
                  <c:v>2146.6</c:v>
                </c:pt>
                <c:pt idx="918">
                  <c:v>2153.8000000000002</c:v>
                </c:pt>
                <c:pt idx="919">
                  <c:v>2186.4</c:v>
                </c:pt>
                <c:pt idx="920">
                  <c:v>2198.9</c:v>
                </c:pt>
                <c:pt idx="921">
                  <c:v>2183.4</c:v>
                </c:pt>
                <c:pt idx="922">
                  <c:v>2184.8000000000002</c:v>
                </c:pt>
                <c:pt idx="923">
                  <c:v>2184.6999999999998</c:v>
                </c:pt>
                <c:pt idx="924">
                  <c:v>2164.1999999999998</c:v>
                </c:pt>
                <c:pt idx="925">
                  <c:v>2160.4</c:v>
                </c:pt>
                <c:pt idx="926">
                  <c:v>2155.3000000000002</c:v>
                </c:pt>
                <c:pt idx="927">
                  <c:v>2124.6999999999998</c:v>
                </c:pt>
                <c:pt idx="928">
                  <c:v>2138.8000000000002</c:v>
                </c:pt>
                <c:pt idx="929">
                  <c:v>2143.1</c:v>
                </c:pt>
                <c:pt idx="930">
                  <c:v>2162.3000000000002</c:v>
                </c:pt>
                <c:pt idx="931">
                  <c:v>2153.6</c:v>
                </c:pt>
                <c:pt idx="932">
                  <c:v>2149.6</c:v>
                </c:pt>
                <c:pt idx="933">
                  <c:v>2123.8000000000002</c:v>
                </c:pt>
                <c:pt idx="934">
                  <c:v>2107.9</c:v>
                </c:pt>
                <c:pt idx="935">
                  <c:v>2126.4</c:v>
                </c:pt>
                <c:pt idx="936">
                  <c:v>2152.1999999999998</c:v>
                </c:pt>
                <c:pt idx="937">
                  <c:v>2161.5</c:v>
                </c:pt>
                <c:pt idx="938">
                  <c:v>2193.1999999999998</c:v>
                </c:pt>
                <c:pt idx="939">
                  <c:v>2210.9</c:v>
                </c:pt>
                <c:pt idx="940">
                  <c:v>2212.9</c:v>
                </c:pt>
                <c:pt idx="941">
                  <c:v>2200.8000000000002</c:v>
                </c:pt>
                <c:pt idx="942">
                  <c:v>2204.6999999999998</c:v>
                </c:pt>
                <c:pt idx="943">
                  <c:v>2174.5</c:v>
                </c:pt>
                <c:pt idx="944">
                  <c:v>2165.9</c:v>
                </c:pt>
                <c:pt idx="945">
                  <c:v>2163.8000000000002</c:v>
                </c:pt>
                <c:pt idx="946">
                  <c:v>2172.4</c:v>
                </c:pt>
                <c:pt idx="947">
                  <c:v>2185.1999999999998</c:v>
                </c:pt>
                <c:pt idx="948">
                  <c:v>2154.6</c:v>
                </c:pt>
                <c:pt idx="949">
                  <c:v>2136.1</c:v>
                </c:pt>
                <c:pt idx="950">
                  <c:v>2124.1</c:v>
                </c:pt>
                <c:pt idx="951">
                  <c:v>2114</c:v>
                </c:pt>
                <c:pt idx="952">
                  <c:v>2118.6999999999998</c:v>
                </c:pt>
                <c:pt idx="953">
                  <c:v>2096.8000000000002</c:v>
                </c:pt>
                <c:pt idx="954">
                  <c:v>2079</c:v>
                </c:pt>
                <c:pt idx="955">
                  <c:v>2079.5</c:v>
                </c:pt>
                <c:pt idx="956">
                  <c:v>2073</c:v>
                </c:pt>
                <c:pt idx="957">
                  <c:v>2089.1</c:v>
                </c:pt>
                <c:pt idx="958">
                  <c:v>2068.6999999999998</c:v>
                </c:pt>
                <c:pt idx="959">
                  <c:v>2058.6999999999998</c:v>
                </c:pt>
                <c:pt idx="960">
                  <c:v>2068.1</c:v>
                </c:pt>
                <c:pt idx="961">
                  <c:v>2043.6</c:v>
                </c:pt>
                <c:pt idx="962">
                  <c:v>2011.8</c:v>
                </c:pt>
                <c:pt idx="963">
                  <c:v>1995</c:v>
                </c:pt>
                <c:pt idx="964">
                  <c:v>1968.7</c:v>
                </c:pt>
                <c:pt idx="965">
                  <c:v>1961</c:v>
                </c:pt>
                <c:pt idx="966">
                  <c:v>1960.6</c:v>
                </c:pt>
                <c:pt idx="967">
                  <c:v>2024.8</c:v>
                </c:pt>
                <c:pt idx="968">
                  <c:v>2071.1</c:v>
                </c:pt>
                <c:pt idx="969">
                  <c:v>2077.6</c:v>
                </c:pt>
                <c:pt idx="970">
                  <c:v>2082.6</c:v>
                </c:pt>
                <c:pt idx="971">
                  <c:v>2105.6999999999998</c:v>
                </c:pt>
                <c:pt idx="972">
                  <c:v>2090.9</c:v>
                </c:pt>
                <c:pt idx="973">
                  <c:v>2084.8000000000002</c:v>
                </c:pt>
                <c:pt idx="974">
                  <c:v>2051.1999999999998</c:v>
                </c:pt>
                <c:pt idx="975">
                  <c:v>2070</c:v>
                </c:pt>
                <c:pt idx="976">
                  <c:v>2022.2</c:v>
                </c:pt>
                <c:pt idx="977">
                  <c:v>2025.4</c:v>
                </c:pt>
                <c:pt idx="978">
                  <c:v>1974.6</c:v>
                </c:pt>
                <c:pt idx="979">
                  <c:v>2020.5</c:v>
                </c:pt>
                <c:pt idx="980">
                  <c:v>2013.2</c:v>
                </c:pt>
                <c:pt idx="981">
                  <c:v>2040.3</c:v>
                </c:pt>
                <c:pt idx="982">
                  <c:v>2071.6</c:v>
                </c:pt>
                <c:pt idx="983">
                  <c:v>2069.6999999999998</c:v>
                </c:pt>
                <c:pt idx="984">
                  <c:v>2042.4</c:v>
                </c:pt>
                <c:pt idx="985">
                  <c:v>2051.5</c:v>
                </c:pt>
                <c:pt idx="986">
                  <c:v>2067.6</c:v>
                </c:pt>
                <c:pt idx="987">
                  <c:v>2043.5</c:v>
                </c:pt>
                <c:pt idx="988">
                  <c:v>2053.4</c:v>
                </c:pt>
                <c:pt idx="989">
                  <c:v>2096.5</c:v>
                </c:pt>
                <c:pt idx="990">
                  <c:v>2082.4</c:v>
                </c:pt>
                <c:pt idx="991">
                  <c:v>2078.4</c:v>
                </c:pt>
                <c:pt idx="992">
                  <c:v>2089.3000000000002</c:v>
                </c:pt>
                <c:pt idx="993">
                  <c:v>2110.8000000000002</c:v>
                </c:pt>
                <c:pt idx="994">
                  <c:v>2102.6999999999998</c:v>
                </c:pt>
                <c:pt idx="995">
                  <c:v>2100.1999999999998</c:v>
                </c:pt>
                <c:pt idx="996">
                  <c:v>2105.3000000000002</c:v>
                </c:pt>
                <c:pt idx="997">
                  <c:v>2074.8000000000002</c:v>
                </c:pt>
                <c:pt idx="998">
                  <c:v>2033.3</c:v>
                </c:pt>
                <c:pt idx="999">
                  <c:v>2056</c:v>
                </c:pt>
                <c:pt idx="1000">
                  <c:v>2051.6</c:v>
                </c:pt>
                <c:pt idx="1001">
                  <c:v>2058.5</c:v>
                </c:pt>
                <c:pt idx="1002">
                  <c:v>2044.3</c:v>
                </c:pt>
                <c:pt idx="1003">
                  <c:v>2048.3000000000002</c:v>
                </c:pt>
                <c:pt idx="1004">
                  <c:v>2046.6</c:v>
                </c:pt>
                <c:pt idx="1005">
                  <c:v>2038.5</c:v>
                </c:pt>
                <c:pt idx="1006">
                  <c:v>2071.1</c:v>
                </c:pt>
                <c:pt idx="1007">
                  <c:v>2046.9</c:v>
                </c:pt>
                <c:pt idx="1008">
                  <c:v>2055.6</c:v>
                </c:pt>
                <c:pt idx="1009">
                  <c:v>2042.2</c:v>
                </c:pt>
                <c:pt idx="1010">
                  <c:v>2028.3</c:v>
                </c:pt>
                <c:pt idx="1011">
                  <c:v>2024.8</c:v>
                </c:pt>
                <c:pt idx="1012">
                  <c:v>2011.3</c:v>
                </c:pt>
                <c:pt idx="1013">
                  <c:v>2024.8</c:v>
                </c:pt>
                <c:pt idx="1014">
                  <c:v>2052.6</c:v>
                </c:pt>
                <c:pt idx="1015">
                  <c:v>2070.1</c:v>
                </c:pt>
                <c:pt idx="1016">
                  <c:v>2075.9</c:v>
                </c:pt>
                <c:pt idx="1017">
                  <c:v>2079.9</c:v>
                </c:pt>
                <c:pt idx="1018">
                  <c:v>2086.6999999999998</c:v>
                </c:pt>
                <c:pt idx="1019">
                  <c:v>2100.6999999999998</c:v>
                </c:pt>
                <c:pt idx="1020">
                  <c:v>2094</c:v>
                </c:pt>
                <c:pt idx="1021">
                  <c:v>2106.1999999999998</c:v>
                </c:pt>
                <c:pt idx="1022">
                  <c:v>2109</c:v>
                </c:pt>
                <c:pt idx="1023">
                  <c:v>2077</c:v>
                </c:pt>
                <c:pt idx="1024">
                  <c:v>2106.6</c:v>
                </c:pt>
                <c:pt idx="1025">
                  <c:v>2079.5</c:v>
                </c:pt>
                <c:pt idx="1026">
                  <c:v>2074.8000000000002</c:v>
                </c:pt>
                <c:pt idx="1027">
                  <c:v>2072.3000000000002</c:v>
                </c:pt>
                <c:pt idx="1028">
                  <c:v>2062.5</c:v>
                </c:pt>
                <c:pt idx="1029">
                  <c:v>2053.9</c:v>
                </c:pt>
                <c:pt idx="1030">
                  <c:v>2059.1999999999998</c:v>
                </c:pt>
                <c:pt idx="1031">
                  <c:v>2051.1</c:v>
                </c:pt>
                <c:pt idx="1032">
                  <c:v>2061.1</c:v>
                </c:pt>
                <c:pt idx="1033">
                  <c:v>2071.3000000000002</c:v>
                </c:pt>
                <c:pt idx="1034">
                  <c:v>2055.6</c:v>
                </c:pt>
                <c:pt idx="1035">
                  <c:v>2085.6</c:v>
                </c:pt>
                <c:pt idx="1036">
                  <c:v>2083.9</c:v>
                </c:pt>
                <c:pt idx="1037">
                  <c:v>2078.9</c:v>
                </c:pt>
                <c:pt idx="1038">
                  <c:v>2089.4</c:v>
                </c:pt>
                <c:pt idx="1039">
                  <c:v>2055.6</c:v>
                </c:pt>
                <c:pt idx="1040">
                  <c:v>2026.8</c:v>
                </c:pt>
                <c:pt idx="1041">
                  <c:v>2018</c:v>
                </c:pt>
                <c:pt idx="1042">
                  <c:v>2026.8</c:v>
                </c:pt>
                <c:pt idx="1043">
                  <c:v>2030.7</c:v>
                </c:pt>
                <c:pt idx="1044">
                  <c:v>2031.7</c:v>
                </c:pt>
                <c:pt idx="1045">
                  <c:v>2035</c:v>
                </c:pt>
                <c:pt idx="1046">
                  <c:v>2021.3</c:v>
                </c:pt>
                <c:pt idx="1047">
                  <c:v>2048.4</c:v>
                </c:pt>
                <c:pt idx="1048">
                  <c:v>2045.3</c:v>
                </c:pt>
                <c:pt idx="1049">
                  <c:v>2058</c:v>
                </c:pt>
                <c:pt idx="1050">
                  <c:v>2089.6999999999998</c:v>
                </c:pt>
                <c:pt idx="1051">
                  <c:v>2092.5</c:v>
                </c:pt>
                <c:pt idx="1052">
                  <c:v>2087.6</c:v>
                </c:pt>
                <c:pt idx="1053">
                  <c:v>2112.6999999999998</c:v>
                </c:pt>
                <c:pt idx="1054">
                  <c:v>2130.1999999999998</c:v>
                </c:pt>
                <c:pt idx="1055">
                  <c:v>2117</c:v>
                </c:pt>
                <c:pt idx="1056">
                  <c:v>2133.1999999999998</c:v>
                </c:pt>
                <c:pt idx="1057">
                  <c:v>2135</c:v>
                </c:pt>
                <c:pt idx="1058">
                  <c:v>2115.6999999999998</c:v>
                </c:pt>
                <c:pt idx="1059">
                  <c:v>2117</c:v>
                </c:pt>
                <c:pt idx="1060">
                  <c:v>2101.5</c:v>
                </c:pt>
                <c:pt idx="1061">
                  <c:v>2097</c:v>
                </c:pt>
                <c:pt idx="1062">
                  <c:v>2093.1999999999998</c:v>
                </c:pt>
                <c:pt idx="1063">
                  <c:v>2118.1999999999998</c:v>
                </c:pt>
                <c:pt idx="1064">
                  <c:v>2118.6</c:v>
                </c:pt>
                <c:pt idx="1065">
                  <c:v>2099.3000000000002</c:v>
                </c:pt>
                <c:pt idx="1066">
                  <c:v>2102.1999999999998</c:v>
                </c:pt>
                <c:pt idx="1067">
                  <c:v>2126.1999999999998</c:v>
                </c:pt>
                <c:pt idx="1068">
                  <c:v>2118.6999999999998</c:v>
                </c:pt>
                <c:pt idx="1069">
                  <c:v>2109.5</c:v>
                </c:pt>
                <c:pt idx="1070">
                  <c:v>2070.3000000000002</c:v>
                </c:pt>
                <c:pt idx="1071">
                  <c:v>2053.3000000000002</c:v>
                </c:pt>
                <c:pt idx="1072">
                  <c:v>2025.2</c:v>
                </c:pt>
                <c:pt idx="1073">
                  <c:v>2001.6</c:v>
                </c:pt>
                <c:pt idx="1074">
                  <c:v>1994</c:v>
                </c:pt>
                <c:pt idx="1075">
                  <c:v>1999.5</c:v>
                </c:pt>
                <c:pt idx="1076">
                  <c:v>2000.5</c:v>
                </c:pt>
                <c:pt idx="1077">
                  <c:v>2010.1</c:v>
                </c:pt>
                <c:pt idx="1078">
                  <c:v>1992.1</c:v>
                </c:pt>
                <c:pt idx="1079">
                  <c:v>2005.2</c:v>
                </c:pt>
                <c:pt idx="1080">
                  <c:v>1991.8</c:v>
                </c:pt>
                <c:pt idx="1081">
                  <c:v>1983</c:v>
                </c:pt>
                <c:pt idx="1082">
                  <c:v>1984.1</c:v>
                </c:pt>
                <c:pt idx="1083">
                  <c:v>1936.1</c:v>
                </c:pt>
                <c:pt idx="1084">
                  <c:v>1925.4</c:v>
                </c:pt>
                <c:pt idx="1085">
                  <c:v>1946.9</c:v>
                </c:pt>
                <c:pt idx="1086">
                  <c:v>1911</c:v>
                </c:pt>
                <c:pt idx="1087">
                  <c:v>1918.9</c:v>
                </c:pt>
                <c:pt idx="1088">
                  <c:v>1918.5</c:v>
                </c:pt>
                <c:pt idx="1089">
                  <c:v>1922.6</c:v>
                </c:pt>
                <c:pt idx="1090">
                  <c:v>1930.8</c:v>
                </c:pt>
                <c:pt idx="1091">
                  <c:v>1965</c:v>
                </c:pt>
                <c:pt idx="1092">
                  <c:v>1969.8</c:v>
                </c:pt>
                <c:pt idx="1093">
                  <c:v>1979.3</c:v>
                </c:pt>
                <c:pt idx="1094">
                  <c:v>1981.9</c:v>
                </c:pt>
                <c:pt idx="1095">
                  <c:v>1972.3</c:v>
                </c:pt>
                <c:pt idx="1096">
                  <c:v>1993.7</c:v>
                </c:pt>
                <c:pt idx="1097">
                  <c:v>1988.5</c:v>
                </c:pt>
                <c:pt idx="1098">
                  <c:v>1986.5</c:v>
                </c:pt>
                <c:pt idx="1099">
                  <c:v>1965.3</c:v>
                </c:pt>
                <c:pt idx="1100">
                  <c:v>1951</c:v>
                </c:pt>
                <c:pt idx="1101">
                  <c:v>1956</c:v>
                </c:pt>
                <c:pt idx="1102">
                  <c:v>1976.6</c:v>
                </c:pt>
                <c:pt idx="1103">
                  <c:v>1976.2</c:v>
                </c:pt>
                <c:pt idx="1104">
                  <c:v>2007</c:v>
                </c:pt>
                <c:pt idx="1105">
                  <c:v>2029.5</c:v>
                </c:pt>
                <c:pt idx="1106">
                  <c:v>2026.1</c:v>
                </c:pt>
                <c:pt idx="1107">
                  <c:v>2015.9</c:v>
                </c:pt>
                <c:pt idx="1108">
                  <c:v>2035.9</c:v>
                </c:pt>
                <c:pt idx="1109">
                  <c:v>2028.7</c:v>
                </c:pt>
                <c:pt idx="1110">
                  <c:v>2044.8</c:v>
                </c:pt>
                <c:pt idx="1111">
                  <c:v>2023.8</c:v>
                </c:pt>
                <c:pt idx="1112">
                  <c:v>2024.8</c:v>
                </c:pt>
                <c:pt idx="1113">
                  <c:v>2039.6</c:v>
                </c:pt>
                <c:pt idx="1114">
                  <c:v>2059.1</c:v>
                </c:pt>
                <c:pt idx="1115">
                  <c:v>2078.1</c:v>
                </c:pt>
                <c:pt idx="1116">
                  <c:v>2096.9</c:v>
                </c:pt>
                <c:pt idx="1117">
                  <c:v>2086.6999999999998</c:v>
                </c:pt>
                <c:pt idx="1118">
                  <c:v>2110.5</c:v>
                </c:pt>
                <c:pt idx="1119">
                  <c:v>2095.3000000000002</c:v>
                </c:pt>
                <c:pt idx="1120">
                  <c:v>2087.1</c:v>
                </c:pt>
                <c:pt idx="1121">
                  <c:v>2065.1</c:v>
                </c:pt>
                <c:pt idx="1122">
                  <c:v>2083.1999999999998</c:v>
                </c:pt>
                <c:pt idx="1123">
                  <c:v>2080.4</c:v>
                </c:pt>
                <c:pt idx="1124">
                  <c:v>2105.1</c:v>
                </c:pt>
                <c:pt idx="1125">
                  <c:v>2077.9</c:v>
                </c:pt>
                <c:pt idx="1126">
                  <c:v>2067.4</c:v>
                </c:pt>
                <c:pt idx="1127">
                  <c:v>2087.6999999999998</c:v>
                </c:pt>
                <c:pt idx="1128">
                  <c:v>2092.1999999999998</c:v>
                </c:pt>
                <c:pt idx="1129">
                  <c:v>2126.4</c:v>
                </c:pt>
                <c:pt idx="1130">
                  <c:v>2136.3000000000002</c:v>
                </c:pt>
                <c:pt idx="1131">
                  <c:v>2146.4</c:v>
                </c:pt>
                <c:pt idx="1132">
                  <c:v>2141.1</c:v>
                </c:pt>
                <c:pt idx="1133">
                  <c:v>2131</c:v>
                </c:pt>
                <c:pt idx="1134">
                  <c:v>2121.8000000000002</c:v>
                </c:pt>
                <c:pt idx="1135">
                  <c:v>2119.6</c:v>
                </c:pt>
                <c:pt idx="1136">
                  <c:v>2115.1</c:v>
                </c:pt>
                <c:pt idx="1137">
                  <c:v>2128</c:v>
                </c:pt>
                <c:pt idx="1138">
                  <c:v>2120</c:v>
                </c:pt>
                <c:pt idx="1139">
                  <c:v>2141.8000000000002</c:v>
                </c:pt>
                <c:pt idx="1140">
                  <c:v>2136.6999999999998</c:v>
                </c:pt>
                <c:pt idx="1141">
                  <c:v>2143.6999999999998</c:v>
                </c:pt>
                <c:pt idx="1142">
                  <c:v>2148.6999999999998</c:v>
                </c:pt>
                <c:pt idx="1143">
                  <c:v>2139.8000000000002</c:v>
                </c:pt>
                <c:pt idx="1144">
                  <c:v>2130.4</c:v>
                </c:pt>
                <c:pt idx="1145">
                  <c:v>2122.4</c:v>
                </c:pt>
                <c:pt idx="1146">
                  <c:v>2096.4</c:v>
                </c:pt>
                <c:pt idx="1147">
                  <c:v>2106.6</c:v>
                </c:pt>
                <c:pt idx="1148">
                  <c:v>2083.9</c:v>
                </c:pt>
                <c:pt idx="1149">
                  <c:v>2092.3000000000002</c:v>
                </c:pt>
                <c:pt idx="1150">
                  <c:v>2114.9</c:v>
                </c:pt>
                <c:pt idx="1151">
                  <c:v>2105.6999999999998</c:v>
                </c:pt>
                <c:pt idx="1152">
                  <c:v>2121.1999999999998</c:v>
                </c:pt>
                <c:pt idx="1153">
                  <c:v>2153.4</c:v>
                </c:pt>
                <c:pt idx="1154">
                  <c:v>2179.3000000000002</c:v>
                </c:pt>
                <c:pt idx="1155">
                  <c:v>2201.9</c:v>
                </c:pt>
                <c:pt idx="1156">
                  <c:v>2199.1</c:v>
                </c:pt>
                <c:pt idx="1157">
                  <c:v>2214.4</c:v>
                </c:pt>
                <c:pt idx="1158">
                  <c:v>2184.9</c:v>
                </c:pt>
                <c:pt idx="1159">
                  <c:v>2199.6</c:v>
                </c:pt>
                <c:pt idx="1160">
                  <c:v>2193</c:v>
                </c:pt>
                <c:pt idx="1161">
                  <c:v>2182.9</c:v>
                </c:pt>
                <c:pt idx="1162">
                  <c:v>2184.3000000000002</c:v>
                </c:pt>
                <c:pt idx="1163">
                  <c:v>2201.9</c:v>
                </c:pt>
                <c:pt idx="1164">
                  <c:v>2197.5</c:v>
                </c:pt>
                <c:pt idx="1165">
                  <c:v>2229.1</c:v>
                </c:pt>
                <c:pt idx="1166">
                  <c:v>2240.8000000000002</c:v>
                </c:pt>
                <c:pt idx="1167">
                  <c:v>2234.4</c:v>
                </c:pt>
                <c:pt idx="1168">
                  <c:v>2230</c:v>
                </c:pt>
                <c:pt idx="1169">
                  <c:v>2218.6999999999998</c:v>
                </c:pt>
                <c:pt idx="1170">
                  <c:v>2220</c:v>
                </c:pt>
                <c:pt idx="1171">
                  <c:v>2241.5</c:v>
                </c:pt>
                <c:pt idx="1172">
                  <c:v>2240.6999999999998</c:v>
                </c:pt>
                <c:pt idx="1173">
                  <c:v>2236</c:v>
                </c:pt>
                <c:pt idx="1174">
                  <c:v>2243.4</c:v>
                </c:pt>
                <c:pt idx="1175">
                  <c:v>2237.6999999999998</c:v>
                </c:pt>
                <c:pt idx="1176">
                  <c:v>2221.8000000000002</c:v>
                </c:pt>
                <c:pt idx="1177">
                  <c:v>2218.6999999999998</c:v>
                </c:pt>
                <c:pt idx="1178">
                  <c:v>2232.9</c:v>
                </c:pt>
                <c:pt idx="1179">
                  <c:v>2208.5</c:v>
                </c:pt>
                <c:pt idx="1180">
                  <c:v>2227.6</c:v>
                </c:pt>
                <c:pt idx="1181">
                  <c:v>2252.9</c:v>
                </c:pt>
                <c:pt idx="1182">
                  <c:v>2260.3000000000002</c:v>
                </c:pt>
                <c:pt idx="1183">
                  <c:v>2263.5</c:v>
                </c:pt>
                <c:pt idx="1184">
                  <c:v>2269.4</c:v>
                </c:pt>
                <c:pt idx="1185">
                  <c:v>2258.9</c:v>
                </c:pt>
                <c:pt idx="1186">
                  <c:v>2263.4</c:v>
                </c:pt>
                <c:pt idx="1187">
                  <c:v>2262.9</c:v>
                </c:pt>
                <c:pt idx="1188">
                  <c:v>2249.3000000000002</c:v>
                </c:pt>
                <c:pt idx="1189">
                  <c:v>2241.1</c:v>
                </c:pt>
                <c:pt idx="1190">
                  <c:v>2231.6</c:v>
                </c:pt>
                <c:pt idx="1191">
                  <c:v>2240.1</c:v>
                </c:pt>
                <c:pt idx="1192">
                  <c:v>2238.3000000000002</c:v>
                </c:pt>
                <c:pt idx="1193">
                  <c:v>2233.1</c:v>
                </c:pt>
                <c:pt idx="1194">
                  <c:v>2250.3000000000002</c:v>
                </c:pt>
                <c:pt idx="1195">
                  <c:v>2264.8000000000002</c:v>
                </c:pt>
                <c:pt idx="1196">
                  <c:v>2277.1</c:v>
                </c:pt>
                <c:pt idx="1197">
                  <c:v>2268</c:v>
                </c:pt>
                <c:pt idx="1198">
                  <c:v>2273.6999999999998</c:v>
                </c:pt>
                <c:pt idx="1199">
                  <c:v>2260.8000000000002</c:v>
                </c:pt>
                <c:pt idx="1200">
                  <c:v>2270.8000000000002</c:v>
                </c:pt>
                <c:pt idx="1201">
                  <c:v>2295.5</c:v>
                </c:pt>
                <c:pt idx="1202">
                  <c:v>2300</c:v>
                </c:pt>
                <c:pt idx="1203">
                  <c:v>2317</c:v>
                </c:pt>
                <c:pt idx="1204">
                  <c:v>2301.4</c:v>
                </c:pt>
                <c:pt idx="1205">
                  <c:v>2311.3000000000002</c:v>
                </c:pt>
                <c:pt idx="1206">
                  <c:v>2305.1</c:v>
                </c:pt>
                <c:pt idx="1207">
                  <c:v>2287.3000000000002</c:v>
                </c:pt>
                <c:pt idx="1208">
                  <c:v>2211.8000000000002</c:v>
                </c:pt>
                <c:pt idx="1209">
                  <c:v>2208.4</c:v>
                </c:pt>
                <c:pt idx="1210">
                  <c:v>2227.9</c:v>
                </c:pt>
                <c:pt idx="1211">
                  <c:v>2185.4</c:v>
                </c:pt>
                <c:pt idx="1212">
                  <c:v>2171.9</c:v>
                </c:pt>
                <c:pt idx="1213">
                  <c:v>2187</c:v>
                </c:pt>
                <c:pt idx="1214">
                  <c:v>2205</c:v>
                </c:pt>
                <c:pt idx="1215">
                  <c:v>2217.8000000000002</c:v>
                </c:pt>
                <c:pt idx="1216">
                  <c:v>2208.8000000000002</c:v>
                </c:pt>
                <c:pt idx="1217">
                  <c:v>2171.4</c:v>
                </c:pt>
                <c:pt idx="1218">
                  <c:v>2168.6999999999998</c:v>
                </c:pt>
                <c:pt idx="1219">
                  <c:v>2138.8000000000002</c:v>
                </c:pt>
                <c:pt idx="1220">
                  <c:v>2145.3000000000002</c:v>
                </c:pt>
                <c:pt idx="1221">
                  <c:v>2158.1</c:v>
                </c:pt>
                <c:pt idx="1222">
                  <c:v>2196.8000000000002</c:v>
                </c:pt>
                <c:pt idx="1223">
                  <c:v>2191.4</c:v>
                </c:pt>
                <c:pt idx="1224">
                  <c:v>2201</c:v>
                </c:pt>
                <c:pt idx="1225">
                  <c:v>2194.8000000000002</c:v>
                </c:pt>
                <c:pt idx="1226">
                  <c:v>2179.6</c:v>
                </c:pt>
                <c:pt idx="1227">
                  <c:v>2170.5</c:v>
                </c:pt>
                <c:pt idx="1228">
                  <c:v>2107.4</c:v>
                </c:pt>
                <c:pt idx="1229">
                  <c:v>2113.6</c:v>
                </c:pt>
                <c:pt idx="1230">
                  <c:v>2150.1</c:v>
                </c:pt>
                <c:pt idx="1231">
                  <c:v>2131.8000000000002</c:v>
                </c:pt>
                <c:pt idx="1232">
                  <c:v>2096.1</c:v>
                </c:pt>
                <c:pt idx="1233">
                  <c:v>2146.1</c:v>
                </c:pt>
                <c:pt idx="1234">
                  <c:v>2167.9</c:v>
                </c:pt>
                <c:pt idx="1235">
                  <c:v>2163.1999999999998</c:v>
                </c:pt>
                <c:pt idx="1236">
                  <c:v>2184</c:v>
                </c:pt>
                <c:pt idx="1237">
                  <c:v>2181.6999999999998</c:v>
                </c:pt>
                <c:pt idx="1238">
                  <c:v>2165.8000000000002</c:v>
                </c:pt>
                <c:pt idx="1239">
                  <c:v>2175</c:v>
                </c:pt>
                <c:pt idx="1240">
                  <c:v>2172.3000000000002</c:v>
                </c:pt>
                <c:pt idx="1241">
                  <c:v>2192.8000000000002</c:v>
                </c:pt>
                <c:pt idx="1242">
                  <c:v>2172.1999999999998</c:v>
                </c:pt>
                <c:pt idx="1243">
                  <c:v>2175.3000000000002</c:v>
                </c:pt>
                <c:pt idx="1244">
                  <c:v>2197.3000000000002</c:v>
                </c:pt>
                <c:pt idx="1245">
                  <c:v>2186.1999999999998</c:v>
                </c:pt>
                <c:pt idx="1246">
                  <c:v>2200.6999999999998</c:v>
                </c:pt>
                <c:pt idx="1247">
                  <c:v>2201.3000000000002</c:v>
                </c:pt>
                <c:pt idx="1248">
                  <c:v>2218.3000000000002</c:v>
                </c:pt>
                <c:pt idx="1249">
                  <c:v>2205.1</c:v>
                </c:pt>
                <c:pt idx="1250">
                  <c:v>2193.3000000000002</c:v>
                </c:pt>
                <c:pt idx="1251">
                  <c:v>2192.3000000000002</c:v>
                </c:pt>
                <c:pt idx="1252">
                  <c:v>2198.1999999999998</c:v>
                </c:pt>
                <c:pt idx="1253">
                  <c:v>2238.1</c:v>
                </c:pt>
                <c:pt idx="1254">
                  <c:v>2241.5</c:v>
                </c:pt>
                <c:pt idx="1255">
                  <c:v>2245.6</c:v>
                </c:pt>
                <c:pt idx="1256">
                  <c:v>2242.8000000000002</c:v>
                </c:pt>
                <c:pt idx="1257">
                  <c:v>2260.6999999999998</c:v>
                </c:pt>
                <c:pt idx="1258">
                  <c:v>2252.1999999999998</c:v>
                </c:pt>
                <c:pt idx="1259">
                  <c:v>2261</c:v>
                </c:pt>
                <c:pt idx="1260">
                  <c:v>2267.1999999999998</c:v>
                </c:pt>
                <c:pt idx="1261">
                  <c:v>2263.1</c:v>
                </c:pt>
                <c:pt idx="1262">
                  <c:v>2267.5</c:v>
                </c:pt>
                <c:pt idx="1263">
                  <c:v>2272.8000000000002</c:v>
                </c:pt>
                <c:pt idx="1264">
                  <c:v>2289.8000000000002</c:v>
                </c:pt>
                <c:pt idx="1265">
                  <c:v>2277.8000000000002</c:v>
                </c:pt>
                <c:pt idx="1266">
                  <c:v>2285.9</c:v>
                </c:pt>
                <c:pt idx="1267">
                  <c:v>2284.8000000000002</c:v>
                </c:pt>
                <c:pt idx="1268">
                  <c:v>2266.1999999999998</c:v>
                </c:pt>
                <c:pt idx="1269">
                  <c:v>2235.6</c:v>
                </c:pt>
                <c:pt idx="1270">
                  <c:v>2262.1</c:v>
                </c:pt>
                <c:pt idx="1271">
                  <c:v>2265.1</c:v>
                </c:pt>
                <c:pt idx="1272">
                  <c:v>2280.4</c:v>
                </c:pt>
                <c:pt idx="1273">
                  <c:v>2280.4</c:v>
                </c:pt>
                <c:pt idx="1274">
                  <c:v>2275.8000000000002</c:v>
                </c:pt>
                <c:pt idx="1275">
                  <c:v>2253.9</c:v>
                </c:pt>
                <c:pt idx="1276">
                  <c:v>2284.9</c:v>
                </c:pt>
                <c:pt idx="1277">
                  <c:v>2329.1999999999998</c:v>
                </c:pt>
                <c:pt idx="1278">
                  <c:v>2324.3000000000002</c:v>
                </c:pt>
                <c:pt idx="1279">
                  <c:v>2331.9</c:v>
                </c:pt>
                <c:pt idx="1280">
                  <c:v>2323.5</c:v>
                </c:pt>
                <c:pt idx="1281">
                  <c:v>2349.6999999999998</c:v>
                </c:pt>
                <c:pt idx="1282">
                  <c:v>2338.1999999999998</c:v>
                </c:pt>
                <c:pt idx="1283">
                  <c:v>2329.5</c:v>
                </c:pt>
                <c:pt idx="1284">
                  <c:v>2356.5</c:v>
                </c:pt>
                <c:pt idx="1285">
                  <c:v>2359.1</c:v>
                </c:pt>
                <c:pt idx="1286">
                  <c:v>2376.9</c:v>
                </c:pt>
                <c:pt idx="1287">
                  <c:v>2371.3000000000002</c:v>
                </c:pt>
                <c:pt idx="1288">
                  <c:v>2380.9</c:v>
                </c:pt>
                <c:pt idx="1289">
                  <c:v>2398.8000000000002</c:v>
                </c:pt>
                <c:pt idx="1290">
                  <c:v>2390.5</c:v>
                </c:pt>
                <c:pt idx="1291">
                  <c:v>2384.5</c:v>
                </c:pt>
                <c:pt idx="1292">
                  <c:v>2423.1</c:v>
                </c:pt>
                <c:pt idx="1293">
                  <c:v>2443.6999999999998</c:v>
                </c:pt>
                <c:pt idx="1294">
                  <c:v>2432.9</c:v>
                </c:pt>
                <c:pt idx="1295">
                  <c:v>2446.1</c:v>
                </c:pt>
                <c:pt idx="1296">
                  <c:v>2435.8000000000002</c:v>
                </c:pt>
                <c:pt idx="1297">
                  <c:v>2470.1</c:v>
                </c:pt>
                <c:pt idx="1298">
                  <c:v>2459.3000000000002</c:v>
                </c:pt>
                <c:pt idx="1299">
                  <c:v>2452.1</c:v>
                </c:pt>
                <c:pt idx="1300">
                  <c:v>2419</c:v>
                </c:pt>
                <c:pt idx="1301">
                  <c:v>2428.3000000000002</c:v>
                </c:pt>
                <c:pt idx="1302">
                  <c:v>2446.1999999999998</c:v>
                </c:pt>
                <c:pt idx="1303">
                  <c:v>2430.1999999999998</c:v>
                </c:pt>
                <c:pt idx="1304">
                  <c:v>2411.9</c:v>
                </c:pt>
                <c:pt idx="1305">
                  <c:v>2428.1</c:v>
                </c:pt>
                <c:pt idx="1306">
                  <c:v>2433.9</c:v>
                </c:pt>
                <c:pt idx="1307">
                  <c:v>2427.1</c:v>
                </c:pt>
                <c:pt idx="1308">
                  <c:v>2423</c:v>
                </c:pt>
                <c:pt idx="1309">
                  <c:v>2429</c:v>
                </c:pt>
                <c:pt idx="1310">
                  <c:v>2398.6</c:v>
                </c:pt>
                <c:pt idx="1311">
                  <c:v>2382.6</c:v>
                </c:pt>
                <c:pt idx="1312">
                  <c:v>2391.1</c:v>
                </c:pt>
                <c:pt idx="1313">
                  <c:v>2412</c:v>
                </c:pt>
                <c:pt idx="1314">
                  <c:v>2451.8000000000002</c:v>
                </c:pt>
                <c:pt idx="1315">
                  <c:v>2442.3000000000002</c:v>
                </c:pt>
                <c:pt idx="1316">
                  <c:v>2444.9</c:v>
                </c:pt>
                <c:pt idx="1317">
                  <c:v>2472.5</c:v>
                </c:pt>
                <c:pt idx="1318">
                  <c:v>2473.6</c:v>
                </c:pt>
                <c:pt idx="1319">
                  <c:v>2501.1999999999998</c:v>
                </c:pt>
                <c:pt idx="1320">
                  <c:v>2488</c:v>
                </c:pt>
                <c:pt idx="1321">
                  <c:v>2479</c:v>
                </c:pt>
                <c:pt idx="1322">
                  <c:v>2466</c:v>
                </c:pt>
                <c:pt idx="1323">
                  <c:v>2480.9</c:v>
                </c:pt>
                <c:pt idx="1324">
                  <c:v>2469.1</c:v>
                </c:pt>
                <c:pt idx="1325">
                  <c:v>2407.8000000000002</c:v>
                </c:pt>
                <c:pt idx="1326">
                  <c:v>2436</c:v>
                </c:pt>
                <c:pt idx="1327">
                  <c:v>2426.4</c:v>
                </c:pt>
                <c:pt idx="1328">
                  <c:v>2426.5</c:v>
                </c:pt>
                <c:pt idx="1329">
                  <c:v>2458.1999999999998</c:v>
                </c:pt>
                <c:pt idx="1330">
                  <c:v>2463.1999999999998</c:v>
                </c:pt>
                <c:pt idx="1331">
                  <c:v>2493.3000000000002</c:v>
                </c:pt>
                <c:pt idx="1332">
                  <c:v>2485.9</c:v>
                </c:pt>
                <c:pt idx="1333">
                  <c:v>2504.1</c:v>
                </c:pt>
                <c:pt idx="1334">
                  <c:v>2504.1999999999998</c:v>
                </c:pt>
                <c:pt idx="1335">
                  <c:v>2510.3000000000002</c:v>
                </c:pt>
                <c:pt idx="1336">
                  <c:v>2499.3000000000002</c:v>
                </c:pt>
                <c:pt idx="1337">
                  <c:v>2525.4</c:v>
                </c:pt>
                <c:pt idx="1338">
                  <c:v>2508.4</c:v>
                </c:pt>
                <c:pt idx="1339">
                  <c:v>2485.9</c:v>
                </c:pt>
                <c:pt idx="1340">
                  <c:v>2489.1</c:v>
                </c:pt>
                <c:pt idx="1341">
                  <c:v>2501.1999999999998</c:v>
                </c:pt>
                <c:pt idx="1342">
                  <c:v>2494.4</c:v>
                </c:pt>
                <c:pt idx="1343">
                  <c:v>2495.1999999999998</c:v>
                </c:pt>
                <c:pt idx="1344">
                  <c:v>2503.3000000000002</c:v>
                </c:pt>
                <c:pt idx="1345">
                  <c:v>2530</c:v>
                </c:pt>
                <c:pt idx="1346">
                  <c:v>2509.6999999999998</c:v>
                </c:pt>
                <c:pt idx="1347">
                  <c:v>2511.8000000000002</c:v>
                </c:pt>
                <c:pt idx="1348">
                  <c:v>2545.9</c:v>
                </c:pt>
                <c:pt idx="1349">
                  <c:v>2538.4</c:v>
                </c:pt>
                <c:pt idx="1350">
                  <c:v>2524.1999999999998</c:v>
                </c:pt>
                <c:pt idx="1351">
                  <c:v>2535.5</c:v>
                </c:pt>
                <c:pt idx="1352">
                  <c:v>2536.5</c:v>
                </c:pt>
                <c:pt idx="1353">
                  <c:v>2545.9</c:v>
                </c:pt>
                <c:pt idx="1354">
                  <c:v>2550.1999999999998</c:v>
                </c:pt>
                <c:pt idx="1355">
                  <c:v>2538.3000000000002</c:v>
                </c:pt>
                <c:pt idx="1356">
                  <c:v>2532.4</c:v>
                </c:pt>
                <c:pt idx="1357">
                  <c:v>2537.1999999999998</c:v>
                </c:pt>
                <c:pt idx="1358">
                  <c:v>2506.5</c:v>
                </c:pt>
                <c:pt idx="1359">
                  <c:v>2505.3000000000002</c:v>
                </c:pt>
                <c:pt idx="1360">
                  <c:v>2502.3000000000002</c:v>
                </c:pt>
                <c:pt idx="1361">
                  <c:v>2457.5</c:v>
                </c:pt>
                <c:pt idx="1362">
                  <c:v>2468.9</c:v>
                </c:pt>
                <c:pt idx="1363">
                  <c:v>2479.5</c:v>
                </c:pt>
                <c:pt idx="1364">
                  <c:v>2472.6</c:v>
                </c:pt>
                <c:pt idx="1365">
                  <c:v>2469.4</c:v>
                </c:pt>
                <c:pt idx="1366">
                  <c:v>2468.8000000000002</c:v>
                </c:pt>
                <c:pt idx="1367">
                  <c:v>2496.1999999999998</c:v>
                </c:pt>
                <c:pt idx="1368">
                  <c:v>2519.6999999999998</c:v>
                </c:pt>
                <c:pt idx="1369">
                  <c:v>2528.8000000000002</c:v>
                </c:pt>
                <c:pt idx="1370">
                  <c:v>2537.3000000000002</c:v>
                </c:pt>
                <c:pt idx="1371">
                  <c:v>2550</c:v>
                </c:pt>
                <c:pt idx="1372">
                  <c:v>2570.8000000000002</c:v>
                </c:pt>
                <c:pt idx="1373">
                  <c:v>2556.9</c:v>
                </c:pt>
                <c:pt idx="1374">
                  <c:v>2560.5</c:v>
                </c:pt>
                <c:pt idx="1375">
                  <c:v>2542.1999999999998</c:v>
                </c:pt>
                <c:pt idx="1376">
                  <c:v>2558.3000000000002</c:v>
                </c:pt>
                <c:pt idx="1377">
                  <c:v>2551.5</c:v>
                </c:pt>
                <c:pt idx="1378">
                  <c:v>2527.3000000000002</c:v>
                </c:pt>
                <c:pt idx="1379">
                  <c:v>2542.8000000000002</c:v>
                </c:pt>
                <c:pt idx="1380">
                  <c:v>2532.8000000000002</c:v>
                </c:pt>
                <c:pt idx="1381">
                  <c:v>2546.3000000000002</c:v>
                </c:pt>
                <c:pt idx="1382">
                  <c:v>2552.5</c:v>
                </c:pt>
                <c:pt idx="1383">
                  <c:v>2557.4</c:v>
                </c:pt>
                <c:pt idx="1384">
                  <c:v>2558.8000000000002</c:v>
                </c:pt>
                <c:pt idx="1385">
                  <c:v>2546.4</c:v>
                </c:pt>
                <c:pt idx="1386">
                  <c:v>2568.9</c:v>
                </c:pt>
                <c:pt idx="1387">
                  <c:v>2567.5</c:v>
                </c:pt>
                <c:pt idx="1388">
                  <c:v>2548.8000000000002</c:v>
                </c:pt>
                <c:pt idx="1389">
                  <c:v>2546.1</c:v>
                </c:pt>
                <c:pt idx="1390">
                  <c:v>2549.3000000000002</c:v>
                </c:pt>
                <c:pt idx="1391">
                  <c:v>2554.3000000000002</c:v>
                </c:pt>
                <c:pt idx="1392">
                  <c:v>2539.6999999999998</c:v>
                </c:pt>
                <c:pt idx="1393">
                  <c:v>2540.1</c:v>
                </c:pt>
                <c:pt idx="1394">
                  <c:v>2566.4</c:v>
                </c:pt>
                <c:pt idx="1395">
                  <c:v>2573</c:v>
                </c:pt>
                <c:pt idx="1396">
                  <c:v>2573.6999999999998</c:v>
                </c:pt>
                <c:pt idx="1397">
                  <c:v>2551.6</c:v>
                </c:pt>
                <c:pt idx="1398">
                  <c:v>2561.4</c:v>
                </c:pt>
                <c:pt idx="1399">
                  <c:v>2564</c:v>
                </c:pt>
                <c:pt idx="1400">
                  <c:v>2572.3000000000002</c:v>
                </c:pt>
                <c:pt idx="1401">
                  <c:v>2569</c:v>
                </c:pt>
                <c:pt idx="1402">
                  <c:v>2577.4</c:v>
                </c:pt>
                <c:pt idx="1403">
                  <c:v>2583.5</c:v>
                </c:pt>
                <c:pt idx="1404">
                  <c:v>2551</c:v>
                </c:pt>
                <c:pt idx="1405">
                  <c:v>2562.1999999999998</c:v>
                </c:pt>
                <c:pt idx="1406">
                  <c:v>2567.4</c:v>
                </c:pt>
                <c:pt idx="1407">
                  <c:v>2575.5</c:v>
                </c:pt>
                <c:pt idx="1408">
                  <c:v>2544.3000000000002</c:v>
                </c:pt>
                <c:pt idx="1409">
                  <c:v>2550.5</c:v>
                </c:pt>
                <c:pt idx="1410">
                  <c:v>2469.8000000000002</c:v>
                </c:pt>
                <c:pt idx="1411">
                  <c:v>2497.1999999999998</c:v>
                </c:pt>
                <c:pt idx="1412">
                  <c:v>2506.1999999999998</c:v>
                </c:pt>
                <c:pt idx="1413">
                  <c:v>2520.1999999999998</c:v>
                </c:pt>
                <c:pt idx="1414">
                  <c:v>2482.4</c:v>
                </c:pt>
                <c:pt idx="1415">
                  <c:v>2475.1</c:v>
                </c:pt>
                <c:pt idx="1416">
                  <c:v>2447.8000000000002</c:v>
                </c:pt>
                <c:pt idx="1417">
                  <c:v>2465</c:v>
                </c:pt>
                <c:pt idx="1418">
                  <c:v>2470.3000000000002</c:v>
                </c:pt>
                <c:pt idx="1419">
                  <c:v>2477.8000000000002</c:v>
                </c:pt>
                <c:pt idx="1420">
                  <c:v>2457.5</c:v>
                </c:pt>
                <c:pt idx="1421">
                  <c:v>2473.4</c:v>
                </c:pt>
                <c:pt idx="1422">
                  <c:v>2494.5</c:v>
                </c:pt>
                <c:pt idx="1423">
                  <c:v>2508.6999999999998</c:v>
                </c:pt>
                <c:pt idx="1424">
                  <c:v>2520.9</c:v>
                </c:pt>
                <c:pt idx="1425">
                  <c:v>2522.5</c:v>
                </c:pt>
                <c:pt idx="1426">
                  <c:v>2531.9</c:v>
                </c:pt>
                <c:pt idx="1427">
                  <c:v>2538.1999999999998</c:v>
                </c:pt>
                <c:pt idx="1428">
                  <c:v>2525.6</c:v>
                </c:pt>
                <c:pt idx="1429">
                  <c:v>2528.1999999999998</c:v>
                </c:pt>
                <c:pt idx="1430">
                  <c:v>2539.4</c:v>
                </c:pt>
                <c:pt idx="1431">
                  <c:v>2538.6999999999998</c:v>
                </c:pt>
                <c:pt idx="1432">
                  <c:v>2546.3000000000002</c:v>
                </c:pt>
                <c:pt idx="1433">
                  <c:v>2548.4</c:v>
                </c:pt>
                <c:pt idx="1434">
                  <c:v>2562.8000000000002</c:v>
                </c:pt>
                <c:pt idx="1435">
                  <c:v>2560.3000000000002</c:v>
                </c:pt>
                <c:pt idx="1436">
                  <c:v>2543.6999999999998</c:v>
                </c:pt>
                <c:pt idx="1437">
                  <c:v>2557.3000000000002</c:v>
                </c:pt>
                <c:pt idx="1438">
                  <c:v>2555.1999999999998</c:v>
                </c:pt>
                <c:pt idx="1439">
                  <c:v>2552.4</c:v>
                </c:pt>
                <c:pt idx="1440">
                  <c:v>2558.8000000000002</c:v>
                </c:pt>
                <c:pt idx="1441">
                  <c:v>2563.1999999999998</c:v>
                </c:pt>
                <c:pt idx="1442">
                  <c:v>2560.1</c:v>
                </c:pt>
                <c:pt idx="1443">
                  <c:v>2543.8000000000002</c:v>
                </c:pt>
                <c:pt idx="1444">
                  <c:v>2532.9</c:v>
                </c:pt>
                <c:pt idx="1445">
                  <c:v>2510.8000000000002</c:v>
                </c:pt>
                <c:pt idx="1446">
                  <c:v>2532.4</c:v>
                </c:pt>
                <c:pt idx="1447">
                  <c:v>2529.5</c:v>
                </c:pt>
                <c:pt idx="1448">
                  <c:v>2517</c:v>
                </c:pt>
                <c:pt idx="1449">
                  <c:v>2548.6999999999998</c:v>
                </c:pt>
                <c:pt idx="1450">
                  <c:v>2570.1</c:v>
                </c:pt>
                <c:pt idx="1451">
                  <c:v>2566.8000000000002</c:v>
                </c:pt>
                <c:pt idx="1452">
                  <c:v>2570.3000000000002</c:v>
                </c:pt>
                <c:pt idx="1453">
                  <c:v>2596</c:v>
                </c:pt>
                <c:pt idx="1454">
                  <c:v>2629.9</c:v>
                </c:pt>
                <c:pt idx="1455">
                  <c:v>2628.1</c:v>
                </c:pt>
                <c:pt idx="1456">
                  <c:v>2625.7</c:v>
                </c:pt>
                <c:pt idx="1457">
                  <c:v>2624.4</c:v>
                </c:pt>
                <c:pt idx="1458">
                  <c:v>2646.1</c:v>
                </c:pt>
                <c:pt idx="1459">
                  <c:v>2627</c:v>
                </c:pt>
                <c:pt idx="1460">
                  <c:v>2638.5</c:v>
                </c:pt>
                <c:pt idx="1461">
                  <c:v>2659</c:v>
                </c:pt>
                <c:pt idx="1462">
                  <c:v>2666.6</c:v>
                </c:pt>
                <c:pt idx="1463">
                  <c:v>2659</c:v>
                </c:pt>
                <c:pt idx="1464">
                  <c:v>2651.9</c:v>
                </c:pt>
                <c:pt idx="1465">
                  <c:v>2655.7</c:v>
                </c:pt>
                <c:pt idx="1466">
                  <c:v>2676.5</c:v>
                </c:pt>
                <c:pt idx="1467">
                  <c:v>2683.3</c:v>
                </c:pt>
                <c:pt idx="1468">
                  <c:v>2702.6</c:v>
                </c:pt>
                <c:pt idx="1469">
                  <c:v>2691.2</c:v>
                </c:pt>
                <c:pt idx="1470">
                  <c:v>2703</c:v>
                </c:pt>
                <c:pt idx="1471">
                  <c:v>2680.8</c:v>
                </c:pt>
                <c:pt idx="1472">
                  <c:v>2686</c:v>
                </c:pt>
                <c:pt idx="1473">
                  <c:v>2693.9</c:v>
                </c:pt>
                <c:pt idx="1474">
                  <c:v>2728.5</c:v>
                </c:pt>
                <c:pt idx="1475">
                  <c:v>2714.9</c:v>
                </c:pt>
                <c:pt idx="1476">
                  <c:v>2716.3</c:v>
                </c:pt>
                <c:pt idx="1477">
                  <c:v>2734.8</c:v>
                </c:pt>
                <c:pt idx="1478">
                  <c:v>2729</c:v>
                </c:pt>
                <c:pt idx="1479">
                  <c:v>2719</c:v>
                </c:pt>
                <c:pt idx="1480">
                  <c:v>2699.5</c:v>
                </c:pt>
                <c:pt idx="1481">
                  <c:v>2678.4</c:v>
                </c:pt>
                <c:pt idx="1482">
                  <c:v>2674.2</c:v>
                </c:pt>
                <c:pt idx="1483">
                  <c:v>2703.8</c:v>
                </c:pt>
                <c:pt idx="1484">
                  <c:v>2673.6</c:v>
                </c:pt>
                <c:pt idx="1485">
                  <c:v>2678.7</c:v>
                </c:pt>
                <c:pt idx="1486">
                  <c:v>2659.3</c:v>
                </c:pt>
                <c:pt idx="1487">
                  <c:v>2683.3</c:v>
                </c:pt>
                <c:pt idx="1488">
                  <c:v>2671.9</c:v>
                </c:pt>
                <c:pt idx="1489">
                  <c:v>2691.3</c:v>
                </c:pt>
                <c:pt idx="1490">
                  <c:v>2729.2</c:v>
                </c:pt>
                <c:pt idx="1491">
                  <c:v>2713.2</c:v>
                </c:pt>
                <c:pt idx="1492">
                  <c:v>2739.8</c:v>
                </c:pt>
                <c:pt idx="1493">
                  <c:v>2728.3</c:v>
                </c:pt>
                <c:pt idx="1494">
                  <c:v>2734.3</c:v>
                </c:pt>
                <c:pt idx="1495">
                  <c:v>2773.4</c:v>
                </c:pt>
                <c:pt idx="1496">
                  <c:v>2777</c:v>
                </c:pt>
                <c:pt idx="1497">
                  <c:v>2795.8</c:v>
                </c:pt>
                <c:pt idx="1498">
                  <c:v>2763.8</c:v>
                </c:pt>
                <c:pt idx="1499">
                  <c:v>2764.1</c:v>
                </c:pt>
                <c:pt idx="1500">
                  <c:v>2774.5</c:v>
                </c:pt>
                <c:pt idx="1501">
                  <c:v>2772.3</c:v>
                </c:pt>
                <c:pt idx="1502">
                  <c:v>2763.7</c:v>
                </c:pt>
                <c:pt idx="1503">
                  <c:v>2799.2</c:v>
                </c:pt>
                <c:pt idx="1504">
                  <c:v>2810.6</c:v>
                </c:pt>
                <c:pt idx="1505">
                  <c:v>2797</c:v>
                </c:pt>
                <c:pt idx="1506">
                  <c:v>2817.5</c:v>
                </c:pt>
                <c:pt idx="1507">
                  <c:v>2845.5</c:v>
                </c:pt>
                <c:pt idx="1508">
                  <c:v>2858.6</c:v>
                </c:pt>
                <c:pt idx="1509">
                  <c:v>2887</c:v>
                </c:pt>
                <c:pt idx="1510">
                  <c:v>2866.1</c:v>
                </c:pt>
                <c:pt idx="1511">
                  <c:v>2909.9</c:v>
                </c:pt>
                <c:pt idx="1512">
                  <c:v>2792</c:v>
                </c:pt>
                <c:pt idx="1513">
                  <c:v>2857.2</c:v>
                </c:pt>
                <c:pt idx="1514">
                  <c:v>2891</c:v>
                </c:pt>
                <c:pt idx="1515">
                  <c:v>2841.1</c:v>
                </c:pt>
                <c:pt idx="1516">
                  <c:v>2847.1</c:v>
                </c:pt>
                <c:pt idx="1517">
                  <c:v>2799.7</c:v>
                </c:pt>
                <c:pt idx="1518">
                  <c:v>2855.8</c:v>
                </c:pt>
                <c:pt idx="1519">
                  <c:v>2815.1</c:v>
                </c:pt>
                <c:pt idx="1520">
                  <c:v>2820.8</c:v>
                </c:pt>
                <c:pt idx="1521">
                  <c:v>2807.8</c:v>
                </c:pt>
                <c:pt idx="1522">
                  <c:v>2854.5</c:v>
                </c:pt>
                <c:pt idx="1523">
                  <c:v>2845.6</c:v>
                </c:pt>
                <c:pt idx="1524">
                  <c:v>2852.9</c:v>
                </c:pt>
                <c:pt idx="1525">
                  <c:v>2888.7</c:v>
                </c:pt>
                <c:pt idx="1526">
                  <c:v>2848.8</c:v>
                </c:pt>
                <c:pt idx="1527">
                  <c:v>2859.3</c:v>
                </c:pt>
                <c:pt idx="1528">
                  <c:v>2881.3</c:v>
                </c:pt>
                <c:pt idx="1529">
                  <c:v>2886.1</c:v>
                </c:pt>
                <c:pt idx="1530">
                  <c:v>2906.3</c:v>
                </c:pt>
                <c:pt idx="1531">
                  <c:v>2892.6</c:v>
                </c:pt>
                <c:pt idx="1532">
                  <c:v>2933.4</c:v>
                </c:pt>
                <c:pt idx="1533">
                  <c:v>2955</c:v>
                </c:pt>
                <c:pt idx="1534">
                  <c:v>2949</c:v>
                </c:pt>
                <c:pt idx="1535">
                  <c:v>2988.5</c:v>
                </c:pt>
                <c:pt idx="1536">
                  <c:v>2993.3</c:v>
                </c:pt>
                <c:pt idx="1537">
                  <c:v>3001.4</c:v>
                </c:pt>
                <c:pt idx="1538">
                  <c:v>3030.7</c:v>
                </c:pt>
                <c:pt idx="1539">
                  <c:v>2976.7</c:v>
                </c:pt>
                <c:pt idx="1540">
                  <c:v>3028.7</c:v>
                </c:pt>
                <c:pt idx="1541">
                  <c:v>3033.5</c:v>
                </c:pt>
                <c:pt idx="1542">
                  <c:v>2998.2</c:v>
                </c:pt>
                <c:pt idx="1543">
                  <c:v>2994.5</c:v>
                </c:pt>
                <c:pt idx="1544">
                  <c:v>2989.3</c:v>
                </c:pt>
                <c:pt idx="1545">
                  <c:v>2999.2</c:v>
                </c:pt>
                <c:pt idx="1546">
                  <c:v>3017.3</c:v>
                </c:pt>
                <c:pt idx="1547">
                  <c:v>3035.2</c:v>
                </c:pt>
                <c:pt idx="1548">
                  <c:v>3062.3</c:v>
                </c:pt>
                <c:pt idx="1549">
                  <c:v>3067.1</c:v>
                </c:pt>
                <c:pt idx="1550">
                  <c:v>3098</c:v>
                </c:pt>
                <c:pt idx="1551">
                  <c:v>3104.1</c:v>
                </c:pt>
                <c:pt idx="1552">
                  <c:v>3138</c:v>
                </c:pt>
                <c:pt idx="1553">
                  <c:v>3184.4</c:v>
                </c:pt>
                <c:pt idx="1554">
                  <c:v>3187.6</c:v>
                </c:pt>
                <c:pt idx="1555">
                  <c:v>3216.1</c:v>
                </c:pt>
                <c:pt idx="1556">
                  <c:v>3229.5</c:v>
                </c:pt>
                <c:pt idx="1557">
                  <c:v>3248.2</c:v>
                </c:pt>
                <c:pt idx="1558">
                  <c:v>3232.6</c:v>
                </c:pt>
                <c:pt idx="1559">
                  <c:v>3276.2</c:v>
                </c:pt>
                <c:pt idx="1560">
                  <c:v>3233.8</c:v>
                </c:pt>
                <c:pt idx="1561">
                  <c:v>3196</c:v>
                </c:pt>
                <c:pt idx="1562">
                  <c:v>3184.1</c:v>
                </c:pt>
                <c:pt idx="1563">
                  <c:v>3184.2</c:v>
                </c:pt>
                <c:pt idx="1564">
                  <c:v>3233.2</c:v>
                </c:pt>
                <c:pt idx="1565">
                  <c:v>3237.9</c:v>
                </c:pt>
                <c:pt idx="1566">
                  <c:v>3276.7</c:v>
                </c:pt>
                <c:pt idx="1567">
                  <c:v>3259.6</c:v>
                </c:pt>
                <c:pt idx="1568">
                  <c:v>3263.9</c:v>
                </c:pt>
                <c:pt idx="1569">
                  <c:v>3320.7</c:v>
                </c:pt>
                <c:pt idx="1570">
                  <c:v>3365</c:v>
                </c:pt>
                <c:pt idx="1571">
                  <c:v>3417.6</c:v>
                </c:pt>
                <c:pt idx="1572">
                  <c:v>3376.2</c:v>
                </c:pt>
                <c:pt idx="1573">
                  <c:v>3436.1</c:v>
                </c:pt>
                <c:pt idx="1574">
                  <c:v>3460.6</c:v>
                </c:pt>
                <c:pt idx="1575">
                  <c:v>3415.4</c:v>
                </c:pt>
                <c:pt idx="1576">
                  <c:v>3349.8</c:v>
                </c:pt>
                <c:pt idx="1577">
                  <c:v>3359.3</c:v>
                </c:pt>
                <c:pt idx="1578">
                  <c:v>3351</c:v>
                </c:pt>
                <c:pt idx="1579">
                  <c:v>3291.2</c:v>
                </c:pt>
                <c:pt idx="1580">
                  <c:v>3315.9</c:v>
                </c:pt>
                <c:pt idx="1581">
                  <c:v>3264.7</c:v>
                </c:pt>
                <c:pt idx="1582">
                  <c:v>3298.2</c:v>
                </c:pt>
                <c:pt idx="1583">
                  <c:v>3321.8</c:v>
                </c:pt>
                <c:pt idx="1584">
                  <c:v>3349.1</c:v>
                </c:pt>
                <c:pt idx="1585">
                  <c:v>3418.1</c:v>
                </c:pt>
                <c:pt idx="1586">
                  <c:v>3429.1</c:v>
                </c:pt>
                <c:pt idx="1587">
                  <c:v>3295.9</c:v>
                </c:pt>
                <c:pt idx="1588">
                  <c:v>3301.9</c:v>
                </c:pt>
                <c:pt idx="1589">
                  <c:v>3215.2</c:v>
                </c:pt>
                <c:pt idx="1590">
                  <c:v>3244.9</c:v>
                </c:pt>
                <c:pt idx="1591">
                  <c:v>3312.9</c:v>
                </c:pt>
                <c:pt idx="1592">
                  <c:v>3329.8</c:v>
                </c:pt>
                <c:pt idx="1593">
                  <c:v>3359.5</c:v>
                </c:pt>
                <c:pt idx="1594">
                  <c:v>3351.5</c:v>
                </c:pt>
                <c:pt idx="1595">
                  <c:v>3340.1</c:v>
                </c:pt>
                <c:pt idx="1596">
                  <c:v>3279.9</c:v>
                </c:pt>
                <c:pt idx="1597">
                  <c:v>3327.7</c:v>
                </c:pt>
                <c:pt idx="1598">
                  <c:v>3353.5</c:v>
                </c:pt>
                <c:pt idx="1599">
                  <c:v>3383.3</c:v>
                </c:pt>
                <c:pt idx="1600">
                  <c:v>3344.4</c:v>
                </c:pt>
                <c:pt idx="1601">
                  <c:v>3347.6</c:v>
                </c:pt>
                <c:pt idx="1602">
                  <c:v>3340.3</c:v>
                </c:pt>
                <c:pt idx="1603">
                  <c:v>3396</c:v>
                </c:pt>
                <c:pt idx="1604">
                  <c:v>3397.4</c:v>
                </c:pt>
                <c:pt idx="1605">
                  <c:v>3374.1</c:v>
                </c:pt>
                <c:pt idx="1606">
                  <c:v>3363.1</c:v>
                </c:pt>
                <c:pt idx="1607">
                  <c:v>3383.2</c:v>
                </c:pt>
                <c:pt idx="1608">
                  <c:v>3438.1</c:v>
                </c:pt>
                <c:pt idx="1609">
                  <c:v>3460.4</c:v>
                </c:pt>
                <c:pt idx="1610">
                  <c:v>3528.8</c:v>
                </c:pt>
                <c:pt idx="1611">
                  <c:v>3568.3</c:v>
                </c:pt>
                <c:pt idx="1612">
                  <c:v>3552</c:v>
                </c:pt>
                <c:pt idx="1613">
                  <c:v>3562.4</c:v>
                </c:pt>
                <c:pt idx="1614">
                  <c:v>3575.4</c:v>
                </c:pt>
                <c:pt idx="1615">
                  <c:v>3595.2</c:v>
                </c:pt>
                <c:pt idx="1616">
                  <c:v>3573.7</c:v>
                </c:pt>
                <c:pt idx="1617">
                  <c:v>3562.1</c:v>
                </c:pt>
                <c:pt idx="1618">
                  <c:v>3604.6</c:v>
                </c:pt>
                <c:pt idx="1619">
                  <c:v>3543.4</c:v>
                </c:pt>
                <c:pt idx="1620">
                  <c:v>3596.1</c:v>
                </c:pt>
                <c:pt idx="1621">
                  <c:v>3579.4</c:v>
                </c:pt>
                <c:pt idx="1622">
                  <c:v>3602.2</c:v>
                </c:pt>
                <c:pt idx="1623">
                  <c:v>3657.9</c:v>
                </c:pt>
                <c:pt idx="1624">
                  <c:v>3674.4</c:v>
                </c:pt>
                <c:pt idx="1625">
                  <c:v>3636.4</c:v>
                </c:pt>
                <c:pt idx="1626">
                  <c:v>3562.7</c:v>
                </c:pt>
                <c:pt idx="1627">
                  <c:v>3596.4</c:v>
                </c:pt>
                <c:pt idx="1628">
                  <c:v>3655.6</c:v>
                </c:pt>
                <c:pt idx="1629">
                  <c:v>3651.6</c:v>
                </c:pt>
                <c:pt idx="1630">
                  <c:v>3684.6</c:v>
                </c:pt>
                <c:pt idx="1631">
                  <c:v>3700.5</c:v>
                </c:pt>
                <c:pt idx="1632">
                  <c:v>3668.6</c:v>
                </c:pt>
                <c:pt idx="1633">
                  <c:v>3671.2</c:v>
                </c:pt>
                <c:pt idx="1634">
                  <c:v>3671.9</c:v>
                </c:pt>
                <c:pt idx="1635">
                  <c:v>3737.2</c:v>
                </c:pt>
                <c:pt idx="1636">
                  <c:v>3752.4</c:v>
                </c:pt>
                <c:pt idx="1637">
                  <c:v>3750</c:v>
                </c:pt>
                <c:pt idx="1638">
                  <c:v>3721.2</c:v>
                </c:pt>
                <c:pt idx="1639">
                  <c:v>3730.6</c:v>
                </c:pt>
                <c:pt idx="1640">
                  <c:v>3777.6</c:v>
                </c:pt>
                <c:pt idx="1641">
                  <c:v>3788.5</c:v>
                </c:pt>
                <c:pt idx="1642">
                  <c:v>3748.8</c:v>
                </c:pt>
                <c:pt idx="1643">
                  <c:v>3761.1</c:v>
                </c:pt>
                <c:pt idx="1644">
                  <c:v>3819.5</c:v>
                </c:pt>
                <c:pt idx="1645">
                  <c:v>3820.2</c:v>
                </c:pt>
                <c:pt idx="1646">
                  <c:v>3809.9</c:v>
                </c:pt>
                <c:pt idx="1647">
                  <c:v>3766.9</c:v>
                </c:pt>
                <c:pt idx="1648">
                  <c:v>3834.8</c:v>
                </c:pt>
                <c:pt idx="1649">
                  <c:v>3867.5</c:v>
                </c:pt>
                <c:pt idx="1650">
                  <c:v>3939.7</c:v>
                </c:pt>
                <c:pt idx="1651">
                  <c:v>3946.7</c:v>
                </c:pt>
                <c:pt idx="1652">
                  <c:v>4003.4</c:v>
                </c:pt>
                <c:pt idx="1653">
                  <c:v>4030.1</c:v>
                </c:pt>
                <c:pt idx="1654">
                  <c:v>4027</c:v>
                </c:pt>
                <c:pt idx="1655">
                  <c:v>4000.7</c:v>
                </c:pt>
                <c:pt idx="1656">
                  <c:v>4074.3</c:v>
                </c:pt>
                <c:pt idx="1657">
                  <c:v>4142.2</c:v>
                </c:pt>
                <c:pt idx="1658">
                  <c:v>4139.7</c:v>
                </c:pt>
                <c:pt idx="1659">
                  <c:v>4223.7</c:v>
                </c:pt>
                <c:pt idx="1660">
                  <c:v>4203.8999999999996</c:v>
                </c:pt>
                <c:pt idx="1661">
                  <c:v>4131.8999999999996</c:v>
                </c:pt>
                <c:pt idx="1662">
                  <c:v>4140</c:v>
                </c:pt>
                <c:pt idx="1663">
                  <c:v>4297.6000000000004</c:v>
                </c:pt>
                <c:pt idx="1664">
                  <c:v>4384.8</c:v>
                </c:pt>
                <c:pt idx="1665">
                  <c:v>4320.5</c:v>
                </c:pt>
                <c:pt idx="1666">
                  <c:v>4368.5</c:v>
                </c:pt>
                <c:pt idx="1667">
                  <c:v>4400.3</c:v>
                </c:pt>
                <c:pt idx="1668">
                  <c:v>4377.7</c:v>
                </c:pt>
                <c:pt idx="1669">
                  <c:v>4458.7</c:v>
                </c:pt>
                <c:pt idx="1670">
                  <c:v>4405.5</c:v>
                </c:pt>
                <c:pt idx="1671">
                  <c:v>4337</c:v>
                </c:pt>
                <c:pt idx="1672">
                  <c:v>4302.5</c:v>
                </c:pt>
                <c:pt idx="1673">
                  <c:v>4325.8999999999996</c:v>
                </c:pt>
                <c:pt idx="1674">
                  <c:v>4364.3</c:v>
                </c:pt>
                <c:pt idx="1675">
                  <c:v>4428.1000000000004</c:v>
                </c:pt>
                <c:pt idx="1676">
                  <c:v>4342.3</c:v>
                </c:pt>
                <c:pt idx="1677">
                  <c:v>4333.2</c:v>
                </c:pt>
                <c:pt idx="1678">
                  <c:v>4377.5</c:v>
                </c:pt>
                <c:pt idx="1679">
                  <c:v>4237.1000000000004</c:v>
                </c:pt>
                <c:pt idx="1680">
                  <c:v>4195.5</c:v>
                </c:pt>
                <c:pt idx="1681">
                  <c:v>4077.6</c:v>
                </c:pt>
                <c:pt idx="1682">
                  <c:v>4080.6</c:v>
                </c:pt>
                <c:pt idx="1683">
                  <c:v>4190.5</c:v>
                </c:pt>
                <c:pt idx="1684">
                  <c:v>4251.8999999999996</c:v>
                </c:pt>
                <c:pt idx="1685">
                  <c:v>4204.8</c:v>
                </c:pt>
                <c:pt idx="1686">
                  <c:v>4090.1</c:v>
                </c:pt>
                <c:pt idx="1687">
                  <c:v>4076.8</c:v>
                </c:pt>
                <c:pt idx="1688">
                  <c:v>3993.7</c:v>
                </c:pt>
                <c:pt idx="1689">
                  <c:v>3992</c:v>
                </c:pt>
                <c:pt idx="1690">
                  <c:v>3897.4</c:v>
                </c:pt>
                <c:pt idx="1691">
                  <c:v>3919.8</c:v>
                </c:pt>
                <c:pt idx="1692">
                  <c:v>4001.8</c:v>
                </c:pt>
                <c:pt idx="1693">
                  <c:v>4127.3</c:v>
                </c:pt>
                <c:pt idx="1694">
                  <c:v>4062.1</c:v>
                </c:pt>
                <c:pt idx="1695">
                  <c:v>4093.4</c:v>
                </c:pt>
                <c:pt idx="1696">
                  <c:v>4073.7</c:v>
                </c:pt>
                <c:pt idx="1697">
                  <c:v>4131.3</c:v>
                </c:pt>
                <c:pt idx="1698">
                  <c:v>4104.6000000000004</c:v>
                </c:pt>
                <c:pt idx="1699">
                  <c:v>4028</c:v>
                </c:pt>
                <c:pt idx="1700">
                  <c:v>3890.2</c:v>
                </c:pt>
                <c:pt idx="1701">
                  <c:v>3796.6</c:v>
                </c:pt>
                <c:pt idx="1702">
                  <c:v>3869.5</c:v>
                </c:pt>
                <c:pt idx="1703">
                  <c:v>3995.7</c:v>
                </c:pt>
                <c:pt idx="1704">
                  <c:v>3970.4</c:v>
                </c:pt>
                <c:pt idx="1705">
                  <c:v>4004</c:v>
                </c:pt>
                <c:pt idx="1706">
                  <c:v>3983.1</c:v>
                </c:pt>
                <c:pt idx="1707">
                  <c:v>4096.8999999999996</c:v>
                </c:pt>
                <c:pt idx="1708">
                  <c:v>4091.8</c:v>
                </c:pt>
                <c:pt idx="1709">
                  <c:v>4151</c:v>
                </c:pt>
                <c:pt idx="1710">
                  <c:v>4104.8999999999996</c:v>
                </c:pt>
                <c:pt idx="1711">
                  <c:v>4135.1000000000004</c:v>
                </c:pt>
                <c:pt idx="1712">
                  <c:v>4116.5</c:v>
                </c:pt>
                <c:pt idx="1713">
                  <c:v>4154.8999999999996</c:v>
                </c:pt>
                <c:pt idx="1714">
                  <c:v>4263</c:v>
                </c:pt>
                <c:pt idx="1715">
                  <c:v>4266.2</c:v>
                </c:pt>
                <c:pt idx="1716">
                  <c:v>4326.3999999999996</c:v>
                </c:pt>
                <c:pt idx="1717">
                  <c:v>4311.1000000000004</c:v>
                </c:pt>
                <c:pt idx="1718">
                  <c:v>4267.3999999999996</c:v>
                </c:pt>
                <c:pt idx="1719">
                  <c:v>4179.8999999999996</c:v>
                </c:pt>
                <c:pt idx="1720">
                  <c:v>4164.6000000000004</c:v>
                </c:pt>
                <c:pt idx="1721">
                  <c:v>4225.3</c:v>
                </c:pt>
                <c:pt idx="1722">
                  <c:v>4215.2</c:v>
                </c:pt>
                <c:pt idx="1723">
                  <c:v>4168.6000000000004</c:v>
                </c:pt>
                <c:pt idx="1724">
                  <c:v>4149.8999999999996</c:v>
                </c:pt>
                <c:pt idx="1725">
                  <c:v>4049.2</c:v>
                </c:pt>
                <c:pt idx="1726">
                  <c:v>4069.3</c:v>
                </c:pt>
                <c:pt idx="1727">
                  <c:v>4172.5</c:v>
                </c:pt>
                <c:pt idx="1728">
                  <c:v>4124.8999999999996</c:v>
                </c:pt>
                <c:pt idx="1729">
                  <c:v>3976.4</c:v>
                </c:pt>
                <c:pt idx="1730">
                  <c:v>3981.4</c:v>
                </c:pt>
                <c:pt idx="1731">
                  <c:v>3871.4</c:v>
                </c:pt>
                <c:pt idx="1732">
                  <c:v>3645.7</c:v>
                </c:pt>
                <c:pt idx="1733">
                  <c:v>3806.7</c:v>
                </c:pt>
                <c:pt idx="1734">
                  <c:v>3748.9</c:v>
                </c:pt>
                <c:pt idx="1735">
                  <c:v>3753.7</c:v>
                </c:pt>
                <c:pt idx="1736">
                  <c:v>3847.7</c:v>
                </c:pt>
                <c:pt idx="1737">
                  <c:v>3784.8</c:v>
                </c:pt>
                <c:pt idx="1738">
                  <c:v>3841.4</c:v>
                </c:pt>
                <c:pt idx="1739">
                  <c:v>3813.9</c:v>
                </c:pt>
                <c:pt idx="1740">
                  <c:v>3715.4</c:v>
                </c:pt>
                <c:pt idx="1741">
                  <c:v>3728.4</c:v>
                </c:pt>
                <c:pt idx="1742">
                  <c:v>3734.8</c:v>
                </c:pt>
                <c:pt idx="1743">
                  <c:v>3697.5</c:v>
                </c:pt>
                <c:pt idx="1744">
                  <c:v>3701.9</c:v>
                </c:pt>
                <c:pt idx="1745">
                  <c:v>3676.7</c:v>
                </c:pt>
                <c:pt idx="1746">
                  <c:v>3816.7</c:v>
                </c:pt>
                <c:pt idx="1747">
                  <c:v>3844.1</c:v>
                </c:pt>
                <c:pt idx="1748">
                  <c:v>3876.9</c:v>
                </c:pt>
                <c:pt idx="1749">
                  <c:v>3931.8</c:v>
                </c:pt>
                <c:pt idx="1750">
                  <c:v>3941.9</c:v>
                </c:pt>
                <c:pt idx="1751">
                  <c:v>3832.1</c:v>
                </c:pt>
                <c:pt idx="1752">
                  <c:v>3850.1</c:v>
                </c:pt>
                <c:pt idx="1753">
                  <c:v>3926.9</c:v>
                </c:pt>
                <c:pt idx="1754">
                  <c:v>3962</c:v>
                </c:pt>
                <c:pt idx="1755">
                  <c:v>3972.1</c:v>
                </c:pt>
                <c:pt idx="1756">
                  <c:v>4125.8999999999996</c:v>
                </c:pt>
                <c:pt idx="1757">
                  <c:v>4096.3999999999996</c:v>
                </c:pt>
                <c:pt idx="1758">
                  <c:v>4074.6</c:v>
                </c:pt>
                <c:pt idx="1759">
                  <c:v>4159.7</c:v>
                </c:pt>
                <c:pt idx="1760">
                  <c:v>4191.8</c:v>
                </c:pt>
                <c:pt idx="1761">
                  <c:v>4208.1000000000004</c:v>
                </c:pt>
                <c:pt idx="1762">
                  <c:v>4187.1000000000004</c:v>
                </c:pt>
                <c:pt idx="1763">
                  <c:v>4117.2700000000004</c:v>
                </c:pt>
                <c:pt idx="1764">
                  <c:v>4016.7</c:v>
                </c:pt>
                <c:pt idx="1765">
                  <c:v>4061.9</c:v>
                </c:pt>
                <c:pt idx="1766">
                  <c:v>4029.1</c:v>
                </c:pt>
                <c:pt idx="1767">
                  <c:v>4150.3</c:v>
                </c:pt>
                <c:pt idx="1768">
                  <c:v>4154.6000000000004</c:v>
                </c:pt>
                <c:pt idx="1769">
                  <c:v>4162.8999999999996</c:v>
                </c:pt>
                <c:pt idx="1770">
                  <c:v>4055.4</c:v>
                </c:pt>
                <c:pt idx="1771">
                  <c:v>4125.5</c:v>
                </c:pt>
                <c:pt idx="1772">
                  <c:v>4132.8</c:v>
                </c:pt>
                <c:pt idx="1773">
                  <c:v>4266</c:v>
                </c:pt>
                <c:pt idx="1774">
                  <c:v>4224.3</c:v>
                </c:pt>
                <c:pt idx="1775">
                  <c:v>4364.3</c:v>
                </c:pt>
                <c:pt idx="1776">
                  <c:v>4417</c:v>
                </c:pt>
                <c:pt idx="1777">
                  <c:v>4360.1000000000004</c:v>
                </c:pt>
                <c:pt idx="1778">
                  <c:v>4340</c:v>
                </c:pt>
                <c:pt idx="1779">
                  <c:v>4293.6000000000004</c:v>
                </c:pt>
                <c:pt idx="1780">
                  <c:v>4237.8</c:v>
                </c:pt>
                <c:pt idx="1781">
                  <c:v>4134.6000000000004</c:v>
                </c:pt>
                <c:pt idx="1782">
                  <c:v>4150.1000000000004</c:v>
                </c:pt>
                <c:pt idx="1783">
                  <c:v>4145.3999999999996</c:v>
                </c:pt>
                <c:pt idx="1784">
                  <c:v>4140.2</c:v>
                </c:pt>
                <c:pt idx="1785">
                  <c:v>4216.2</c:v>
                </c:pt>
                <c:pt idx="1786">
                  <c:v>4290.1000000000004</c:v>
                </c:pt>
                <c:pt idx="1787">
                  <c:v>4310.8</c:v>
                </c:pt>
                <c:pt idx="1788">
                  <c:v>4250.5</c:v>
                </c:pt>
                <c:pt idx="1789">
                  <c:v>4238.8</c:v>
                </c:pt>
                <c:pt idx="1790">
                  <c:v>4222.2</c:v>
                </c:pt>
                <c:pt idx="1791">
                  <c:v>4266.3</c:v>
                </c:pt>
                <c:pt idx="1792">
                  <c:v>4316.1000000000004</c:v>
                </c:pt>
                <c:pt idx="1793">
                  <c:v>4385.3</c:v>
                </c:pt>
                <c:pt idx="1794">
                  <c:v>4444.5</c:v>
                </c:pt>
                <c:pt idx="1795">
                  <c:v>4442.5</c:v>
                </c:pt>
                <c:pt idx="1796">
                  <c:v>4529.8999999999996</c:v>
                </c:pt>
                <c:pt idx="1797">
                  <c:v>4529.2</c:v>
                </c:pt>
                <c:pt idx="1798">
                  <c:v>4509.3</c:v>
                </c:pt>
                <c:pt idx="1799">
                  <c:v>4494.7</c:v>
                </c:pt>
                <c:pt idx="1800">
                  <c:v>4536.8999999999996</c:v>
                </c:pt>
                <c:pt idx="1801">
                  <c:v>4519.6000000000004</c:v>
                </c:pt>
                <c:pt idx="1802">
                  <c:v>4558.6000000000004</c:v>
                </c:pt>
                <c:pt idx="1803">
                  <c:v>4552.5</c:v>
                </c:pt>
                <c:pt idx="1804">
                  <c:v>4509.3999999999996</c:v>
                </c:pt>
                <c:pt idx="1805">
                  <c:v>4522.3999999999996</c:v>
                </c:pt>
                <c:pt idx="1806">
                  <c:v>4535.6000000000004</c:v>
                </c:pt>
                <c:pt idx="1807">
                  <c:v>4627.3999999999996</c:v>
                </c:pt>
                <c:pt idx="1808">
                  <c:v>4611.7</c:v>
                </c:pt>
                <c:pt idx="1809">
                  <c:v>4581.1000000000004</c:v>
                </c:pt>
                <c:pt idx="1810">
                  <c:v>4583</c:v>
                </c:pt>
                <c:pt idx="1811">
                  <c:v>4610.7</c:v>
                </c:pt>
                <c:pt idx="1812">
                  <c:v>4604.6000000000004</c:v>
                </c:pt>
                <c:pt idx="1813">
                  <c:v>4704.6000000000004</c:v>
                </c:pt>
                <c:pt idx="1814">
                  <c:v>4695.8</c:v>
                </c:pt>
                <c:pt idx="1815">
                  <c:v>4693.8999999999996</c:v>
                </c:pt>
                <c:pt idx="1816">
                  <c:v>4781.6000000000004</c:v>
                </c:pt>
                <c:pt idx="1817">
                  <c:v>4759.6000000000004</c:v>
                </c:pt>
                <c:pt idx="1818">
                  <c:v>4690.5</c:v>
                </c:pt>
                <c:pt idx="1819">
                  <c:v>4676.3999999999996</c:v>
                </c:pt>
                <c:pt idx="1820">
                  <c:v>4762.7</c:v>
                </c:pt>
                <c:pt idx="1821">
                  <c:v>4828.8999999999996</c:v>
                </c:pt>
                <c:pt idx="1822">
                  <c:v>4852.2</c:v>
                </c:pt>
                <c:pt idx="1823">
                  <c:v>4862.3999999999996</c:v>
                </c:pt>
                <c:pt idx="1824">
                  <c:v>4838.7</c:v>
                </c:pt>
                <c:pt idx="1825">
                  <c:v>4872.2</c:v>
                </c:pt>
                <c:pt idx="1826">
                  <c:v>4905.6000000000004</c:v>
                </c:pt>
                <c:pt idx="1827">
                  <c:v>4945.8999999999996</c:v>
                </c:pt>
                <c:pt idx="1828">
                  <c:v>4908.6000000000004</c:v>
                </c:pt>
                <c:pt idx="1829">
                  <c:v>4949.8999999999996</c:v>
                </c:pt>
                <c:pt idx="1830">
                  <c:v>5045.2</c:v>
                </c:pt>
                <c:pt idx="1831">
                  <c:v>5014.1000000000004</c:v>
                </c:pt>
                <c:pt idx="1832">
                  <c:v>5064.3999999999996</c:v>
                </c:pt>
                <c:pt idx="1833">
                  <c:v>5114.1000000000004</c:v>
                </c:pt>
                <c:pt idx="1834">
                  <c:v>5029</c:v>
                </c:pt>
                <c:pt idx="1835">
                  <c:v>5066.8999999999996</c:v>
                </c:pt>
                <c:pt idx="1836">
                  <c:v>5069.8999999999996</c:v>
                </c:pt>
                <c:pt idx="1837">
                  <c:v>5097.3</c:v>
                </c:pt>
                <c:pt idx="1838">
                  <c:v>5135.3999999999996</c:v>
                </c:pt>
                <c:pt idx="1839">
                  <c:v>5179</c:v>
                </c:pt>
                <c:pt idx="1840">
                  <c:v>5254.3</c:v>
                </c:pt>
                <c:pt idx="1841">
                  <c:v>5345.9</c:v>
                </c:pt>
                <c:pt idx="1842">
                  <c:v>5309.7</c:v>
                </c:pt>
                <c:pt idx="1843">
                  <c:v>5267.4</c:v>
                </c:pt>
                <c:pt idx="1844">
                  <c:v>5312.3</c:v>
                </c:pt>
                <c:pt idx="1845">
                  <c:v>5368</c:v>
                </c:pt>
                <c:pt idx="1846">
                  <c:v>5359.2</c:v>
                </c:pt>
                <c:pt idx="1847">
                  <c:v>5293</c:v>
                </c:pt>
                <c:pt idx="1848">
                  <c:v>5326.6</c:v>
                </c:pt>
                <c:pt idx="1849">
                  <c:v>5407.9</c:v>
                </c:pt>
                <c:pt idx="1850">
                  <c:v>5373.8</c:v>
                </c:pt>
                <c:pt idx="1851">
                  <c:v>5312.3</c:v>
                </c:pt>
                <c:pt idx="1852">
                  <c:v>5262.6</c:v>
                </c:pt>
                <c:pt idx="1853">
                  <c:v>5144.3999999999996</c:v>
                </c:pt>
                <c:pt idx="1854">
                  <c:v>5002.7</c:v>
                </c:pt>
                <c:pt idx="1855">
                  <c:v>5018.67</c:v>
                </c:pt>
                <c:pt idx="1856">
                  <c:v>5108.4799999999996</c:v>
                </c:pt>
                <c:pt idx="1857">
                  <c:v>5107.4399999999996</c:v>
                </c:pt>
                <c:pt idx="1858">
                  <c:v>5314.66</c:v>
                </c:pt>
                <c:pt idx="1859">
                  <c:v>5232.03</c:v>
                </c:pt>
                <c:pt idx="1860">
                  <c:v>5229.8</c:v>
                </c:pt>
                <c:pt idx="1861">
                  <c:v>5186.2299999999996</c:v>
                </c:pt>
                <c:pt idx="1862">
                  <c:v>5257.58</c:v>
                </c:pt>
                <c:pt idx="1863">
                  <c:v>5341.69</c:v>
                </c:pt>
                <c:pt idx="1864">
                  <c:v>5297.35</c:v>
                </c:pt>
                <c:pt idx="1865">
                  <c:v>5376.88</c:v>
                </c:pt>
                <c:pt idx="1866">
                  <c:v>5361.22</c:v>
                </c:pt>
                <c:pt idx="1867">
                  <c:v>5393.14</c:v>
                </c:pt>
                <c:pt idx="1868">
                  <c:v>5342.85</c:v>
                </c:pt>
                <c:pt idx="1869">
                  <c:v>5388.9</c:v>
                </c:pt>
                <c:pt idx="1870">
                  <c:v>5510.98</c:v>
                </c:pt>
                <c:pt idx="1871">
                  <c:v>5564.21</c:v>
                </c:pt>
                <c:pt idx="1872">
                  <c:v>5575.16</c:v>
                </c:pt>
                <c:pt idx="1873">
                  <c:v>5644.29</c:v>
                </c:pt>
                <c:pt idx="1874">
                  <c:v>5490.64</c:v>
                </c:pt>
                <c:pt idx="1875">
                  <c:v>5481.26</c:v>
                </c:pt>
                <c:pt idx="1876">
                  <c:v>5569.08</c:v>
                </c:pt>
                <c:pt idx="1877">
                  <c:v>5582.78</c:v>
                </c:pt>
                <c:pt idx="1878">
                  <c:v>5613.76</c:v>
                </c:pt>
                <c:pt idx="1879">
                  <c:v>5592.48</c:v>
                </c:pt>
                <c:pt idx="1880">
                  <c:v>5688.5</c:v>
                </c:pt>
                <c:pt idx="1881">
                  <c:v>5779.09</c:v>
                </c:pt>
                <c:pt idx="1882">
                  <c:v>5760.03</c:v>
                </c:pt>
                <c:pt idx="1883">
                  <c:v>5754.46</c:v>
                </c:pt>
                <c:pt idx="1884">
                  <c:v>5670.83</c:v>
                </c:pt>
                <c:pt idx="1885">
                  <c:v>5527.32</c:v>
                </c:pt>
                <c:pt idx="1886">
                  <c:v>5591.57</c:v>
                </c:pt>
                <c:pt idx="1887">
                  <c:v>5709.36</c:v>
                </c:pt>
                <c:pt idx="1888">
                  <c:v>5718.06</c:v>
                </c:pt>
                <c:pt idx="1889">
                  <c:v>5702.61</c:v>
                </c:pt>
                <c:pt idx="1890">
                  <c:v>5654.75</c:v>
                </c:pt>
                <c:pt idx="1891">
                  <c:v>5718.71</c:v>
                </c:pt>
                <c:pt idx="1892">
                  <c:v>5779.91</c:v>
                </c:pt>
                <c:pt idx="1893">
                  <c:v>5866.63</c:v>
                </c:pt>
                <c:pt idx="1894">
                  <c:v>5870.42</c:v>
                </c:pt>
                <c:pt idx="1895">
                  <c:v>5915.13</c:v>
                </c:pt>
                <c:pt idx="1896">
                  <c:v>5897.44</c:v>
                </c:pt>
                <c:pt idx="1897">
                  <c:v>5906.85</c:v>
                </c:pt>
                <c:pt idx="1898">
                  <c:v>5904.1</c:v>
                </c:pt>
                <c:pt idx="1899">
                  <c:v>5953.16</c:v>
                </c:pt>
                <c:pt idx="1900">
                  <c:v>5918.37</c:v>
                </c:pt>
                <c:pt idx="1901">
                  <c:v>5960.98</c:v>
                </c:pt>
                <c:pt idx="1902">
                  <c:v>6013.14</c:v>
                </c:pt>
                <c:pt idx="1903">
                  <c:v>5996.77</c:v>
                </c:pt>
                <c:pt idx="1904">
                  <c:v>5982.42</c:v>
                </c:pt>
                <c:pt idx="1905">
                  <c:v>6019.48</c:v>
                </c:pt>
                <c:pt idx="1906">
                  <c:v>6095.28</c:v>
                </c:pt>
                <c:pt idx="1907">
                  <c:v>6108.24</c:v>
                </c:pt>
                <c:pt idx="1908">
                  <c:v>6094.02</c:v>
                </c:pt>
                <c:pt idx="1909">
                  <c:v>6147.87</c:v>
                </c:pt>
                <c:pt idx="1910">
                  <c:v>6171.43</c:v>
                </c:pt>
                <c:pt idx="1911">
                  <c:v>6165.52</c:v>
                </c:pt>
                <c:pt idx="1912">
                  <c:v>6110.73</c:v>
                </c:pt>
                <c:pt idx="1913">
                  <c:v>6058.45</c:v>
                </c:pt>
                <c:pt idx="1914">
                  <c:v>6035.28</c:v>
                </c:pt>
                <c:pt idx="1915">
                  <c:v>5885</c:v>
                </c:pt>
                <c:pt idx="1916">
                  <c:v>5889.01</c:v>
                </c:pt>
                <c:pt idx="1917">
                  <c:v>5853.63</c:v>
                </c:pt>
                <c:pt idx="1918">
                  <c:v>5880.87</c:v>
                </c:pt>
                <c:pt idx="1919">
                  <c:v>5873.92</c:v>
                </c:pt>
                <c:pt idx="1920">
                  <c:v>5758.77</c:v>
                </c:pt>
                <c:pt idx="1921">
                  <c:v>5756.2</c:v>
                </c:pt>
                <c:pt idx="1922">
                  <c:v>5632.51</c:v>
                </c:pt>
                <c:pt idx="1923">
                  <c:v>5517.64</c:v>
                </c:pt>
                <c:pt idx="1924">
                  <c:v>5581.22</c:v>
                </c:pt>
                <c:pt idx="1925">
                  <c:v>5476.25</c:v>
                </c:pt>
                <c:pt idx="1926">
                  <c:v>5268.4</c:v>
                </c:pt>
                <c:pt idx="1927">
                  <c:v>5402.37</c:v>
                </c:pt>
                <c:pt idx="1928">
                  <c:v>5356.23</c:v>
                </c:pt>
                <c:pt idx="1929">
                  <c:v>5447.9</c:v>
                </c:pt>
                <c:pt idx="1930">
                  <c:v>5456.58</c:v>
                </c:pt>
                <c:pt idx="1931">
                  <c:v>5568.88</c:v>
                </c:pt>
                <c:pt idx="1932">
                  <c:v>5596.41</c:v>
                </c:pt>
                <c:pt idx="1933">
                  <c:v>5488.22</c:v>
                </c:pt>
                <c:pt idx="1934">
                  <c:v>5163.51</c:v>
                </c:pt>
                <c:pt idx="1935">
                  <c:v>5234.88</c:v>
                </c:pt>
                <c:pt idx="1936">
                  <c:v>5372.76</c:v>
                </c:pt>
                <c:pt idx="1937">
                  <c:v>5231.6099999999997</c:v>
                </c:pt>
                <c:pt idx="1938">
                  <c:v>5060.84</c:v>
                </c:pt>
                <c:pt idx="1939">
                  <c:v>4993.54</c:v>
                </c:pt>
                <c:pt idx="1940">
                  <c:v>4833.8900000000003</c:v>
                </c:pt>
                <c:pt idx="1941">
                  <c:v>4791.8100000000004</c:v>
                </c:pt>
                <c:pt idx="1942">
                  <c:v>4970.5</c:v>
                </c:pt>
                <c:pt idx="1943">
                  <c:v>4812.18</c:v>
                </c:pt>
                <c:pt idx="1944">
                  <c:v>4820.25</c:v>
                </c:pt>
                <c:pt idx="1945">
                  <c:v>4923.37</c:v>
                </c:pt>
                <c:pt idx="1946">
                  <c:v>5103.84</c:v>
                </c:pt>
                <c:pt idx="1947">
                  <c:v>5040.87</c:v>
                </c:pt>
                <c:pt idx="1948">
                  <c:v>4747.33</c:v>
                </c:pt>
                <c:pt idx="1949">
                  <c:v>4737.1499999999996</c:v>
                </c:pt>
                <c:pt idx="1950">
                  <c:v>4896.49</c:v>
                </c:pt>
                <c:pt idx="1951">
                  <c:v>4831.22</c:v>
                </c:pt>
                <c:pt idx="1952">
                  <c:v>4857.97</c:v>
                </c:pt>
                <c:pt idx="1953">
                  <c:v>4669.51</c:v>
                </c:pt>
                <c:pt idx="1954">
                  <c:v>4598.58</c:v>
                </c:pt>
                <c:pt idx="1955">
                  <c:v>4433.87</c:v>
                </c:pt>
                <c:pt idx="1956">
                  <c:v>4575.1499999999996</c:v>
                </c:pt>
                <c:pt idx="1957">
                  <c:v>4699.3900000000003</c:v>
                </c:pt>
                <c:pt idx="1958">
                  <c:v>4646.25</c:v>
                </c:pt>
                <c:pt idx="1959">
                  <c:v>4561.58</c:v>
                </c:pt>
                <c:pt idx="1960">
                  <c:v>4653.9399999999996</c:v>
                </c:pt>
                <c:pt idx="1961">
                  <c:v>4578.2700000000004</c:v>
                </c:pt>
                <c:pt idx="1962">
                  <c:v>4474.51</c:v>
                </c:pt>
                <c:pt idx="1963">
                  <c:v>4226.49</c:v>
                </c:pt>
                <c:pt idx="1964">
                  <c:v>3962.5</c:v>
                </c:pt>
                <c:pt idx="1965">
                  <c:v>4034.23</c:v>
                </c:pt>
                <c:pt idx="1966">
                  <c:v>4156.6400000000003</c:v>
                </c:pt>
                <c:pt idx="1967">
                  <c:v>4087.83</c:v>
                </c:pt>
                <c:pt idx="1968">
                  <c:v>3896.08</c:v>
                </c:pt>
                <c:pt idx="1969">
                  <c:v>3983.65</c:v>
                </c:pt>
                <c:pt idx="1970">
                  <c:v>4225.49</c:v>
                </c:pt>
                <c:pt idx="1971">
                  <c:v>4274.4799999999996</c:v>
                </c:pt>
                <c:pt idx="1972">
                  <c:v>4318.5200000000004</c:v>
                </c:pt>
                <c:pt idx="1973">
                  <c:v>4399.05</c:v>
                </c:pt>
                <c:pt idx="1974">
                  <c:v>4489.1000000000004</c:v>
                </c:pt>
                <c:pt idx="1975">
                  <c:v>4458.3999999999996</c:v>
                </c:pt>
                <c:pt idx="1976">
                  <c:v>4595.82</c:v>
                </c:pt>
                <c:pt idx="1977">
                  <c:v>4523.24</c:v>
                </c:pt>
                <c:pt idx="1978">
                  <c:v>4454.28</c:v>
                </c:pt>
                <c:pt idx="1979">
                  <c:v>4451.09</c:v>
                </c:pt>
                <c:pt idx="1980">
                  <c:v>4577.74</c:v>
                </c:pt>
                <c:pt idx="1981">
                  <c:v>4682.45</c:v>
                </c:pt>
                <c:pt idx="1982">
                  <c:v>4536.34</c:v>
                </c:pt>
                <c:pt idx="1983">
                  <c:v>4549.33</c:v>
                </c:pt>
                <c:pt idx="1984">
                  <c:v>4671.12</c:v>
                </c:pt>
                <c:pt idx="1985">
                  <c:v>4761.1499999999996</c:v>
                </c:pt>
                <c:pt idx="1986">
                  <c:v>4705.08</c:v>
                </c:pt>
                <c:pt idx="1987">
                  <c:v>4841.72</c:v>
                </c:pt>
                <c:pt idx="1988">
                  <c:v>4811.6000000000004</c:v>
                </c:pt>
                <c:pt idx="1989">
                  <c:v>4836.22</c:v>
                </c:pt>
                <c:pt idx="1990">
                  <c:v>4768.58</c:v>
                </c:pt>
                <c:pt idx="1991">
                  <c:v>4662.78</c:v>
                </c:pt>
                <c:pt idx="1992">
                  <c:v>4717.7</c:v>
                </c:pt>
                <c:pt idx="1993">
                  <c:v>4639.8900000000003</c:v>
                </c:pt>
                <c:pt idx="1994">
                  <c:v>4639.6499999999996</c:v>
                </c:pt>
                <c:pt idx="1995">
                  <c:v>4783.7700000000004</c:v>
                </c:pt>
                <c:pt idx="1996">
                  <c:v>4702.63</c:v>
                </c:pt>
                <c:pt idx="1997">
                  <c:v>4698.72</c:v>
                </c:pt>
                <c:pt idx="1998">
                  <c:v>4795.6899999999996</c:v>
                </c:pt>
                <c:pt idx="1999">
                  <c:v>4911.88</c:v>
                </c:pt>
                <c:pt idx="2000">
                  <c:v>5019.12</c:v>
                </c:pt>
                <c:pt idx="2001">
                  <c:v>4958.82</c:v>
                </c:pt>
                <c:pt idx="2002">
                  <c:v>4944.37</c:v>
                </c:pt>
                <c:pt idx="2003">
                  <c:v>5051.63</c:v>
                </c:pt>
                <c:pt idx="2004">
                  <c:v>5121.4799999999996</c:v>
                </c:pt>
                <c:pt idx="2005">
                  <c:v>5022.7</c:v>
                </c:pt>
                <c:pt idx="2006">
                  <c:v>4781.7299999999996</c:v>
                </c:pt>
                <c:pt idx="2007">
                  <c:v>4691.6899999999996</c:v>
                </c:pt>
                <c:pt idx="2008">
                  <c:v>4787.08</c:v>
                </c:pt>
                <c:pt idx="2009">
                  <c:v>4775.2299999999996</c:v>
                </c:pt>
                <c:pt idx="2010">
                  <c:v>4713.96</c:v>
                </c:pt>
                <c:pt idx="2011">
                  <c:v>4699.34</c:v>
                </c:pt>
                <c:pt idx="2012">
                  <c:v>4663.68</c:v>
                </c:pt>
                <c:pt idx="2013">
                  <c:v>4642.6899999999996</c:v>
                </c:pt>
                <c:pt idx="2014">
                  <c:v>4536.2</c:v>
                </c:pt>
                <c:pt idx="2015">
                  <c:v>4522.8599999999997</c:v>
                </c:pt>
                <c:pt idx="2016">
                  <c:v>4574.5</c:v>
                </c:pt>
                <c:pt idx="2017">
                  <c:v>4663.45</c:v>
                </c:pt>
                <c:pt idx="2018">
                  <c:v>4723.8100000000004</c:v>
                </c:pt>
                <c:pt idx="2019">
                  <c:v>4629.2299999999996</c:v>
                </c:pt>
                <c:pt idx="2020">
                  <c:v>4780.93</c:v>
                </c:pt>
                <c:pt idx="2021">
                  <c:v>4825.38</c:v>
                </c:pt>
                <c:pt idx="2022">
                  <c:v>4951.7700000000004</c:v>
                </c:pt>
                <c:pt idx="2023">
                  <c:v>5044.7700000000004</c:v>
                </c:pt>
                <c:pt idx="2024">
                  <c:v>5031.87</c:v>
                </c:pt>
                <c:pt idx="2025">
                  <c:v>5002.3900000000003</c:v>
                </c:pt>
                <c:pt idx="2026">
                  <c:v>5252.36</c:v>
                </c:pt>
                <c:pt idx="2027">
                  <c:v>5253.91</c:v>
                </c:pt>
                <c:pt idx="2028">
                  <c:v>5443.62</c:v>
                </c:pt>
                <c:pt idx="2029">
                  <c:v>5323.21</c:v>
                </c:pt>
                <c:pt idx="2030">
                  <c:v>5392.84</c:v>
                </c:pt>
                <c:pt idx="2031">
                  <c:v>5270.6</c:v>
                </c:pt>
                <c:pt idx="2032">
                  <c:v>5200.1000000000004</c:v>
                </c:pt>
                <c:pt idx="2033">
                  <c:v>4931.8</c:v>
                </c:pt>
                <c:pt idx="2034">
                  <c:v>4912.75</c:v>
                </c:pt>
                <c:pt idx="2035">
                  <c:v>4960.22</c:v>
                </c:pt>
                <c:pt idx="2036">
                  <c:v>5050.3999999999996</c:v>
                </c:pt>
                <c:pt idx="2037">
                  <c:v>5073.1499999999996</c:v>
                </c:pt>
                <c:pt idx="2038">
                  <c:v>5143.0600000000004</c:v>
                </c:pt>
                <c:pt idx="2039">
                  <c:v>5156.67</c:v>
                </c:pt>
                <c:pt idx="2040">
                  <c:v>5019.28</c:v>
                </c:pt>
                <c:pt idx="2041">
                  <c:v>4982.45</c:v>
                </c:pt>
                <c:pt idx="2042">
                  <c:v>4986.8</c:v>
                </c:pt>
                <c:pt idx="2043">
                  <c:v>5061.18</c:v>
                </c:pt>
                <c:pt idx="2044">
                  <c:v>5096.41</c:v>
                </c:pt>
                <c:pt idx="2045">
                  <c:v>5159.96</c:v>
                </c:pt>
                <c:pt idx="2046">
                  <c:v>5190.82</c:v>
                </c:pt>
                <c:pt idx="2047">
                  <c:v>5166.87</c:v>
                </c:pt>
                <c:pt idx="2048">
                  <c:v>5085.66</c:v>
                </c:pt>
                <c:pt idx="2049">
                  <c:v>5077.8500000000004</c:v>
                </c:pt>
                <c:pt idx="2050">
                  <c:v>5080.7700000000004</c:v>
                </c:pt>
                <c:pt idx="2051">
                  <c:v>5027.22</c:v>
                </c:pt>
                <c:pt idx="2052">
                  <c:v>4904.3500000000004</c:v>
                </c:pt>
                <c:pt idx="2053">
                  <c:v>4796.82</c:v>
                </c:pt>
                <c:pt idx="2054">
                  <c:v>4839.33</c:v>
                </c:pt>
                <c:pt idx="2055">
                  <c:v>4888.74</c:v>
                </c:pt>
                <c:pt idx="2056">
                  <c:v>4879.55</c:v>
                </c:pt>
                <c:pt idx="2057">
                  <c:v>4904.68</c:v>
                </c:pt>
                <c:pt idx="2058">
                  <c:v>4810.09</c:v>
                </c:pt>
                <c:pt idx="2059">
                  <c:v>4845.08</c:v>
                </c:pt>
                <c:pt idx="2060">
                  <c:v>4802.38</c:v>
                </c:pt>
                <c:pt idx="2061">
                  <c:v>4845.18</c:v>
                </c:pt>
                <c:pt idx="2062">
                  <c:v>4987.5600000000004</c:v>
                </c:pt>
                <c:pt idx="2063">
                  <c:v>5062.3100000000004</c:v>
                </c:pt>
                <c:pt idx="2064">
                  <c:v>4958.58</c:v>
                </c:pt>
                <c:pt idx="2065">
                  <c:v>4911.8100000000004</c:v>
                </c:pt>
                <c:pt idx="2066">
                  <c:v>4784.3100000000004</c:v>
                </c:pt>
                <c:pt idx="2067">
                  <c:v>4804.0200000000004</c:v>
                </c:pt>
                <c:pt idx="2068">
                  <c:v>4697.67</c:v>
                </c:pt>
                <c:pt idx="2069">
                  <c:v>4678.72</c:v>
                </c:pt>
                <c:pt idx="2070">
                  <c:v>4839.09</c:v>
                </c:pt>
                <c:pt idx="2071">
                  <c:v>4788.6899999999996</c:v>
                </c:pt>
                <c:pt idx="2072">
                  <c:v>4758.46</c:v>
                </c:pt>
                <c:pt idx="2073">
                  <c:v>4721.41</c:v>
                </c:pt>
                <c:pt idx="2074">
                  <c:v>4754.41</c:v>
                </c:pt>
                <c:pt idx="2075">
                  <c:v>5008.16</c:v>
                </c:pt>
                <c:pt idx="2076">
                  <c:v>5029.24</c:v>
                </c:pt>
                <c:pt idx="2077">
                  <c:v>5094.63</c:v>
                </c:pt>
                <c:pt idx="2078">
                  <c:v>5077.43</c:v>
                </c:pt>
                <c:pt idx="2079">
                  <c:v>5013.62</c:v>
                </c:pt>
                <c:pt idx="2080">
                  <c:v>5099.4799999999996</c:v>
                </c:pt>
                <c:pt idx="2081">
                  <c:v>5027.0600000000004</c:v>
                </c:pt>
                <c:pt idx="2082">
                  <c:v>4915.03</c:v>
                </c:pt>
                <c:pt idx="2083">
                  <c:v>4780.13</c:v>
                </c:pt>
                <c:pt idx="2084">
                  <c:v>4860.26</c:v>
                </c:pt>
                <c:pt idx="2085">
                  <c:v>4775.17</c:v>
                </c:pt>
                <c:pt idx="2086">
                  <c:v>4876.92</c:v>
                </c:pt>
                <c:pt idx="2087">
                  <c:v>4856.84</c:v>
                </c:pt>
                <c:pt idx="2088">
                  <c:v>4884.2</c:v>
                </c:pt>
                <c:pt idx="2089">
                  <c:v>4914.59</c:v>
                </c:pt>
                <c:pt idx="2090">
                  <c:v>4965.29</c:v>
                </c:pt>
                <c:pt idx="2091">
                  <c:v>5052.2700000000004</c:v>
                </c:pt>
                <c:pt idx="2092">
                  <c:v>5068.75</c:v>
                </c:pt>
                <c:pt idx="2093">
                  <c:v>5124.18</c:v>
                </c:pt>
                <c:pt idx="2094">
                  <c:v>5159.16</c:v>
                </c:pt>
                <c:pt idx="2095">
                  <c:v>5199.18</c:v>
                </c:pt>
                <c:pt idx="2096">
                  <c:v>5182.16</c:v>
                </c:pt>
                <c:pt idx="2097">
                  <c:v>5181.01</c:v>
                </c:pt>
                <c:pt idx="2098">
                  <c:v>5155.3500000000004</c:v>
                </c:pt>
                <c:pt idx="2099">
                  <c:v>5220.1499999999996</c:v>
                </c:pt>
                <c:pt idx="2100">
                  <c:v>5087.29</c:v>
                </c:pt>
                <c:pt idx="2101">
                  <c:v>5163.29</c:v>
                </c:pt>
                <c:pt idx="2102">
                  <c:v>5218.82</c:v>
                </c:pt>
                <c:pt idx="2103">
                  <c:v>5195.42</c:v>
                </c:pt>
                <c:pt idx="2104">
                  <c:v>5256.22</c:v>
                </c:pt>
                <c:pt idx="2105">
                  <c:v>5347.5</c:v>
                </c:pt>
                <c:pt idx="2106">
                  <c:v>5348.61</c:v>
                </c:pt>
                <c:pt idx="2107">
                  <c:v>5334.42</c:v>
                </c:pt>
                <c:pt idx="2108">
                  <c:v>5393.11</c:v>
                </c:pt>
                <c:pt idx="2109">
                  <c:v>5377.56</c:v>
                </c:pt>
                <c:pt idx="2110">
                  <c:v>5383.21</c:v>
                </c:pt>
                <c:pt idx="2111">
                  <c:v>5307.22</c:v>
                </c:pt>
                <c:pt idx="2112">
                  <c:v>5274.45</c:v>
                </c:pt>
                <c:pt idx="2113">
                  <c:v>5297.38</c:v>
                </c:pt>
                <c:pt idx="2114">
                  <c:v>5205.95</c:v>
                </c:pt>
                <c:pt idx="2115">
                  <c:v>5249.15</c:v>
                </c:pt>
                <c:pt idx="2116">
                  <c:v>5248.02</c:v>
                </c:pt>
                <c:pt idx="2117">
                  <c:v>5173.25</c:v>
                </c:pt>
                <c:pt idx="2118">
                  <c:v>5114.47</c:v>
                </c:pt>
                <c:pt idx="2119">
                  <c:v>5154.9399999999996</c:v>
                </c:pt>
                <c:pt idx="2120">
                  <c:v>5184.51</c:v>
                </c:pt>
                <c:pt idx="2121">
                  <c:v>5235.6400000000003</c:v>
                </c:pt>
                <c:pt idx="2122">
                  <c:v>5264.68</c:v>
                </c:pt>
                <c:pt idx="2123">
                  <c:v>5143.1000000000004</c:v>
                </c:pt>
                <c:pt idx="2124">
                  <c:v>5160.4399999999996</c:v>
                </c:pt>
                <c:pt idx="2125">
                  <c:v>5083.83</c:v>
                </c:pt>
                <c:pt idx="2126">
                  <c:v>5068.7299999999996</c:v>
                </c:pt>
                <c:pt idx="2127">
                  <c:v>5069.83</c:v>
                </c:pt>
                <c:pt idx="2128">
                  <c:v>5021.24</c:v>
                </c:pt>
                <c:pt idx="2129">
                  <c:v>4997.83</c:v>
                </c:pt>
                <c:pt idx="2130">
                  <c:v>5107.8100000000004</c:v>
                </c:pt>
                <c:pt idx="2131">
                  <c:v>5190.1499999999996</c:v>
                </c:pt>
                <c:pt idx="2132">
                  <c:v>5211.08</c:v>
                </c:pt>
                <c:pt idx="2133">
                  <c:v>5253.89</c:v>
                </c:pt>
                <c:pt idx="2134">
                  <c:v>5206.47</c:v>
                </c:pt>
                <c:pt idx="2135">
                  <c:v>5262.15</c:v>
                </c:pt>
                <c:pt idx="2136">
                  <c:v>5268.87</c:v>
                </c:pt>
                <c:pt idx="2137">
                  <c:v>5342.86</c:v>
                </c:pt>
                <c:pt idx="2138">
                  <c:v>5381.25</c:v>
                </c:pt>
                <c:pt idx="2139">
                  <c:v>5412</c:v>
                </c:pt>
                <c:pt idx="2140">
                  <c:v>5430.32</c:v>
                </c:pt>
                <c:pt idx="2141">
                  <c:v>5468.47</c:v>
                </c:pt>
                <c:pt idx="2142">
                  <c:v>5468.67</c:v>
                </c:pt>
                <c:pt idx="2143">
                  <c:v>5399.11</c:v>
                </c:pt>
                <c:pt idx="2144">
                  <c:v>5327.6</c:v>
                </c:pt>
                <c:pt idx="2145">
                  <c:v>5301.21</c:v>
                </c:pt>
                <c:pt idx="2146">
                  <c:v>5356.95</c:v>
                </c:pt>
                <c:pt idx="2147">
                  <c:v>5359.53</c:v>
                </c:pt>
                <c:pt idx="2148">
                  <c:v>5378.52</c:v>
                </c:pt>
                <c:pt idx="2149">
                  <c:v>5480.22</c:v>
                </c:pt>
                <c:pt idx="2150">
                  <c:v>5519.05</c:v>
                </c:pt>
                <c:pt idx="2151">
                  <c:v>5625.62</c:v>
                </c:pt>
                <c:pt idx="2152">
                  <c:v>5612.9</c:v>
                </c:pt>
                <c:pt idx="2153">
                  <c:v>5588.5</c:v>
                </c:pt>
                <c:pt idx="2154">
                  <c:v>5607.1</c:v>
                </c:pt>
                <c:pt idx="2155">
                  <c:v>5638.95</c:v>
                </c:pt>
                <c:pt idx="2156">
                  <c:v>5652.02</c:v>
                </c:pt>
                <c:pt idx="2157">
                  <c:v>5573.82</c:v>
                </c:pt>
                <c:pt idx="2158">
                  <c:v>5610.89</c:v>
                </c:pt>
                <c:pt idx="2159">
                  <c:v>5619.26</c:v>
                </c:pt>
                <c:pt idx="2160">
                  <c:v>5619.94</c:v>
                </c:pt>
                <c:pt idx="2161">
                  <c:v>5624.74</c:v>
                </c:pt>
                <c:pt idx="2162">
                  <c:v>5491.29</c:v>
                </c:pt>
                <c:pt idx="2163">
                  <c:v>5414.17</c:v>
                </c:pt>
                <c:pt idx="2164">
                  <c:v>5340.91</c:v>
                </c:pt>
                <c:pt idx="2165">
                  <c:v>5310.63</c:v>
                </c:pt>
                <c:pt idx="2166">
                  <c:v>5206.4399999999996</c:v>
                </c:pt>
                <c:pt idx="2167">
                  <c:v>5224.16</c:v>
                </c:pt>
                <c:pt idx="2168">
                  <c:v>5229.5600000000004</c:v>
                </c:pt>
                <c:pt idx="2169">
                  <c:v>5052.32</c:v>
                </c:pt>
                <c:pt idx="2170">
                  <c:v>5101.87</c:v>
                </c:pt>
                <c:pt idx="2171">
                  <c:v>5129.5</c:v>
                </c:pt>
                <c:pt idx="2172">
                  <c:v>5107.68</c:v>
                </c:pt>
                <c:pt idx="2173">
                  <c:v>5119.37</c:v>
                </c:pt>
                <c:pt idx="2174">
                  <c:v>4978.45</c:v>
                </c:pt>
                <c:pt idx="2175">
                  <c:v>5010.47</c:v>
                </c:pt>
                <c:pt idx="2176">
                  <c:v>5087.3</c:v>
                </c:pt>
                <c:pt idx="2177">
                  <c:v>5000.87</c:v>
                </c:pt>
                <c:pt idx="2178">
                  <c:v>5019.6899999999996</c:v>
                </c:pt>
                <c:pt idx="2179">
                  <c:v>5127.43</c:v>
                </c:pt>
                <c:pt idx="2180">
                  <c:v>5219.43</c:v>
                </c:pt>
                <c:pt idx="2181">
                  <c:v>5257.1</c:v>
                </c:pt>
                <c:pt idx="2182">
                  <c:v>5259.91</c:v>
                </c:pt>
                <c:pt idx="2183">
                  <c:v>5230.47</c:v>
                </c:pt>
                <c:pt idx="2184">
                  <c:v>5186.8500000000004</c:v>
                </c:pt>
                <c:pt idx="2185">
                  <c:v>5254.14</c:v>
                </c:pt>
                <c:pt idx="2186">
                  <c:v>5301.98</c:v>
                </c:pt>
                <c:pt idx="2187">
                  <c:v>5324.02</c:v>
                </c:pt>
                <c:pt idx="2188">
                  <c:v>5400.32</c:v>
                </c:pt>
                <c:pt idx="2189">
                  <c:v>5389.34</c:v>
                </c:pt>
                <c:pt idx="2190">
                  <c:v>5420.36</c:v>
                </c:pt>
                <c:pt idx="2191">
                  <c:v>5392.53</c:v>
                </c:pt>
                <c:pt idx="2192">
                  <c:v>5270.77</c:v>
                </c:pt>
                <c:pt idx="2193">
                  <c:v>5317.12</c:v>
                </c:pt>
                <c:pt idx="2194">
                  <c:v>5189.92</c:v>
                </c:pt>
                <c:pt idx="2195">
                  <c:v>5336.22</c:v>
                </c:pt>
                <c:pt idx="2196">
                  <c:v>5400.55</c:v>
                </c:pt>
                <c:pt idx="2197">
                  <c:v>5391.36</c:v>
                </c:pt>
                <c:pt idx="2198">
                  <c:v>5400.7</c:v>
                </c:pt>
                <c:pt idx="2199">
                  <c:v>5436.86</c:v>
                </c:pt>
                <c:pt idx="2200">
                  <c:v>5483.95</c:v>
                </c:pt>
                <c:pt idx="2201">
                  <c:v>5446.91</c:v>
                </c:pt>
                <c:pt idx="2202">
                  <c:v>5401.47</c:v>
                </c:pt>
                <c:pt idx="2203">
                  <c:v>5387.18</c:v>
                </c:pt>
                <c:pt idx="2204">
                  <c:v>5304.42</c:v>
                </c:pt>
                <c:pt idx="2205">
                  <c:v>5303.94</c:v>
                </c:pt>
                <c:pt idx="2206">
                  <c:v>5351.98</c:v>
                </c:pt>
                <c:pt idx="2207">
                  <c:v>5282.76</c:v>
                </c:pt>
                <c:pt idx="2208">
                  <c:v>5238.76</c:v>
                </c:pt>
                <c:pt idx="2209">
                  <c:v>5299.57</c:v>
                </c:pt>
                <c:pt idx="2210">
                  <c:v>5186.53</c:v>
                </c:pt>
                <c:pt idx="2211">
                  <c:v>5239.6400000000003</c:v>
                </c:pt>
                <c:pt idx="2212">
                  <c:v>5119.1000000000004</c:v>
                </c:pt>
                <c:pt idx="2213">
                  <c:v>5135.62</c:v>
                </c:pt>
                <c:pt idx="2214">
                  <c:v>5149.83</c:v>
                </c:pt>
                <c:pt idx="2215">
                  <c:v>5124.55</c:v>
                </c:pt>
                <c:pt idx="2216">
                  <c:v>5218.8599999999997</c:v>
                </c:pt>
                <c:pt idx="2217">
                  <c:v>5301.85</c:v>
                </c:pt>
                <c:pt idx="2218">
                  <c:v>5353.32</c:v>
                </c:pt>
                <c:pt idx="2219">
                  <c:v>5419.31</c:v>
                </c:pt>
                <c:pt idx="2220">
                  <c:v>5419.26</c:v>
                </c:pt>
                <c:pt idx="2221">
                  <c:v>5414.5</c:v>
                </c:pt>
                <c:pt idx="2222">
                  <c:v>5358.46</c:v>
                </c:pt>
                <c:pt idx="2223">
                  <c:v>5295.43</c:v>
                </c:pt>
                <c:pt idx="2224">
                  <c:v>5220.29</c:v>
                </c:pt>
                <c:pt idx="2225">
                  <c:v>5184.2299999999996</c:v>
                </c:pt>
                <c:pt idx="2226">
                  <c:v>5156.28</c:v>
                </c:pt>
                <c:pt idx="2227">
                  <c:v>5296.91</c:v>
                </c:pt>
                <c:pt idx="2228">
                  <c:v>5291.23</c:v>
                </c:pt>
                <c:pt idx="2229">
                  <c:v>5246.49</c:v>
                </c:pt>
                <c:pt idx="2230">
                  <c:v>5357.75</c:v>
                </c:pt>
                <c:pt idx="2231">
                  <c:v>5320.4</c:v>
                </c:pt>
                <c:pt idx="2232">
                  <c:v>5388.76</c:v>
                </c:pt>
                <c:pt idx="2233">
                  <c:v>5363.86</c:v>
                </c:pt>
                <c:pt idx="2234">
                  <c:v>5478.89</c:v>
                </c:pt>
                <c:pt idx="2235">
                  <c:v>5525.4</c:v>
                </c:pt>
                <c:pt idx="2236">
                  <c:v>5524.92</c:v>
                </c:pt>
                <c:pt idx="2237">
                  <c:v>5546.95</c:v>
                </c:pt>
                <c:pt idx="2238">
                  <c:v>5560.87</c:v>
                </c:pt>
                <c:pt idx="2239">
                  <c:v>5635.62</c:v>
                </c:pt>
                <c:pt idx="2240">
                  <c:v>5658.1</c:v>
                </c:pt>
                <c:pt idx="2241">
                  <c:v>5647.94</c:v>
                </c:pt>
                <c:pt idx="2242">
                  <c:v>5694.73</c:v>
                </c:pt>
                <c:pt idx="2243">
                  <c:v>5742.42</c:v>
                </c:pt>
                <c:pt idx="2244">
                  <c:v>5802.36</c:v>
                </c:pt>
                <c:pt idx="2245">
                  <c:v>5791.05</c:v>
                </c:pt>
                <c:pt idx="2246">
                  <c:v>5859.29</c:v>
                </c:pt>
                <c:pt idx="2247">
                  <c:v>5909.52</c:v>
                </c:pt>
                <c:pt idx="2248">
                  <c:v>5870.17</c:v>
                </c:pt>
                <c:pt idx="2249">
                  <c:v>5950.05</c:v>
                </c:pt>
                <c:pt idx="2250">
                  <c:v>5955.97</c:v>
                </c:pt>
                <c:pt idx="2251">
                  <c:v>5819.89</c:v>
                </c:pt>
                <c:pt idx="2252">
                  <c:v>5814.74</c:v>
                </c:pt>
                <c:pt idx="2253">
                  <c:v>5818.73</c:v>
                </c:pt>
                <c:pt idx="2254">
                  <c:v>5961.45</c:v>
                </c:pt>
                <c:pt idx="2255">
                  <c:v>5958.07</c:v>
                </c:pt>
                <c:pt idx="2256">
                  <c:v>5888.88</c:v>
                </c:pt>
                <c:pt idx="2257">
                  <c:v>5896.04</c:v>
                </c:pt>
                <c:pt idx="2258">
                  <c:v>5933.84</c:v>
                </c:pt>
                <c:pt idx="2259">
                  <c:v>5937.2</c:v>
                </c:pt>
                <c:pt idx="2260">
                  <c:v>6119.17</c:v>
                </c:pt>
                <c:pt idx="2261">
                  <c:v>6142.19</c:v>
                </c:pt>
                <c:pt idx="2262">
                  <c:v>6158.77</c:v>
                </c:pt>
                <c:pt idx="2263">
                  <c:v>6115.59</c:v>
                </c:pt>
                <c:pt idx="2264">
                  <c:v>6118.06</c:v>
                </c:pt>
                <c:pt idx="2265">
                  <c:v>6097.9</c:v>
                </c:pt>
                <c:pt idx="2266">
                  <c:v>6127.2</c:v>
                </c:pt>
                <c:pt idx="2267">
                  <c:v>6187.99</c:v>
                </c:pt>
                <c:pt idx="2268">
                  <c:v>6232.75</c:v>
                </c:pt>
                <c:pt idx="2269">
                  <c:v>6341.29</c:v>
                </c:pt>
                <c:pt idx="2270">
                  <c:v>6353.9</c:v>
                </c:pt>
                <c:pt idx="2271">
                  <c:v>6378.66</c:v>
                </c:pt>
                <c:pt idx="2272">
                  <c:v>6418.68</c:v>
                </c:pt>
                <c:pt idx="2273">
                  <c:v>6492.53</c:v>
                </c:pt>
                <c:pt idx="2274">
                  <c:v>6782.39</c:v>
                </c:pt>
                <c:pt idx="2275">
                  <c:v>6837.41</c:v>
                </c:pt>
                <c:pt idx="2276">
                  <c:v>6861.54</c:v>
                </c:pt>
                <c:pt idx="2277">
                  <c:v>6859.58</c:v>
                </c:pt>
                <c:pt idx="2278">
                  <c:v>6958.14</c:v>
                </c:pt>
                <c:pt idx="2279">
                  <c:v>6750.76</c:v>
                </c:pt>
                <c:pt idx="2280">
                  <c:v>6586.95</c:v>
                </c:pt>
                <c:pt idx="2281">
                  <c:v>6502.07</c:v>
                </c:pt>
                <c:pt idx="2282">
                  <c:v>6474.92</c:v>
                </c:pt>
                <c:pt idx="2283">
                  <c:v>6780.96</c:v>
                </c:pt>
                <c:pt idx="2284">
                  <c:v>6925.52</c:v>
                </c:pt>
                <c:pt idx="2285">
                  <c:v>6891.25</c:v>
                </c:pt>
                <c:pt idx="2286">
                  <c:v>6912.81</c:v>
                </c:pt>
                <c:pt idx="2287">
                  <c:v>6955.98</c:v>
                </c:pt>
                <c:pt idx="2288">
                  <c:v>7173.22</c:v>
                </c:pt>
                <c:pt idx="2289">
                  <c:v>7258.9</c:v>
                </c:pt>
                <c:pt idx="2290">
                  <c:v>7072.12</c:v>
                </c:pt>
                <c:pt idx="2291">
                  <c:v>7091.04</c:v>
                </c:pt>
                <c:pt idx="2292">
                  <c:v>7112.66</c:v>
                </c:pt>
                <c:pt idx="2293">
                  <c:v>6992.75</c:v>
                </c:pt>
                <c:pt idx="2294">
                  <c:v>6931.99</c:v>
                </c:pt>
                <c:pt idx="2295">
                  <c:v>6809.64</c:v>
                </c:pt>
                <c:pt idx="2296">
                  <c:v>6969.37</c:v>
                </c:pt>
                <c:pt idx="2297">
                  <c:v>7126.13</c:v>
                </c:pt>
                <c:pt idx="2298">
                  <c:v>7066.6</c:v>
                </c:pt>
                <c:pt idx="2299">
                  <c:v>6835.6</c:v>
                </c:pt>
                <c:pt idx="2300">
                  <c:v>7050.46</c:v>
                </c:pt>
                <c:pt idx="2301">
                  <c:v>7171.95</c:v>
                </c:pt>
                <c:pt idx="2302">
                  <c:v>7354.26</c:v>
                </c:pt>
                <c:pt idx="2303">
                  <c:v>7444.61</c:v>
                </c:pt>
                <c:pt idx="2304">
                  <c:v>7296.32</c:v>
                </c:pt>
                <c:pt idx="2305">
                  <c:v>7549.88</c:v>
                </c:pt>
                <c:pt idx="2306">
                  <c:v>7629.11</c:v>
                </c:pt>
                <c:pt idx="2307">
                  <c:v>7709.27</c:v>
                </c:pt>
                <c:pt idx="2308">
                  <c:v>7611.55</c:v>
                </c:pt>
                <c:pt idx="2309">
                  <c:v>7644.8</c:v>
                </c:pt>
                <c:pt idx="2310">
                  <c:v>7396.13</c:v>
                </c:pt>
                <c:pt idx="2311">
                  <c:v>7490.32</c:v>
                </c:pt>
                <c:pt idx="2312">
                  <c:v>7580.53</c:v>
                </c:pt>
                <c:pt idx="2313">
                  <c:v>7573.78</c:v>
                </c:pt>
                <c:pt idx="2314">
                  <c:v>7590.53</c:v>
                </c:pt>
                <c:pt idx="2315">
                  <c:v>7607.94</c:v>
                </c:pt>
                <c:pt idx="2316">
                  <c:v>7698.97</c:v>
                </c:pt>
                <c:pt idx="2317">
                  <c:v>7640.53</c:v>
                </c:pt>
                <c:pt idx="2318">
                  <c:v>7738.68</c:v>
                </c:pt>
                <c:pt idx="2319">
                  <c:v>7587.13</c:v>
                </c:pt>
                <c:pt idx="2320">
                  <c:v>7644.55</c:v>
                </c:pt>
                <c:pt idx="2321">
                  <c:v>7727.93</c:v>
                </c:pt>
                <c:pt idx="2322">
                  <c:v>7945.77</c:v>
                </c:pt>
                <c:pt idx="2323">
                  <c:v>7960.03</c:v>
                </c:pt>
                <c:pt idx="2324">
                  <c:v>7975.78</c:v>
                </c:pt>
                <c:pt idx="2325">
                  <c:v>8064.97</c:v>
                </c:pt>
                <c:pt idx="2326">
                  <c:v>7987</c:v>
                </c:pt>
                <c:pt idx="2327">
                  <c:v>7949.15</c:v>
                </c:pt>
                <c:pt idx="2328">
                  <c:v>7975.95</c:v>
                </c:pt>
                <c:pt idx="2329">
                  <c:v>7693.85</c:v>
                </c:pt>
                <c:pt idx="2330">
                  <c:v>7650.05</c:v>
                </c:pt>
                <c:pt idx="2331">
                  <c:v>7414.46</c:v>
                </c:pt>
                <c:pt idx="2332">
                  <c:v>7583.96</c:v>
                </c:pt>
                <c:pt idx="2333">
                  <c:v>7710.92</c:v>
                </c:pt>
                <c:pt idx="2334">
                  <c:v>7872.38</c:v>
                </c:pt>
                <c:pt idx="2335">
                  <c:v>7807.93</c:v>
                </c:pt>
                <c:pt idx="2336">
                  <c:v>7798.62</c:v>
                </c:pt>
                <c:pt idx="2337">
                  <c:v>7694.78</c:v>
                </c:pt>
                <c:pt idx="2338">
                  <c:v>7932.42</c:v>
                </c:pt>
                <c:pt idx="2339">
                  <c:v>7892.49</c:v>
                </c:pt>
                <c:pt idx="2340">
                  <c:v>7931.93</c:v>
                </c:pt>
                <c:pt idx="2341">
                  <c:v>7864.76</c:v>
                </c:pt>
                <c:pt idx="2342">
                  <c:v>7644.89</c:v>
                </c:pt>
                <c:pt idx="2343">
                  <c:v>7599.39</c:v>
                </c:pt>
                <c:pt idx="2344">
                  <c:v>7429.22</c:v>
                </c:pt>
                <c:pt idx="2345">
                  <c:v>7522.8</c:v>
                </c:pt>
                <c:pt idx="2346">
                  <c:v>7330.77</c:v>
                </c:pt>
                <c:pt idx="2347">
                  <c:v>7446.21</c:v>
                </c:pt>
                <c:pt idx="2348">
                  <c:v>7522.2</c:v>
                </c:pt>
                <c:pt idx="2349">
                  <c:v>7516.95</c:v>
                </c:pt>
                <c:pt idx="2350">
                  <c:v>7442.66</c:v>
                </c:pt>
                <c:pt idx="2351">
                  <c:v>7443.07</c:v>
                </c:pt>
                <c:pt idx="2352">
                  <c:v>7449.06</c:v>
                </c:pt>
                <c:pt idx="2353">
                  <c:v>7214.83</c:v>
                </c:pt>
                <c:pt idx="2354">
                  <c:v>7187.14</c:v>
                </c:pt>
                <c:pt idx="2355">
                  <c:v>7196.49</c:v>
                </c:pt>
                <c:pt idx="2356">
                  <c:v>7216.71</c:v>
                </c:pt>
                <c:pt idx="2357">
                  <c:v>7157.95</c:v>
                </c:pt>
                <c:pt idx="2358">
                  <c:v>7280.51</c:v>
                </c:pt>
                <c:pt idx="2359">
                  <c:v>7388.55</c:v>
                </c:pt>
                <c:pt idx="2360">
                  <c:v>7221.74</c:v>
                </c:pt>
                <c:pt idx="2361">
                  <c:v>7414.68</c:v>
                </c:pt>
                <c:pt idx="2362">
                  <c:v>7555.92</c:v>
                </c:pt>
                <c:pt idx="2363">
                  <c:v>7376.93</c:v>
                </c:pt>
                <c:pt idx="2364">
                  <c:v>7386.71</c:v>
                </c:pt>
                <c:pt idx="2365">
                  <c:v>7530.82</c:v>
                </c:pt>
                <c:pt idx="2366">
                  <c:v>7408.09</c:v>
                </c:pt>
                <c:pt idx="2367">
                  <c:v>7280.54</c:v>
                </c:pt>
                <c:pt idx="2368">
                  <c:v>7120.86</c:v>
                </c:pt>
                <c:pt idx="2369">
                  <c:v>7259.48</c:v>
                </c:pt>
                <c:pt idx="2370">
                  <c:v>7269.28</c:v>
                </c:pt>
                <c:pt idx="2371">
                  <c:v>7195.15</c:v>
                </c:pt>
                <c:pt idx="2372">
                  <c:v>7371.06</c:v>
                </c:pt>
                <c:pt idx="2373">
                  <c:v>7211.51</c:v>
                </c:pt>
                <c:pt idx="2374">
                  <c:v>7181.58</c:v>
                </c:pt>
                <c:pt idx="2375">
                  <c:v>6989.03</c:v>
                </c:pt>
                <c:pt idx="2376">
                  <c:v>6912.96</c:v>
                </c:pt>
                <c:pt idx="2377">
                  <c:v>6927.69</c:v>
                </c:pt>
                <c:pt idx="2378">
                  <c:v>6834.88</c:v>
                </c:pt>
                <c:pt idx="2379">
                  <c:v>6978.87</c:v>
                </c:pt>
                <c:pt idx="2380">
                  <c:v>6839.33</c:v>
                </c:pt>
                <c:pt idx="2381">
                  <c:v>7016.66</c:v>
                </c:pt>
                <c:pt idx="2382">
                  <c:v>7119.26</c:v>
                </c:pt>
                <c:pt idx="2383">
                  <c:v>7109.67</c:v>
                </c:pt>
                <c:pt idx="2384">
                  <c:v>7272.76</c:v>
                </c:pt>
                <c:pt idx="2385">
                  <c:v>7438.95</c:v>
                </c:pt>
                <c:pt idx="2386">
                  <c:v>7408.02</c:v>
                </c:pt>
                <c:pt idx="2387">
                  <c:v>7359.8</c:v>
                </c:pt>
                <c:pt idx="2388">
                  <c:v>7285.93</c:v>
                </c:pt>
                <c:pt idx="2389">
                  <c:v>7253.46</c:v>
                </c:pt>
                <c:pt idx="2390">
                  <c:v>7246.79</c:v>
                </c:pt>
                <c:pt idx="2391">
                  <c:v>7240.1</c:v>
                </c:pt>
                <c:pt idx="2392">
                  <c:v>7268.91</c:v>
                </c:pt>
                <c:pt idx="2393">
                  <c:v>7350.94</c:v>
                </c:pt>
                <c:pt idx="2394">
                  <c:v>7328.62</c:v>
                </c:pt>
                <c:pt idx="2395">
                  <c:v>7252.58</c:v>
                </c:pt>
                <c:pt idx="2396">
                  <c:v>7198.8</c:v>
                </c:pt>
                <c:pt idx="2397">
                  <c:v>7227.27</c:v>
                </c:pt>
                <c:pt idx="2398">
                  <c:v>7100.09</c:v>
                </c:pt>
                <c:pt idx="2399">
                  <c:v>7064.73</c:v>
                </c:pt>
                <c:pt idx="2400">
                  <c:v>6980.41</c:v>
                </c:pt>
                <c:pt idx="2401">
                  <c:v>7027.19</c:v>
                </c:pt>
                <c:pt idx="2402">
                  <c:v>7048.96</c:v>
                </c:pt>
                <c:pt idx="2403">
                  <c:v>7054.3</c:v>
                </c:pt>
                <c:pt idx="2404">
                  <c:v>6881.94</c:v>
                </c:pt>
                <c:pt idx="2405">
                  <c:v>6882.44</c:v>
                </c:pt>
                <c:pt idx="2406">
                  <c:v>6962.02</c:v>
                </c:pt>
                <c:pt idx="2407">
                  <c:v>6944.36</c:v>
                </c:pt>
                <c:pt idx="2408">
                  <c:v>6961.73</c:v>
                </c:pt>
                <c:pt idx="2409">
                  <c:v>6972.8</c:v>
                </c:pt>
                <c:pt idx="2410">
                  <c:v>7044.77</c:v>
                </c:pt>
                <c:pt idx="2411">
                  <c:v>7066.22</c:v>
                </c:pt>
                <c:pt idx="2412">
                  <c:v>7006.05</c:v>
                </c:pt>
                <c:pt idx="2413">
                  <c:v>7065.97</c:v>
                </c:pt>
                <c:pt idx="2414">
                  <c:v>7166.51</c:v>
                </c:pt>
                <c:pt idx="2415">
                  <c:v>7321.94</c:v>
                </c:pt>
                <c:pt idx="2416">
                  <c:v>7430.7</c:v>
                </c:pt>
                <c:pt idx="2417">
                  <c:v>7406.91</c:v>
                </c:pt>
                <c:pt idx="2418">
                  <c:v>7366.57</c:v>
                </c:pt>
                <c:pt idx="2419">
                  <c:v>7480.14</c:v>
                </c:pt>
                <c:pt idx="2420">
                  <c:v>7378.86</c:v>
                </c:pt>
                <c:pt idx="2421">
                  <c:v>7314.2</c:v>
                </c:pt>
                <c:pt idx="2422">
                  <c:v>7329.46</c:v>
                </c:pt>
                <c:pt idx="2423">
                  <c:v>7268</c:v>
                </c:pt>
                <c:pt idx="2424">
                  <c:v>7183.44</c:v>
                </c:pt>
                <c:pt idx="2425">
                  <c:v>7128.3</c:v>
                </c:pt>
                <c:pt idx="2426">
                  <c:v>7190.37</c:v>
                </c:pt>
                <c:pt idx="2427">
                  <c:v>7145.53</c:v>
                </c:pt>
                <c:pt idx="2428">
                  <c:v>7112.45</c:v>
                </c:pt>
                <c:pt idx="2429">
                  <c:v>7011.74</c:v>
                </c:pt>
                <c:pt idx="2430">
                  <c:v>7016.59</c:v>
                </c:pt>
                <c:pt idx="2431">
                  <c:v>7113.22</c:v>
                </c:pt>
                <c:pt idx="2432">
                  <c:v>7143.96</c:v>
                </c:pt>
                <c:pt idx="2433">
                  <c:v>7226.71</c:v>
                </c:pt>
                <c:pt idx="2434">
                  <c:v>7280.97</c:v>
                </c:pt>
                <c:pt idx="2435">
                  <c:v>7322.98</c:v>
                </c:pt>
                <c:pt idx="2436">
                  <c:v>7331.67</c:v>
                </c:pt>
                <c:pt idx="2437">
                  <c:v>7307.43</c:v>
                </c:pt>
                <c:pt idx="2438">
                  <c:v>7315.27</c:v>
                </c:pt>
                <c:pt idx="2439">
                  <c:v>7278.43</c:v>
                </c:pt>
                <c:pt idx="2440">
                  <c:v>7232.42</c:v>
                </c:pt>
                <c:pt idx="2441">
                  <c:v>7199.34</c:v>
                </c:pt>
                <c:pt idx="2442">
                  <c:v>7249.2</c:v>
                </c:pt>
                <c:pt idx="2443">
                  <c:v>7232.78</c:v>
                </c:pt>
                <c:pt idx="2444">
                  <c:v>7230.26</c:v>
                </c:pt>
                <c:pt idx="2445">
                  <c:v>7307.17</c:v>
                </c:pt>
                <c:pt idx="2446">
                  <c:v>7339.22</c:v>
                </c:pt>
                <c:pt idx="2447">
                  <c:v>7294.4</c:v>
                </c:pt>
                <c:pt idx="2448">
                  <c:v>7192.69</c:v>
                </c:pt>
                <c:pt idx="2449">
                  <c:v>7244.79</c:v>
                </c:pt>
                <c:pt idx="2450">
                  <c:v>7344.67</c:v>
                </c:pt>
                <c:pt idx="2451">
                  <c:v>7445.56</c:v>
                </c:pt>
                <c:pt idx="2452">
                  <c:v>7391.27</c:v>
                </c:pt>
                <c:pt idx="2453">
                  <c:v>7329.9</c:v>
                </c:pt>
                <c:pt idx="2454">
                  <c:v>7373.34</c:v>
                </c:pt>
                <c:pt idx="2455">
                  <c:v>7261.04</c:v>
                </c:pt>
                <c:pt idx="2456">
                  <c:v>7214.45</c:v>
                </c:pt>
                <c:pt idx="2457">
                  <c:v>7135.75</c:v>
                </c:pt>
                <c:pt idx="2458">
                  <c:v>7006.26</c:v>
                </c:pt>
                <c:pt idx="2459">
                  <c:v>7049.82</c:v>
                </c:pt>
                <c:pt idx="2460">
                  <c:v>6999.54</c:v>
                </c:pt>
                <c:pt idx="2461">
                  <c:v>6891.69</c:v>
                </c:pt>
                <c:pt idx="2462">
                  <c:v>6915.49</c:v>
                </c:pt>
                <c:pt idx="2463">
                  <c:v>6765.23</c:v>
                </c:pt>
                <c:pt idx="2464">
                  <c:v>6682.92</c:v>
                </c:pt>
                <c:pt idx="2465">
                  <c:v>6740.25</c:v>
                </c:pt>
                <c:pt idx="2466">
                  <c:v>6788.69</c:v>
                </c:pt>
                <c:pt idx="2467">
                  <c:v>6765.04</c:v>
                </c:pt>
                <c:pt idx="2468">
                  <c:v>6814.06</c:v>
                </c:pt>
                <c:pt idx="2469">
                  <c:v>6832.76</c:v>
                </c:pt>
                <c:pt idx="2470">
                  <c:v>6798.12</c:v>
                </c:pt>
                <c:pt idx="2471">
                  <c:v>6862.26</c:v>
                </c:pt>
                <c:pt idx="2472">
                  <c:v>6823.43</c:v>
                </c:pt>
                <c:pt idx="2473">
                  <c:v>6892.49</c:v>
                </c:pt>
                <c:pt idx="2474">
                  <c:v>6776.39</c:v>
                </c:pt>
                <c:pt idx="2475">
                  <c:v>6680.78</c:v>
                </c:pt>
                <c:pt idx="2476">
                  <c:v>6673.15</c:v>
                </c:pt>
                <c:pt idx="2477">
                  <c:v>6554.14</c:v>
                </c:pt>
                <c:pt idx="2478">
                  <c:v>6465.26</c:v>
                </c:pt>
                <c:pt idx="2479">
                  <c:v>6661.3</c:v>
                </c:pt>
                <c:pt idx="2480">
                  <c:v>6627.25</c:v>
                </c:pt>
                <c:pt idx="2481">
                  <c:v>6531.71</c:v>
                </c:pt>
                <c:pt idx="2482">
                  <c:v>6470.06</c:v>
                </c:pt>
                <c:pt idx="2483">
                  <c:v>6619.43</c:v>
                </c:pt>
                <c:pt idx="2484">
                  <c:v>6615.9</c:v>
                </c:pt>
                <c:pt idx="2485">
                  <c:v>6620.87</c:v>
                </c:pt>
                <c:pt idx="2486">
                  <c:v>6802.81</c:v>
                </c:pt>
                <c:pt idx="2487">
                  <c:v>6748.22</c:v>
                </c:pt>
                <c:pt idx="2488">
                  <c:v>6767.9</c:v>
                </c:pt>
                <c:pt idx="2489">
                  <c:v>6924.68</c:v>
                </c:pt>
                <c:pt idx="2490">
                  <c:v>6926.57</c:v>
                </c:pt>
                <c:pt idx="2491">
                  <c:v>7077.44</c:v>
                </c:pt>
                <c:pt idx="2492">
                  <c:v>7059.07</c:v>
                </c:pt>
                <c:pt idx="2493">
                  <c:v>7088.64</c:v>
                </c:pt>
                <c:pt idx="2494">
                  <c:v>7128.27</c:v>
                </c:pt>
                <c:pt idx="2495">
                  <c:v>7136.3</c:v>
                </c:pt>
                <c:pt idx="2496">
                  <c:v>7083.7</c:v>
                </c:pt>
                <c:pt idx="2497">
                  <c:v>7010.2</c:v>
                </c:pt>
                <c:pt idx="2498">
                  <c:v>6959.5</c:v>
                </c:pt>
                <c:pt idx="2499">
                  <c:v>6851.69</c:v>
                </c:pt>
                <c:pt idx="2500">
                  <c:v>6742.1</c:v>
                </c:pt>
                <c:pt idx="2501">
                  <c:v>6966.65</c:v>
                </c:pt>
                <c:pt idx="2502">
                  <c:v>6961.09</c:v>
                </c:pt>
                <c:pt idx="2503">
                  <c:v>6811.49</c:v>
                </c:pt>
                <c:pt idx="2504">
                  <c:v>6752.29</c:v>
                </c:pt>
                <c:pt idx="2505">
                  <c:v>6605.53</c:v>
                </c:pt>
                <c:pt idx="2506">
                  <c:v>6666.06</c:v>
                </c:pt>
                <c:pt idx="2507">
                  <c:v>6510.54</c:v>
                </c:pt>
                <c:pt idx="2508">
                  <c:v>6596.93</c:v>
                </c:pt>
                <c:pt idx="2509">
                  <c:v>6664.18</c:v>
                </c:pt>
                <c:pt idx="2510">
                  <c:v>6696.91</c:v>
                </c:pt>
                <c:pt idx="2511">
                  <c:v>6625.56</c:v>
                </c:pt>
                <c:pt idx="2512">
                  <c:v>6598.32</c:v>
                </c:pt>
                <c:pt idx="2513">
                  <c:v>6372.33</c:v>
                </c:pt>
                <c:pt idx="2514">
                  <c:v>6512.91</c:v>
                </c:pt>
                <c:pt idx="2515">
                  <c:v>6408.1</c:v>
                </c:pt>
                <c:pt idx="2516">
                  <c:v>6637.09</c:v>
                </c:pt>
                <c:pt idx="2517">
                  <c:v>6622.25</c:v>
                </c:pt>
                <c:pt idx="2518">
                  <c:v>6583.13</c:v>
                </c:pt>
                <c:pt idx="2519">
                  <c:v>6691.25</c:v>
                </c:pt>
                <c:pt idx="2520">
                  <c:v>6782.52</c:v>
                </c:pt>
                <c:pt idx="2521">
                  <c:v>6733.59</c:v>
                </c:pt>
                <c:pt idx="2522">
                  <c:v>6620.21</c:v>
                </c:pt>
                <c:pt idx="2523">
                  <c:v>6475.84</c:v>
                </c:pt>
                <c:pt idx="2524">
                  <c:v>6331.3</c:v>
                </c:pt>
                <c:pt idx="2525">
                  <c:v>6390.25</c:v>
                </c:pt>
                <c:pt idx="2526">
                  <c:v>6479.28</c:v>
                </c:pt>
                <c:pt idx="2527">
                  <c:v>6248.76</c:v>
                </c:pt>
                <c:pt idx="2528">
                  <c:v>6200.71</c:v>
                </c:pt>
                <c:pt idx="2529">
                  <c:v>6251.4</c:v>
                </c:pt>
                <c:pt idx="2530">
                  <c:v>6328.16</c:v>
                </c:pt>
                <c:pt idx="2531">
                  <c:v>6371.64</c:v>
                </c:pt>
                <c:pt idx="2532">
                  <c:v>6433.61</c:v>
                </c:pt>
                <c:pt idx="2533">
                  <c:v>6289.82</c:v>
                </c:pt>
                <c:pt idx="2534">
                  <c:v>6434.96</c:v>
                </c:pt>
                <c:pt idx="2535">
                  <c:v>6376.54</c:v>
                </c:pt>
                <c:pt idx="2536">
                  <c:v>6382.31</c:v>
                </c:pt>
                <c:pt idx="2537">
                  <c:v>6392.17</c:v>
                </c:pt>
                <c:pt idx="2538">
                  <c:v>6404.52</c:v>
                </c:pt>
                <c:pt idx="2539">
                  <c:v>6320.07</c:v>
                </c:pt>
                <c:pt idx="2540">
                  <c:v>6465.21</c:v>
                </c:pt>
                <c:pt idx="2541">
                  <c:v>6490.03</c:v>
                </c:pt>
                <c:pt idx="2542">
                  <c:v>6522.87</c:v>
                </c:pt>
                <c:pt idx="2543">
                  <c:v>6502.89</c:v>
                </c:pt>
                <c:pt idx="2544">
                  <c:v>6653.38</c:v>
                </c:pt>
                <c:pt idx="2545">
                  <c:v>6635.76</c:v>
                </c:pt>
                <c:pt idx="2546">
                  <c:v>6651.53</c:v>
                </c:pt>
                <c:pt idx="2547">
                  <c:v>6675</c:v>
                </c:pt>
                <c:pt idx="2548">
                  <c:v>6722.41</c:v>
                </c:pt>
                <c:pt idx="2549">
                  <c:v>6706.67</c:v>
                </c:pt>
                <c:pt idx="2550">
                  <c:v>6727.49</c:v>
                </c:pt>
                <c:pt idx="2551">
                  <c:v>6695.2</c:v>
                </c:pt>
                <c:pt idx="2552">
                  <c:v>6750.96</c:v>
                </c:pt>
                <c:pt idx="2553">
                  <c:v>6739.3</c:v>
                </c:pt>
                <c:pt idx="2554">
                  <c:v>6795.14</c:v>
                </c:pt>
                <c:pt idx="2555">
                  <c:v>6704.68</c:v>
                </c:pt>
                <c:pt idx="2556">
                  <c:v>6638.2</c:v>
                </c:pt>
                <c:pt idx="2557">
                  <c:v>6628.07</c:v>
                </c:pt>
                <c:pt idx="2558">
                  <c:v>6693.03</c:v>
                </c:pt>
                <c:pt idx="2559">
                  <c:v>6578.96</c:v>
                </c:pt>
                <c:pt idx="2560">
                  <c:v>6636.81</c:v>
                </c:pt>
                <c:pt idx="2561">
                  <c:v>6497.07</c:v>
                </c:pt>
                <c:pt idx="2562">
                  <c:v>6564.91</c:v>
                </c:pt>
                <c:pt idx="2563">
                  <c:v>6557.93</c:v>
                </c:pt>
                <c:pt idx="2564">
                  <c:v>6479.87</c:v>
                </c:pt>
                <c:pt idx="2565">
                  <c:v>6591.67</c:v>
                </c:pt>
                <c:pt idx="2566">
                  <c:v>6439.26</c:v>
                </c:pt>
                <c:pt idx="2567">
                  <c:v>6472.21</c:v>
                </c:pt>
                <c:pt idx="2568">
                  <c:v>6451.57</c:v>
                </c:pt>
                <c:pt idx="2569">
                  <c:v>6347.99</c:v>
                </c:pt>
                <c:pt idx="2570">
                  <c:v>6277.99</c:v>
                </c:pt>
                <c:pt idx="2571">
                  <c:v>6075.34</c:v>
                </c:pt>
                <c:pt idx="2572">
                  <c:v>6189.07</c:v>
                </c:pt>
                <c:pt idx="2573">
                  <c:v>6220.48</c:v>
                </c:pt>
                <c:pt idx="2574">
                  <c:v>6208.24</c:v>
                </c:pt>
                <c:pt idx="2575">
                  <c:v>6123.38</c:v>
                </c:pt>
                <c:pt idx="2576">
                  <c:v>6159.02</c:v>
                </c:pt>
                <c:pt idx="2577">
                  <c:v>6216.38</c:v>
                </c:pt>
                <c:pt idx="2578">
                  <c:v>6284.06</c:v>
                </c:pt>
                <c:pt idx="2579">
                  <c:v>6305.64</c:v>
                </c:pt>
                <c:pt idx="2580">
                  <c:v>6267.06</c:v>
                </c:pt>
                <c:pt idx="2581">
                  <c:v>6204.42</c:v>
                </c:pt>
                <c:pt idx="2582">
                  <c:v>6046.56</c:v>
                </c:pt>
                <c:pt idx="2583">
                  <c:v>5962.93</c:v>
                </c:pt>
                <c:pt idx="2584">
                  <c:v>5794.12</c:v>
                </c:pt>
                <c:pt idx="2585">
                  <c:v>5889.95</c:v>
                </c:pt>
                <c:pt idx="2586">
                  <c:v>5734.49</c:v>
                </c:pt>
                <c:pt idx="2587">
                  <c:v>5657.29</c:v>
                </c:pt>
                <c:pt idx="2588">
                  <c:v>5782.16</c:v>
                </c:pt>
                <c:pt idx="2589">
                  <c:v>5622.09</c:v>
                </c:pt>
                <c:pt idx="2590">
                  <c:v>5388.02</c:v>
                </c:pt>
                <c:pt idx="2591">
                  <c:v>5544.67</c:v>
                </c:pt>
                <c:pt idx="2592">
                  <c:v>5726.97</c:v>
                </c:pt>
                <c:pt idx="2593">
                  <c:v>5938.21</c:v>
                </c:pt>
                <c:pt idx="2594">
                  <c:v>5817.52</c:v>
                </c:pt>
                <c:pt idx="2595">
                  <c:v>5879.3</c:v>
                </c:pt>
                <c:pt idx="2596">
                  <c:v>5829.95</c:v>
                </c:pt>
                <c:pt idx="2597">
                  <c:v>5760.76</c:v>
                </c:pt>
                <c:pt idx="2598">
                  <c:v>5553.46</c:v>
                </c:pt>
                <c:pt idx="2599">
                  <c:v>5597.66</c:v>
                </c:pt>
                <c:pt idx="2600">
                  <c:v>5773.34</c:v>
                </c:pt>
                <c:pt idx="2601">
                  <c:v>5698.88</c:v>
                </c:pt>
                <c:pt idx="2602">
                  <c:v>5781.01</c:v>
                </c:pt>
                <c:pt idx="2603">
                  <c:v>5913.84</c:v>
                </c:pt>
                <c:pt idx="2604">
                  <c:v>5951.16</c:v>
                </c:pt>
                <c:pt idx="2605">
                  <c:v>6002.3</c:v>
                </c:pt>
                <c:pt idx="2606">
                  <c:v>5935.58</c:v>
                </c:pt>
                <c:pt idx="2607">
                  <c:v>6164.88</c:v>
                </c:pt>
                <c:pt idx="2608">
                  <c:v>6181.91</c:v>
                </c:pt>
                <c:pt idx="2609">
                  <c:v>6127.97</c:v>
                </c:pt>
                <c:pt idx="2610">
                  <c:v>6051.48</c:v>
                </c:pt>
                <c:pt idx="2611">
                  <c:v>6124.57</c:v>
                </c:pt>
                <c:pt idx="2612">
                  <c:v>6115.19</c:v>
                </c:pt>
                <c:pt idx="2613">
                  <c:v>6123.66</c:v>
                </c:pt>
                <c:pt idx="2614">
                  <c:v>6175.24</c:v>
                </c:pt>
                <c:pt idx="2615">
                  <c:v>6264.51</c:v>
                </c:pt>
                <c:pt idx="2616">
                  <c:v>6213.84</c:v>
                </c:pt>
                <c:pt idx="2617">
                  <c:v>6089.17</c:v>
                </c:pt>
                <c:pt idx="2618">
                  <c:v>6138.28</c:v>
                </c:pt>
                <c:pt idx="2619">
                  <c:v>6122.62</c:v>
                </c:pt>
                <c:pt idx="2620">
                  <c:v>6108.72</c:v>
                </c:pt>
                <c:pt idx="2621">
                  <c:v>6063.94</c:v>
                </c:pt>
                <c:pt idx="2622">
                  <c:v>6165.18</c:v>
                </c:pt>
                <c:pt idx="2623">
                  <c:v>6141.02</c:v>
                </c:pt>
                <c:pt idx="2624">
                  <c:v>6064.68</c:v>
                </c:pt>
                <c:pt idx="2625">
                  <c:v>6070.38</c:v>
                </c:pt>
                <c:pt idx="2626">
                  <c:v>6148.44</c:v>
                </c:pt>
                <c:pt idx="2627">
                  <c:v>6173.81</c:v>
                </c:pt>
                <c:pt idx="2628">
                  <c:v>6186.87</c:v>
                </c:pt>
                <c:pt idx="2629">
                  <c:v>6249.87</c:v>
                </c:pt>
                <c:pt idx="2630">
                  <c:v>6270.59</c:v>
                </c:pt>
                <c:pt idx="2631">
                  <c:v>6215.25</c:v>
                </c:pt>
                <c:pt idx="2632">
                  <c:v>6278.9</c:v>
                </c:pt>
                <c:pt idx="2633">
                  <c:v>6223.57</c:v>
                </c:pt>
                <c:pt idx="2634">
                  <c:v>6216.83</c:v>
                </c:pt>
                <c:pt idx="2635">
                  <c:v>6120.33</c:v>
                </c:pt>
                <c:pt idx="2636">
                  <c:v>6041.22</c:v>
                </c:pt>
                <c:pt idx="2637">
                  <c:v>6123.26</c:v>
                </c:pt>
                <c:pt idx="2638">
                  <c:v>6125.17</c:v>
                </c:pt>
                <c:pt idx="2639">
                  <c:v>6177.74</c:v>
                </c:pt>
                <c:pt idx="2640">
                  <c:v>6242.13</c:v>
                </c:pt>
                <c:pt idx="2641">
                  <c:v>6192.44</c:v>
                </c:pt>
                <c:pt idx="2642">
                  <c:v>6184.25</c:v>
                </c:pt>
                <c:pt idx="2643">
                  <c:v>6187.21</c:v>
                </c:pt>
                <c:pt idx="2644">
                  <c:v>6162.74</c:v>
                </c:pt>
                <c:pt idx="2645">
                  <c:v>6059.15</c:v>
                </c:pt>
                <c:pt idx="2646">
                  <c:v>6111.94</c:v>
                </c:pt>
                <c:pt idx="2647">
                  <c:v>6031.27</c:v>
                </c:pt>
                <c:pt idx="2648">
                  <c:v>5915.18</c:v>
                </c:pt>
                <c:pt idx="2649">
                  <c:v>5869.04</c:v>
                </c:pt>
                <c:pt idx="2650">
                  <c:v>5922.53</c:v>
                </c:pt>
                <c:pt idx="2651">
                  <c:v>5876.04</c:v>
                </c:pt>
                <c:pt idx="2652">
                  <c:v>5926.38</c:v>
                </c:pt>
                <c:pt idx="2653">
                  <c:v>5941.77</c:v>
                </c:pt>
                <c:pt idx="2654">
                  <c:v>5902.32</c:v>
                </c:pt>
                <c:pt idx="2655">
                  <c:v>5847.79</c:v>
                </c:pt>
                <c:pt idx="2656">
                  <c:v>5833.1</c:v>
                </c:pt>
                <c:pt idx="2657">
                  <c:v>5971.77</c:v>
                </c:pt>
                <c:pt idx="2658">
                  <c:v>6058.38</c:v>
                </c:pt>
                <c:pt idx="2659">
                  <c:v>6109.5</c:v>
                </c:pt>
                <c:pt idx="2660">
                  <c:v>6056.84</c:v>
                </c:pt>
                <c:pt idx="2661">
                  <c:v>6015.72</c:v>
                </c:pt>
                <c:pt idx="2662">
                  <c:v>5999.19</c:v>
                </c:pt>
                <c:pt idx="2663">
                  <c:v>5862.1</c:v>
                </c:pt>
                <c:pt idx="2664">
                  <c:v>5869.86</c:v>
                </c:pt>
                <c:pt idx="2665">
                  <c:v>5816.32</c:v>
                </c:pt>
                <c:pt idx="2666">
                  <c:v>5801.8</c:v>
                </c:pt>
                <c:pt idx="2667">
                  <c:v>5889.88</c:v>
                </c:pt>
                <c:pt idx="2668">
                  <c:v>5928.01</c:v>
                </c:pt>
                <c:pt idx="2669">
                  <c:v>5853.76</c:v>
                </c:pt>
                <c:pt idx="2670">
                  <c:v>5846.66</c:v>
                </c:pt>
                <c:pt idx="2671">
                  <c:v>5728.37</c:v>
                </c:pt>
                <c:pt idx="2672">
                  <c:v>5829.69</c:v>
                </c:pt>
                <c:pt idx="2673">
                  <c:v>5764.06</c:v>
                </c:pt>
                <c:pt idx="2674">
                  <c:v>5791.73</c:v>
                </c:pt>
                <c:pt idx="2675">
                  <c:v>5663.26</c:v>
                </c:pt>
                <c:pt idx="2676">
                  <c:v>5582.76</c:v>
                </c:pt>
                <c:pt idx="2677">
                  <c:v>5675.76</c:v>
                </c:pt>
                <c:pt idx="2678">
                  <c:v>5754.86</c:v>
                </c:pt>
                <c:pt idx="2679">
                  <c:v>5792.19</c:v>
                </c:pt>
                <c:pt idx="2680">
                  <c:v>5861.19</c:v>
                </c:pt>
                <c:pt idx="2681">
                  <c:v>5835.23</c:v>
                </c:pt>
                <c:pt idx="2682">
                  <c:v>5777.28</c:v>
                </c:pt>
                <c:pt idx="2683">
                  <c:v>5735.88</c:v>
                </c:pt>
                <c:pt idx="2684">
                  <c:v>5746.04</c:v>
                </c:pt>
                <c:pt idx="2685">
                  <c:v>5752.51</c:v>
                </c:pt>
                <c:pt idx="2686">
                  <c:v>5614.51</c:v>
                </c:pt>
                <c:pt idx="2687">
                  <c:v>5512.28</c:v>
                </c:pt>
                <c:pt idx="2688">
                  <c:v>5433.49</c:v>
                </c:pt>
                <c:pt idx="2689">
                  <c:v>5453.77</c:v>
                </c:pt>
                <c:pt idx="2690">
                  <c:v>5520.71</c:v>
                </c:pt>
                <c:pt idx="2691">
                  <c:v>5455.44</c:v>
                </c:pt>
                <c:pt idx="2692">
                  <c:v>5361.92</c:v>
                </c:pt>
                <c:pt idx="2693">
                  <c:v>5222.12</c:v>
                </c:pt>
                <c:pt idx="2694">
                  <c:v>5207.83</c:v>
                </c:pt>
                <c:pt idx="2695">
                  <c:v>5216.1099999999997</c:v>
                </c:pt>
                <c:pt idx="2696">
                  <c:v>5220.21</c:v>
                </c:pt>
                <c:pt idx="2697">
                  <c:v>5254.04</c:v>
                </c:pt>
                <c:pt idx="2698">
                  <c:v>5387.5</c:v>
                </c:pt>
                <c:pt idx="2699">
                  <c:v>5406.47</c:v>
                </c:pt>
                <c:pt idx="2700">
                  <c:v>5308.78</c:v>
                </c:pt>
                <c:pt idx="2701">
                  <c:v>5305</c:v>
                </c:pt>
                <c:pt idx="2702">
                  <c:v>5162.3999999999996</c:v>
                </c:pt>
                <c:pt idx="2703">
                  <c:v>5188.17</c:v>
                </c:pt>
                <c:pt idx="2704">
                  <c:v>5094.1000000000004</c:v>
                </c:pt>
                <c:pt idx="2705">
                  <c:v>5208.1000000000004</c:v>
                </c:pt>
                <c:pt idx="2706">
                  <c:v>5048.08</c:v>
                </c:pt>
                <c:pt idx="2707">
                  <c:v>4875.37</c:v>
                </c:pt>
                <c:pt idx="2708">
                  <c:v>4730.67</c:v>
                </c:pt>
                <c:pt idx="2709">
                  <c:v>4670.13</c:v>
                </c:pt>
                <c:pt idx="2710">
                  <c:v>4369.57</c:v>
                </c:pt>
                <c:pt idx="2711">
                  <c:v>4392.3999999999996</c:v>
                </c:pt>
                <c:pt idx="2712">
                  <c:v>4115.9799999999996</c:v>
                </c:pt>
                <c:pt idx="2713">
                  <c:v>4243.68</c:v>
                </c:pt>
                <c:pt idx="2714">
                  <c:v>4194.8500000000004</c:v>
                </c:pt>
                <c:pt idx="2715">
                  <c:v>4041.8</c:v>
                </c:pt>
                <c:pt idx="2716">
                  <c:v>3809.67</c:v>
                </c:pt>
                <c:pt idx="2717">
                  <c:v>3787.23</c:v>
                </c:pt>
                <c:pt idx="2718">
                  <c:v>4038.69</c:v>
                </c:pt>
                <c:pt idx="2719">
                  <c:v>4009.12</c:v>
                </c:pt>
                <c:pt idx="2720">
                  <c:v>4095.32</c:v>
                </c:pt>
                <c:pt idx="2721">
                  <c:v>4184.5</c:v>
                </c:pt>
                <c:pt idx="2722">
                  <c:v>4308.1499999999996</c:v>
                </c:pt>
                <c:pt idx="2723">
                  <c:v>4239.97</c:v>
                </c:pt>
                <c:pt idx="2724">
                  <c:v>4304.2</c:v>
                </c:pt>
                <c:pt idx="2725">
                  <c:v>4436.66</c:v>
                </c:pt>
                <c:pt idx="2726">
                  <c:v>4548.13</c:v>
                </c:pt>
                <c:pt idx="2727">
                  <c:v>4487.6899999999996</c:v>
                </c:pt>
                <c:pt idx="2728">
                  <c:v>4495.1499999999996</c:v>
                </c:pt>
                <c:pt idx="2729">
                  <c:v>4472.42</c:v>
                </c:pt>
                <c:pt idx="2730">
                  <c:v>4613.1899999999996</c:v>
                </c:pt>
                <c:pt idx="2731">
                  <c:v>4718.46</c:v>
                </c:pt>
                <c:pt idx="2732">
                  <c:v>4625.13</c:v>
                </c:pt>
                <c:pt idx="2733">
                  <c:v>4548.4799999999996</c:v>
                </c:pt>
                <c:pt idx="2734">
                  <c:v>4626.4799999999996</c:v>
                </c:pt>
                <c:pt idx="2735">
                  <c:v>4644.82</c:v>
                </c:pt>
                <c:pt idx="2736">
                  <c:v>4574.37</c:v>
                </c:pt>
                <c:pt idx="2737">
                  <c:v>4513.53</c:v>
                </c:pt>
                <c:pt idx="2738">
                  <c:v>4619.32</c:v>
                </c:pt>
                <c:pt idx="2739">
                  <c:v>4704.22</c:v>
                </c:pt>
                <c:pt idx="2740">
                  <c:v>4811.82</c:v>
                </c:pt>
                <c:pt idx="2741">
                  <c:v>4715.6000000000004</c:v>
                </c:pt>
                <c:pt idx="2742">
                  <c:v>4820.26</c:v>
                </c:pt>
                <c:pt idx="2743">
                  <c:v>4660.3500000000004</c:v>
                </c:pt>
                <c:pt idx="2744">
                  <c:v>4543.9799999999996</c:v>
                </c:pt>
                <c:pt idx="2745">
                  <c:v>4559.13</c:v>
                </c:pt>
                <c:pt idx="2746">
                  <c:v>4636.13</c:v>
                </c:pt>
                <c:pt idx="2747">
                  <c:v>4583.3100000000004</c:v>
                </c:pt>
                <c:pt idx="2748">
                  <c:v>4755.1099999999997</c:v>
                </c:pt>
                <c:pt idx="2749">
                  <c:v>4707.6499999999996</c:v>
                </c:pt>
                <c:pt idx="2750">
                  <c:v>4860.66</c:v>
                </c:pt>
                <c:pt idx="2751">
                  <c:v>4993.57</c:v>
                </c:pt>
                <c:pt idx="2752">
                  <c:v>4910.07</c:v>
                </c:pt>
                <c:pt idx="2753">
                  <c:v>4820.37</c:v>
                </c:pt>
                <c:pt idx="2754">
                  <c:v>4946.97</c:v>
                </c:pt>
                <c:pt idx="2755">
                  <c:v>4953.53</c:v>
                </c:pt>
                <c:pt idx="2756">
                  <c:v>5006.33</c:v>
                </c:pt>
                <c:pt idx="2757">
                  <c:v>5062.6400000000003</c:v>
                </c:pt>
                <c:pt idx="2758">
                  <c:v>5185.1000000000004</c:v>
                </c:pt>
                <c:pt idx="2759">
                  <c:v>5096.18</c:v>
                </c:pt>
                <c:pt idx="2760">
                  <c:v>5087.03</c:v>
                </c:pt>
                <c:pt idx="2761">
                  <c:v>5124.54</c:v>
                </c:pt>
                <c:pt idx="2762">
                  <c:v>5150.97</c:v>
                </c:pt>
                <c:pt idx="2763">
                  <c:v>5114.12</c:v>
                </c:pt>
                <c:pt idx="2764">
                  <c:v>5059.57</c:v>
                </c:pt>
                <c:pt idx="2765">
                  <c:v>4915.95</c:v>
                </c:pt>
                <c:pt idx="2766">
                  <c:v>4936.08</c:v>
                </c:pt>
                <c:pt idx="2767">
                  <c:v>4989.91</c:v>
                </c:pt>
                <c:pt idx="2768">
                  <c:v>4988.4399999999996</c:v>
                </c:pt>
                <c:pt idx="2769">
                  <c:v>5013.99</c:v>
                </c:pt>
                <c:pt idx="2770">
                  <c:v>5262.75</c:v>
                </c:pt>
                <c:pt idx="2771">
                  <c:v>5271.29</c:v>
                </c:pt>
                <c:pt idx="2772">
                  <c:v>5199.03</c:v>
                </c:pt>
                <c:pt idx="2773">
                  <c:v>5124.68</c:v>
                </c:pt>
                <c:pt idx="2774">
                  <c:v>5146.45</c:v>
                </c:pt>
                <c:pt idx="2775">
                  <c:v>5062.5600000000004</c:v>
                </c:pt>
                <c:pt idx="2776">
                  <c:v>4966.05</c:v>
                </c:pt>
                <c:pt idx="2777">
                  <c:v>4909.42</c:v>
                </c:pt>
                <c:pt idx="2778">
                  <c:v>5067.99</c:v>
                </c:pt>
                <c:pt idx="2779">
                  <c:v>5039.6400000000003</c:v>
                </c:pt>
                <c:pt idx="2780">
                  <c:v>4984.6899999999996</c:v>
                </c:pt>
                <c:pt idx="2781">
                  <c:v>4934.1400000000003</c:v>
                </c:pt>
                <c:pt idx="2782">
                  <c:v>5019.01</c:v>
                </c:pt>
                <c:pt idx="2783">
                  <c:v>5117.13</c:v>
                </c:pt>
                <c:pt idx="2784">
                  <c:v>5160.1000000000004</c:v>
                </c:pt>
                <c:pt idx="2785">
                  <c:v>5167.88</c:v>
                </c:pt>
                <c:pt idx="2786">
                  <c:v>5270.29</c:v>
                </c:pt>
                <c:pt idx="2787">
                  <c:v>5318.73</c:v>
                </c:pt>
                <c:pt idx="2788">
                  <c:v>5232.22</c:v>
                </c:pt>
                <c:pt idx="2789">
                  <c:v>5236.37</c:v>
                </c:pt>
                <c:pt idx="2790">
                  <c:v>5288.21</c:v>
                </c:pt>
                <c:pt idx="2791">
                  <c:v>5228.1099999999997</c:v>
                </c:pt>
                <c:pt idx="2792">
                  <c:v>5209.97</c:v>
                </c:pt>
                <c:pt idx="2793">
                  <c:v>5065.84</c:v>
                </c:pt>
                <c:pt idx="2794">
                  <c:v>5062.04</c:v>
                </c:pt>
                <c:pt idx="2795">
                  <c:v>4984.2</c:v>
                </c:pt>
                <c:pt idx="2796">
                  <c:v>5133.3999999999996</c:v>
                </c:pt>
                <c:pt idx="2797">
                  <c:v>5122.2299999999996</c:v>
                </c:pt>
                <c:pt idx="2798">
                  <c:v>5069.74</c:v>
                </c:pt>
                <c:pt idx="2799">
                  <c:v>5045.72</c:v>
                </c:pt>
                <c:pt idx="2800">
                  <c:v>5163.03</c:v>
                </c:pt>
                <c:pt idx="2801">
                  <c:v>5170.4399999999996</c:v>
                </c:pt>
                <c:pt idx="2802">
                  <c:v>5156.63</c:v>
                </c:pt>
                <c:pt idx="2803">
                  <c:v>5159.0200000000004</c:v>
                </c:pt>
                <c:pt idx="2804">
                  <c:v>5084.5200000000004</c:v>
                </c:pt>
                <c:pt idx="2805">
                  <c:v>5052.2</c:v>
                </c:pt>
                <c:pt idx="2806">
                  <c:v>5107.6099999999997</c:v>
                </c:pt>
                <c:pt idx="2807">
                  <c:v>5097.0600000000004</c:v>
                </c:pt>
                <c:pt idx="2808">
                  <c:v>4984.4799999999996</c:v>
                </c:pt>
                <c:pt idx="2809">
                  <c:v>4936.75</c:v>
                </c:pt>
                <c:pt idx="2810">
                  <c:v>4804.41</c:v>
                </c:pt>
                <c:pt idx="2811">
                  <c:v>4862.62</c:v>
                </c:pt>
                <c:pt idx="2812">
                  <c:v>4835.95</c:v>
                </c:pt>
                <c:pt idx="2813">
                  <c:v>4940</c:v>
                </c:pt>
                <c:pt idx="2814">
                  <c:v>4884.78</c:v>
                </c:pt>
                <c:pt idx="2815">
                  <c:v>4935.3500000000004</c:v>
                </c:pt>
                <c:pt idx="2816">
                  <c:v>4973.7700000000004</c:v>
                </c:pt>
                <c:pt idx="2817">
                  <c:v>4862.6000000000004</c:v>
                </c:pt>
                <c:pt idx="2818">
                  <c:v>4871.76</c:v>
                </c:pt>
                <c:pt idx="2819">
                  <c:v>4764.05</c:v>
                </c:pt>
                <c:pt idx="2820">
                  <c:v>4780.24</c:v>
                </c:pt>
                <c:pt idx="2821">
                  <c:v>4850.7299999999996</c:v>
                </c:pt>
                <c:pt idx="2822">
                  <c:v>4745.58</c:v>
                </c:pt>
                <c:pt idx="2823">
                  <c:v>4863.54</c:v>
                </c:pt>
                <c:pt idx="2824">
                  <c:v>4897.75</c:v>
                </c:pt>
                <c:pt idx="2825">
                  <c:v>4960.22</c:v>
                </c:pt>
                <c:pt idx="2826">
                  <c:v>5039.08</c:v>
                </c:pt>
                <c:pt idx="2827">
                  <c:v>5097.41</c:v>
                </c:pt>
                <c:pt idx="2828">
                  <c:v>5245.84</c:v>
                </c:pt>
                <c:pt idx="2829">
                  <c:v>5228.67</c:v>
                </c:pt>
                <c:pt idx="2830">
                  <c:v>5285.26</c:v>
                </c:pt>
                <c:pt idx="2831">
                  <c:v>5289.43</c:v>
                </c:pt>
                <c:pt idx="2832">
                  <c:v>5359.55</c:v>
                </c:pt>
                <c:pt idx="2833">
                  <c:v>5340.67</c:v>
                </c:pt>
                <c:pt idx="2834">
                  <c:v>5275.81</c:v>
                </c:pt>
                <c:pt idx="2835">
                  <c:v>5245.99</c:v>
                </c:pt>
                <c:pt idx="2836">
                  <c:v>5276.87</c:v>
                </c:pt>
                <c:pt idx="2837">
                  <c:v>5401.11</c:v>
                </c:pt>
                <c:pt idx="2838">
                  <c:v>5426.04</c:v>
                </c:pt>
                <c:pt idx="2839">
                  <c:v>5462.55</c:v>
                </c:pt>
                <c:pt idx="2840">
                  <c:v>5364.7</c:v>
                </c:pt>
                <c:pt idx="2841">
                  <c:v>5348.68</c:v>
                </c:pt>
                <c:pt idx="2842">
                  <c:v>5366.13</c:v>
                </c:pt>
                <c:pt idx="2843">
                  <c:v>5317.38</c:v>
                </c:pt>
                <c:pt idx="2844">
                  <c:v>5390.59</c:v>
                </c:pt>
                <c:pt idx="2845">
                  <c:v>5348</c:v>
                </c:pt>
                <c:pt idx="2846">
                  <c:v>5397.29</c:v>
                </c:pt>
                <c:pt idx="2847">
                  <c:v>5311.08</c:v>
                </c:pt>
                <c:pt idx="2848">
                  <c:v>5281.84</c:v>
                </c:pt>
                <c:pt idx="2849">
                  <c:v>5254.95</c:v>
                </c:pt>
                <c:pt idx="2850">
                  <c:v>5260.53</c:v>
                </c:pt>
                <c:pt idx="2851">
                  <c:v>5180.33</c:v>
                </c:pt>
                <c:pt idx="2852">
                  <c:v>5170.25</c:v>
                </c:pt>
                <c:pt idx="2853">
                  <c:v>5265.36</c:v>
                </c:pt>
                <c:pt idx="2854">
                  <c:v>5162.96</c:v>
                </c:pt>
                <c:pt idx="2855">
                  <c:v>5189.6499999999996</c:v>
                </c:pt>
                <c:pt idx="2856">
                  <c:v>5244.2</c:v>
                </c:pt>
                <c:pt idx="2857">
                  <c:v>5343.88</c:v>
                </c:pt>
                <c:pt idx="2858">
                  <c:v>5318.55</c:v>
                </c:pt>
                <c:pt idx="2859">
                  <c:v>5262.88</c:v>
                </c:pt>
                <c:pt idx="2860">
                  <c:v>5284.55</c:v>
                </c:pt>
                <c:pt idx="2861">
                  <c:v>5205.4799999999996</c:v>
                </c:pt>
                <c:pt idx="2862">
                  <c:v>5192.1000000000004</c:v>
                </c:pt>
                <c:pt idx="2863">
                  <c:v>5160.1400000000003</c:v>
                </c:pt>
                <c:pt idx="2864">
                  <c:v>5054.41</c:v>
                </c:pt>
                <c:pt idx="2865">
                  <c:v>5000.38</c:v>
                </c:pt>
                <c:pt idx="2866">
                  <c:v>5008.04</c:v>
                </c:pt>
                <c:pt idx="2867">
                  <c:v>5041.2</c:v>
                </c:pt>
                <c:pt idx="2868">
                  <c:v>4964.5600000000004</c:v>
                </c:pt>
                <c:pt idx="2869">
                  <c:v>4882.7700000000004</c:v>
                </c:pt>
                <c:pt idx="2870">
                  <c:v>4880.67</c:v>
                </c:pt>
                <c:pt idx="2871">
                  <c:v>4872.41</c:v>
                </c:pt>
                <c:pt idx="2872">
                  <c:v>5028.59</c:v>
                </c:pt>
                <c:pt idx="2873">
                  <c:v>4966.4799999999996</c:v>
                </c:pt>
                <c:pt idx="2874">
                  <c:v>4871.7</c:v>
                </c:pt>
                <c:pt idx="2875">
                  <c:v>4975.4799999999996</c:v>
                </c:pt>
                <c:pt idx="2876">
                  <c:v>5049.08</c:v>
                </c:pt>
                <c:pt idx="2877">
                  <c:v>5072.3900000000003</c:v>
                </c:pt>
                <c:pt idx="2878">
                  <c:v>5047.45</c:v>
                </c:pt>
                <c:pt idx="2879">
                  <c:v>5036.41</c:v>
                </c:pt>
                <c:pt idx="2880">
                  <c:v>4998.99</c:v>
                </c:pt>
                <c:pt idx="2881">
                  <c:v>4984.6099999999997</c:v>
                </c:pt>
                <c:pt idx="2882">
                  <c:v>4919.5</c:v>
                </c:pt>
                <c:pt idx="2883">
                  <c:v>4879.5</c:v>
                </c:pt>
                <c:pt idx="2884">
                  <c:v>4899.13</c:v>
                </c:pt>
                <c:pt idx="2885">
                  <c:v>4961.54</c:v>
                </c:pt>
                <c:pt idx="2886">
                  <c:v>4918.58</c:v>
                </c:pt>
                <c:pt idx="2887">
                  <c:v>4881.8</c:v>
                </c:pt>
                <c:pt idx="2888">
                  <c:v>4761.96</c:v>
                </c:pt>
                <c:pt idx="2889">
                  <c:v>4818.3</c:v>
                </c:pt>
                <c:pt idx="2890">
                  <c:v>4747.95</c:v>
                </c:pt>
                <c:pt idx="2891">
                  <c:v>4625.79</c:v>
                </c:pt>
                <c:pt idx="2892">
                  <c:v>4624.3100000000004</c:v>
                </c:pt>
                <c:pt idx="2893">
                  <c:v>4657.5200000000004</c:v>
                </c:pt>
                <c:pt idx="2894">
                  <c:v>4610.18</c:v>
                </c:pt>
                <c:pt idx="2895">
                  <c:v>4589.26</c:v>
                </c:pt>
                <c:pt idx="2896">
                  <c:v>4606.09</c:v>
                </c:pt>
                <c:pt idx="2897">
                  <c:v>4510.1899999999996</c:v>
                </c:pt>
                <c:pt idx="2898">
                  <c:v>4470.1400000000003</c:v>
                </c:pt>
                <c:pt idx="2899">
                  <c:v>4303.8500000000004</c:v>
                </c:pt>
                <c:pt idx="2900">
                  <c:v>4475.1000000000004</c:v>
                </c:pt>
                <c:pt idx="2901">
                  <c:v>4433.8500000000004</c:v>
                </c:pt>
                <c:pt idx="2902">
                  <c:v>4354.82</c:v>
                </c:pt>
                <c:pt idx="2903">
                  <c:v>4245.68</c:v>
                </c:pt>
                <c:pt idx="2904">
                  <c:v>4232.3999999999996</c:v>
                </c:pt>
                <c:pt idx="2905">
                  <c:v>4127.21</c:v>
                </c:pt>
                <c:pt idx="2906">
                  <c:v>4202.97</c:v>
                </c:pt>
                <c:pt idx="2907">
                  <c:v>4099.05</c:v>
                </c:pt>
                <c:pt idx="2908">
                  <c:v>4259.43</c:v>
                </c:pt>
                <c:pt idx="2909">
                  <c:v>4382.5600000000004</c:v>
                </c:pt>
                <c:pt idx="2910">
                  <c:v>4366.8100000000004</c:v>
                </c:pt>
                <c:pt idx="2911">
                  <c:v>4195.95</c:v>
                </c:pt>
                <c:pt idx="2912">
                  <c:v>4138.1499999999996</c:v>
                </c:pt>
                <c:pt idx="2913">
                  <c:v>4258.62</c:v>
                </c:pt>
                <c:pt idx="2914">
                  <c:v>4483.03</c:v>
                </c:pt>
                <c:pt idx="2915">
                  <c:v>4442.33</c:v>
                </c:pt>
                <c:pt idx="2916">
                  <c:v>4369.76</c:v>
                </c:pt>
                <c:pt idx="2917">
                  <c:v>4190.22</c:v>
                </c:pt>
                <c:pt idx="2918">
                  <c:v>4118.5</c:v>
                </c:pt>
                <c:pt idx="2919">
                  <c:v>4130.8</c:v>
                </c:pt>
                <c:pt idx="2920">
                  <c:v>3912.51</c:v>
                </c:pt>
                <c:pt idx="2921">
                  <c:v>3977.75</c:v>
                </c:pt>
                <c:pt idx="2922">
                  <c:v>4092.82</c:v>
                </c:pt>
                <c:pt idx="2923">
                  <c:v>4100.75</c:v>
                </c:pt>
                <c:pt idx="2924">
                  <c:v>3891.88</c:v>
                </c:pt>
                <c:pt idx="2925">
                  <c:v>3691.43</c:v>
                </c:pt>
                <c:pt idx="2926">
                  <c:v>3515.83</c:v>
                </c:pt>
                <c:pt idx="2927">
                  <c:v>3632.66</c:v>
                </c:pt>
                <c:pt idx="2928">
                  <c:v>3520.46</c:v>
                </c:pt>
                <c:pt idx="2929">
                  <c:v>3579</c:v>
                </c:pt>
                <c:pt idx="2930">
                  <c:v>3859.78</c:v>
                </c:pt>
                <c:pt idx="2931">
                  <c:v>3878.94</c:v>
                </c:pt>
                <c:pt idx="2932">
                  <c:v>3700.14</c:v>
                </c:pt>
                <c:pt idx="2933">
                  <c:v>3606.45</c:v>
                </c:pt>
                <c:pt idx="2934">
                  <c:v>3532.49</c:v>
                </c:pt>
                <c:pt idx="2935">
                  <c:v>3332.65</c:v>
                </c:pt>
                <c:pt idx="2936">
                  <c:v>3568.64</c:v>
                </c:pt>
                <c:pt idx="2937">
                  <c:v>3465.54</c:v>
                </c:pt>
                <c:pt idx="2938">
                  <c:v>3679.26</c:v>
                </c:pt>
                <c:pt idx="2939">
                  <c:v>3760.86</c:v>
                </c:pt>
                <c:pt idx="2940">
                  <c:v>3647.13</c:v>
                </c:pt>
                <c:pt idx="2941">
                  <c:v>3683.21</c:v>
                </c:pt>
                <c:pt idx="2942">
                  <c:v>3589.92</c:v>
                </c:pt>
                <c:pt idx="2943">
                  <c:v>3665.74</c:v>
                </c:pt>
                <c:pt idx="2944">
                  <c:v>3684.69</c:v>
                </c:pt>
                <c:pt idx="2945">
                  <c:v>3837.67</c:v>
                </c:pt>
                <c:pt idx="2946">
                  <c:v>3768.51</c:v>
                </c:pt>
                <c:pt idx="2947">
                  <c:v>3868.17</c:v>
                </c:pt>
                <c:pt idx="2948">
                  <c:v>3906.55</c:v>
                </c:pt>
                <c:pt idx="2949">
                  <c:v>3828.26</c:v>
                </c:pt>
                <c:pt idx="2950">
                  <c:v>3783.84</c:v>
                </c:pt>
                <c:pt idx="2951">
                  <c:v>3851.34</c:v>
                </c:pt>
                <c:pt idx="2952">
                  <c:v>3682.84</c:v>
                </c:pt>
                <c:pt idx="2953">
                  <c:v>3660.95</c:v>
                </c:pt>
                <c:pt idx="2954">
                  <c:v>3712.94</c:v>
                </c:pt>
                <c:pt idx="2955">
                  <c:v>3609.41</c:v>
                </c:pt>
                <c:pt idx="2956">
                  <c:v>3398.99</c:v>
                </c:pt>
                <c:pt idx="2957">
                  <c:v>3425.9</c:v>
                </c:pt>
                <c:pt idx="2958">
                  <c:v>3354.71</c:v>
                </c:pt>
                <c:pt idx="2959">
                  <c:v>3485.68</c:v>
                </c:pt>
                <c:pt idx="2960">
                  <c:v>3429.22</c:v>
                </c:pt>
                <c:pt idx="2961">
                  <c:v>3494.69</c:v>
                </c:pt>
                <c:pt idx="2962">
                  <c:v>3584.69</c:v>
                </c:pt>
                <c:pt idx="2963">
                  <c:v>3421.87</c:v>
                </c:pt>
                <c:pt idx="2964">
                  <c:v>3361.28</c:v>
                </c:pt>
                <c:pt idx="2965">
                  <c:v>3319.05</c:v>
                </c:pt>
                <c:pt idx="2966">
                  <c:v>3289.13</c:v>
                </c:pt>
                <c:pt idx="2967">
                  <c:v>3124.92</c:v>
                </c:pt>
                <c:pt idx="2968">
                  <c:v>3007.47</c:v>
                </c:pt>
                <c:pt idx="2969">
                  <c:v>3065.73</c:v>
                </c:pt>
                <c:pt idx="2970">
                  <c:v>2914.25</c:v>
                </c:pt>
                <c:pt idx="2971">
                  <c:v>2873.21</c:v>
                </c:pt>
                <c:pt idx="2972">
                  <c:v>2962.5</c:v>
                </c:pt>
                <c:pt idx="2973">
                  <c:v>3020.6</c:v>
                </c:pt>
                <c:pt idx="2974">
                  <c:v>2918.9</c:v>
                </c:pt>
                <c:pt idx="2975">
                  <c:v>2769.03</c:v>
                </c:pt>
                <c:pt idx="2976">
                  <c:v>2865.23</c:v>
                </c:pt>
                <c:pt idx="2977">
                  <c:v>2926.74</c:v>
                </c:pt>
                <c:pt idx="2978">
                  <c:v>2813.3</c:v>
                </c:pt>
                <c:pt idx="2979">
                  <c:v>2714.62</c:v>
                </c:pt>
                <c:pt idx="2980">
                  <c:v>2667.39</c:v>
                </c:pt>
                <c:pt idx="2981">
                  <c:v>2622.09</c:v>
                </c:pt>
                <c:pt idx="2982">
                  <c:v>2597.88</c:v>
                </c:pt>
                <c:pt idx="2983">
                  <c:v>2733.19</c:v>
                </c:pt>
                <c:pt idx="2984">
                  <c:v>2930.74</c:v>
                </c:pt>
                <c:pt idx="2985">
                  <c:v>2850.11</c:v>
                </c:pt>
                <c:pt idx="2986">
                  <c:v>3048.27</c:v>
                </c:pt>
                <c:pt idx="2987">
                  <c:v>3008.93</c:v>
                </c:pt>
                <c:pt idx="2988">
                  <c:v>3172.46</c:v>
                </c:pt>
                <c:pt idx="2989">
                  <c:v>3163.67</c:v>
                </c:pt>
                <c:pt idx="2990">
                  <c:v>3282.67</c:v>
                </c:pt>
                <c:pt idx="2991">
                  <c:v>3155.97</c:v>
                </c:pt>
                <c:pt idx="2992">
                  <c:v>3015.42</c:v>
                </c:pt>
                <c:pt idx="2993">
                  <c:v>3090.01</c:v>
                </c:pt>
                <c:pt idx="2994">
                  <c:v>3102.01</c:v>
                </c:pt>
                <c:pt idx="2995">
                  <c:v>3198.96</c:v>
                </c:pt>
                <c:pt idx="2996">
                  <c:v>3022.01</c:v>
                </c:pt>
                <c:pt idx="2997">
                  <c:v>3113.59</c:v>
                </c:pt>
                <c:pt idx="2998">
                  <c:v>3152.85</c:v>
                </c:pt>
                <c:pt idx="2999">
                  <c:v>3165.16</c:v>
                </c:pt>
                <c:pt idx="3000">
                  <c:v>3327.94</c:v>
                </c:pt>
                <c:pt idx="3001">
                  <c:v>3351.32</c:v>
                </c:pt>
                <c:pt idx="3002">
                  <c:v>3298.84</c:v>
                </c:pt>
                <c:pt idx="3003">
                  <c:v>3155.66</c:v>
                </c:pt>
                <c:pt idx="3004">
                  <c:v>3079.1</c:v>
                </c:pt>
                <c:pt idx="3005">
                  <c:v>3042.06</c:v>
                </c:pt>
                <c:pt idx="3006">
                  <c:v>3115.88</c:v>
                </c:pt>
                <c:pt idx="3007">
                  <c:v>3066.42</c:v>
                </c:pt>
                <c:pt idx="3008">
                  <c:v>3188.39</c:v>
                </c:pt>
                <c:pt idx="3009">
                  <c:v>3191.76</c:v>
                </c:pt>
                <c:pt idx="3010">
                  <c:v>3218.36</c:v>
                </c:pt>
                <c:pt idx="3011">
                  <c:v>3206.93</c:v>
                </c:pt>
                <c:pt idx="3012">
                  <c:v>3212.99</c:v>
                </c:pt>
                <c:pt idx="3013">
                  <c:v>3304.63</c:v>
                </c:pt>
                <c:pt idx="3014">
                  <c:v>3320.88</c:v>
                </c:pt>
                <c:pt idx="3015">
                  <c:v>3299.24</c:v>
                </c:pt>
                <c:pt idx="3016">
                  <c:v>3191.63</c:v>
                </c:pt>
                <c:pt idx="3017">
                  <c:v>3346.14</c:v>
                </c:pt>
                <c:pt idx="3018">
                  <c:v>3360.76</c:v>
                </c:pt>
                <c:pt idx="3019">
                  <c:v>3320.32</c:v>
                </c:pt>
                <c:pt idx="3020">
                  <c:v>3380.2</c:v>
                </c:pt>
                <c:pt idx="3021">
                  <c:v>3280.49</c:v>
                </c:pt>
                <c:pt idx="3022">
                  <c:v>3320.75</c:v>
                </c:pt>
                <c:pt idx="3023">
                  <c:v>3224.74</c:v>
                </c:pt>
                <c:pt idx="3024">
                  <c:v>3207.53</c:v>
                </c:pt>
                <c:pt idx="3025">
                  <c:v>3065.57</c:v>
                </c:pt>
                <c:pt idx="3026">
                  <c:v>3167.99</c:v>
                </c:pt>
                <c:pt idx="3027">
                  <c:v>3196.05</c:v>
                </c:pt>
                <c:pt idx="3028">
                  <c:v>3111.88</c:v>
                </c:pt>
                <c:pt idx="3029">
                  <c:v>3077.06</c:v>
                </c:pt>
                <c:pt idx="3030">
                  <c:v>3205.29</c:v>
                </c:pt>
                <c:pt idx="3031">
                  <c:v>3139.97</c:v>
                </c:pt>
                <c:pt idx="3032">
                  <c:v>3022.69</c:v>
                </c:pt>
                <c:pt idx="3033">
                  <c:v>2961.41</c:v>
                </c:pt>
                <c:pt idx="3034">
                  <c:v>3024.22</c:v>
                </c:pt>
                <c:pt idx="3035">
                  <c:v>3000.84</c:v>
                </c:pt>
                <c:pt idx="3036">
                  <c:v>2840</c:v>
                </c:pt>
                <c:pt idx="3037">
                  <c:v>2892.63</c:v>
                </c:pt>
                <c:pt idx="3038">
                  <c:v>3105.04</c:v>
                </c:pt>
                <c:pt idx="3039">
                  <c:v>3092.94</c:v>
                </c:pt>
                <c:pt idx="3040">
                  <c:v>3157.25</c:v>
                </c:pt>
                <c:pt idx="3041">
                  <c:v>3112.77</c:v>
                </c:pt>
                <c:pt idx="3042">
                  <c:v>2993</c:v>
                </c:pt>
                <c:pt idx="3043">
                  <c:v>3037.68</c:v>
                </c:pt>
                <c:pt idx="3044">
                  <c:v>3037.33</c:v>
                </c:pt>
                <c:pt idx="3045">
                  <c:v>3060.65</c:v>
                </c:pt>
                <c:pt idx="3046">
                  <c:v>3098.72</c:v>
                </c:pt>
                <c:pt idx="3047">
                  <c:v>3049.4</c:v>
                </c:pt>
                <c:pt idx="3048">
                  <c:v>3054.11</c:v>
                </c:pt>
                <c:pt idx="3049">
                  <c:v>2918.82</c:v>
                </c:pt>
                <c:pt idx="3050">
                  <c:v>2893.55</c:v>
                </c:pt>
                <c:pt idx="3051">
                  <c:v>2870.57</c:v>
                </c:pt>
                <c:pt idx="3052">
                  <c:v>2803.25</c:v>
                </c:pt>
                <c:pt idx="3053">
                  <c:v>2811.22</c:v>
                </c:pt>
                <c:pt idx="3054">
                  <c:v>2717.82</c:v>
                </c:pt>
                <c:pt idx="3055">
                  <c:v>2643.8</c:v>
                </c:pt>
                <c:pt idx="3056">
                  <c:v>2671.36</c:v>
                </c:pt>
                <c:pt idx="3057">
                  <c:v>2706.57</c:v>
                </c:pt>
                <c:pt idx="3058">
                  <c:v>2693.78</c:v>
                </c:pt>
                <c:pt idx="3059">
                  <c:v>2747.83</c:v>
                </c:pt>
                <c:pt idx="3060">
                  <c:v>2751.99</c:v>
                </c:pt>
                <c:pt idx="3061">
                  <c:v>2632.98</c:v>
                </c:pt>
                <c:pt idx="3062">
                  <c:v>2725.88</c:v>
                </c:pt>
                <c:pt idx="3063">
                  <c:v>2649</c:v>
                </c:pt>
                <c:pt idx="3064">
                  <c:v>2569.34</c:v>
                </c:pt>
                <c:pt idx="3065">
                  <c:v>2586.09</c:v>
                </c:pt>
                <c:pt idx="3066">
                  <c:v>2627</c:v>
                </c:pt>
                <c:pt idx="3067">
                  <c:v>2571.25</c:v>
                </c:pt>
                <c:pt idx="3068">
                  <c:v>2555.27</c:v>
                </c:pt>
                <c:pt idx="3069">
                  <c:v>2674.46</c:v>
                </c:pt>
                <c:pt idx="3070">
                  <c:v>2708.97</c:v>
                </c:pt>
                <c:pt idx="3071">
                  <c:v>2740.14</c:v>
                </c:pt>
                <c:pt idx="3072">
                  <c:v>2624.65</c:v>
                </c:pt>
                <c:pt idx="3073">
                  <c:v>2591.2600000000002</c:v>
                </c:pt>
                <c:pt idx="3074">
                  <c:v>2648.87</c:v>
                </c:pt>
                <c:pt idx="3075">
                  <c:v>2571.35</c:v>
                </c:pt>
                <c:pt idx="3076">
                  <c:v>2485.5</c:v>
                </c:pt>
                <c:pt idx="3077">
                  <c:v>2450.1999999999998</c:v>
                </c:pt>
                <c:pt idx="3078">
                  <c:v>2513.2199999999998</c:v>
                </c:pt>
                <c:pt idx="3079">
                  <c:v>2547.0500000000002</c:v>
                </c:pt>
                <c:pt idx="3080">
                  <c:v>2549.65</c:v>
                </c:pt>
                <c:pt idx="3081">
                  <c:v>2501.0300000000002</c:v>
                </c:pt>
                <c:pt idx="3082">
                  <c:v>2498.02</c:v>
                </c:pt>
                <c:pt idx="3083">
                  <c:v>2437.5100000000002</c:v>
                </c:pt>
                <c:pt idx="3084">
                  <c:v>2431.66</c:v>
                </c:pt>
                <c:pt idx="3085">
                  <c:v>2329.04</c:v>
                </c:pt>
                <c:pt idx="3086">
                  <c:v>2305.3000000000002</c:v>
                </c:pt>
                <c:pt idx="3087">
                  <c:v>2202.96</c:v>
                </c:pt>
                <c:pt idx="3088">
                  <c:v>2354.31</c:v>
                </c:pt>
                <c:pt idx="3089">
                  <c:v>2403.19</c:v>
                </c:pt>
                <c:pt idx="3090">
                  <c:v>2487.12</c:v>
                </c:pt>
                <c:pt idx="3091">
                  <c:v>2584.61</c:v>
                </c:pt>
                <c:pt idx="3092">
                  <c:v>2615.2199999999998</c:v>
                </c:pt>
                <c:pt idx="3093">
                  <c:v>2604.85</c:v>
                </c:pt>
                <c:pt idx="3094">
                  <c:v>2715.06</c:v>
                </c:pt>
                <c:pt idx="3095">
                  <c:v>2548.37</c:v>
                </c:pt>
                <c:pt idx="3096">
                  <c:v>2636.1</c:v>
                </c:pt>
                <c:pt idx="3097">
                  <c:v>2579.33</c:v>
                </c:pt>
                <c:pt idx="3098">
                  <c:v>2584.0500000000002</c:v>
                </c:pt>
                <c:pt idx="3099">
                  <c:v>2520.84</c:v>
                </c:pt>
                <c:pt idx="3100">
                  <c:v>2423.87</c:v>
                </c:pt>
                <c:pt idx="3101">
                  <c:v>2450.19</c:v>
                </c:pt>
                <c:pt idx="3102">
                  <c:v>2589.35</c:v>
                </c:pt>
                <c:pt idx="3103">
                  <c:v>2569.81</c:v>
                </c:pt>
                <c:pt idx="3104">
                  <c:v>2654.07</c:v>
                </c:pt>
                <c:pt idx="3105">
                  <c:v>2808.94</c:v>
                </c:pt>
                <c:pt idx="3106">
                  <c:v>2767.79</c:v>
                </c:pt>
                <c:pt idx="3107">
                  <c:v>2734.1</c:v>
                </c:pt>
                <c:pt idx="3108">
                  <c:v>2697.1</c:v>
                </c:pt>
                <c:pt idx="3109">
                  <c:v>2733.95</c:v>
                </c:pt>
                <c:pt idx="3110">
                  <c:v>2776.78</c:v>
                </c:pt>
                <c:pt idx="3111">
                  <c:v>2834.12</c:v>
                </c:pt>
                <c:pt idx="3112">
                  <c:v>2824.68</c:v>
                </c:pt>
                <c:pt idx="3113">
                  <c:v>2899.78</c:v>
                </c:pt>
                <c:pt idx="3114">
                  <c:v>2960.96</c:v>
                </c:pt>
                <c:pt idx="3115">
                  <c:v>2974.4</c:v>
                </c:pt>
                <c:pt idx="3116">
                  <c:v>2891.62</c:v>
                </c:pt>
                <c:pt idx="3117">
                  <c:v>2838.23</c:v>
                </c:pt>
                <c:pt idx="3118">
                  <c:v>2953.92</c:v>
                </c:pt>
                <c:pt idx="3119">
                  <c:v>2908.96</c:v>
                </c:pt>
                <c:pt idx="3120">
                  <c:v>2942.04</c:v>
                </c:pt>
                <c:pt idx="3121">
                  <c:v>2986</c:v>
                </c:pt>
                <c:pt idx="3122">
                  <c:v>3013.04</c:v>
                </c:pt>
                <c:pt idx="3123">
                  <c:v>3066.95</c:v>
                </c:pt>
                <c:pt idx="3124">
                  <c:v>3005.64</c:v>
                </c:pt>
                <c:pt idx="3125">
                  <c:v>2886.08</c:v>
                </c:pt>
                <c:pt idx="3126">
                  <c:v>2956.59</c:v>
                </c:pt>
                <c:pt idx="3127">
                  <c:v>2937.26</c:v>
                </c:pt>
                <c:pt idx="3128">
                  <c:v>2909.95</c:v>
                </c:pt>
                <c:pt idx="3129">
                  <c:v>2926.03</c:v>
                </c:pt>
                <c:pt idx="3130">
                  <c:v>2989.38</c:v>
                </c:pt>
                <c:pt idx="3131">
                  <c:v>2989.08</c:v>
                </c:pt>
                <c:pt idx="3132">
                  <c:v>2850.68</c:v>
                </c:pt>
                <c:pt idx="3133">
                  <c:v>2838.93</c:v>
                </c:pt>
                <c:pt idx="3134">
                  <c:v>2827.25</c:v>
                </c:pt>
                <c:pt idx="3135">
                  <c:v>2865.21</c:v>
                </c:pt>
                <c:pt idx="3136">
                  <c:v>2822.83</c:v>
                </c:pt>
                <c:pt idx="3137">
                  <c:v>2828.28</c:v>
                </c:pt>
                <c:pt idx="3138">
                  <c:v>2873.6</c:v>
                </c:pt>
                <c:pt idx="3139">
                  <c:v>2919.54</c:v>
                </c:pt>
                <c:pt idx="3140">
                  <c:v>2906.71</c:v>
                </c:pt>
                <c:pt idx="3141">
                  <c:v>2982.68</c:v>
                </c:pt>
                <c:pt idx="3142">
                  <c:v>3064.56</c:v>
                </c:pt>
                <c:pt idx="3143">
                  <c:v>3026.82</c:v>
                </c:pt>
                <c:pt idx="3144">
                  <c:v>3080.02</c:v>
                </c:pt>
                <c:pt idx="3145">
                  <c:v>3039.76</c:v>
                </c:pt>
                <c:pt idx="3146">
                  <c:v>3127.46</c:v>
                </c:pt>
                <c:pt idx="3147">
                  <c:v>3094.76</c:v>
                </c:pt>
                <c:pt idx="3148">
                  <c:v>3140.34</c:v>
                </c:pt>
                <c:pt idx="3149">
                  <c:v>3178.15</c:v>
                </c:pt>
                <c:pt idx="3150">
                  <c:v>3219.47</c:v>
                </c:pt>
                <c:pt idx="3151">
                  <c:v>3168.71</c:v>
                </c:pt>
                <c:pt idx="3152">
                  <c:v>3264.5</c:v>
                </c:pt>
                <c:pt idx="3153">
                  <c:v>3286.48</c:v>
                </c:pt>
                <c:pt idx="3154">
                  <c:v>3304.15</c:v>
                </c:pt>
                <c:pt idx="3155">
                  <c:v>3247.11</c:v>
                </c:pt>
                <c:pt idx="3156">
                  <c:v>3238.98</c:v>
                </c:pt>
                <c:pt idx="3157">
                  <c:v>3186.39</c:v>
                </c:pt>
                <c:pt idx="3158">
                  <c:v>3217.34</c:v>
                </c:pt>
                <c:pt idx="3159">
                  <c:v>3198.82</c:v>
                </c:pt>
                <c:pt idx="3160">
                  <c:v>3241.22</c:v>
                </c:pt>
                <c:pt idx="3161">
                  <c:v>3224.66</c:v>
                </c:pt>
                <c:pt idx="3162">
                  <c:v>3220.58</c:v>
                </c:pt>
                <c:pt idx="3163">
                  <c:v>3146.55</c:v>
                </c:pt>
                <c:pt idx="3164">
                  <c:v>3241.04</c:v>
                </c:pt>
                <c:pt idx="3165">
                  <c:v>3241.92</c:v>
                </c:pt>
                <c:pt idx="3166">
                  <c:v>3239.61</c:v>
                </c:pt>
                <c:pt idx="3167">
                  <c:v>3332.87</c:v>
                </c:pt>
                <c:pt idx="3168">
                  <c:v>3344.46</c:v>
                </c:pt>
                <c:pt idx="3169">
                  <c:v>3322.43</c:v>
                </c:pt>
                <c:pt idx="3170">
                  <c:v>3269.84</c:v>
                </c:pt>
                <c:pt idx="3171">
                  <c:v>3326.51</c:v>
                </c:pt>
                <c:pt idx="3172">
                  <c:v>3396.07</c:v>
                </c:pt>
                <c:pt idx="3173">
                  <c:v>3384.69</c:v>
                </c:pt>
                <c:pt idx="3174">
                  <c:v>3387.64</c:v>
                </c:pt>
                <c:pt idx="3175">
                  <c:v>3330.68</c:v>
                </c:pt>
                <c:pt idx="3176">
                  <c:v>3366.71</c:v>
                </c:pt>
                <c:pt idx="3177">
                  <c:v>3287</c:v>
                </c:pt>
                <c:pt idx="3178">
                  <c:v>3318.15</c:v>
                </c:pt>
                <c:pt idx="3179">
                  <c:v>3304.48</c:v>
                </c:pt>
                <c:pt idx="3180">
                  <c:v>3374.82</c:v>
                </c:pt>
                <c:pt idx="3181">
                  <c:v>3356.89</c:v>
                </c:pt>
                <c:pt idx="3182">
                  <c:v>3417.77</c:v>
                </c:pt>
                <c:pt idx="3183">
                  <c:v>3428.12</c:v>
                </c:pt>
                <c:pt idx="3184">
                  <c:v>3429.03</c:v>
                </c:pt>
                <c:pt idx="3185">
                  <c:v>3487.86</c:v>
                </c:pt>
                <c:pt idx="3186">
                  <c:v>3438.89</c:v>
                </c:pt>
                <c:pt idx="3187">
                  <c:v>3405.31</c:v>
                </c:pt>
                <c:pt idx="3188">
                  <c:v>3438.36</c:v>
                </c:pt>
                <c:pt idx="3189">
                  <c:v>3375.66</c:v>
                </c:pt>
                <c:pt idx="3190">
                  <c:v>3331.89</c:v>
                </c:pt>
                <c:pt idx="3191">
                  <c:v>3332.24</c:v>
                </c:pt>
                <c:pt idx="3192">
                  <c:v>3339.58</c:v>
                </c:pt>
                <c:pt idx="3193">
                  <c:v>3381.71</c:v>
                </c:pt>
                <c:pt idx="3194">
                  <c:v>3398.89</c:v>
                </c:pt>
                <c:pt idx="3195">
                  <c:v>3452.7</c:v>
                </c:pt>
                <c:pt idx="3196">
                  <c:v>3443.93</c:v>
                </c:pt>
                <c:pt idx="3197">
                  <c:v>3507.23</c:v>
                </c:pt>
                <c:pt idx="3198">
                  <c:v>3504.53</c:v>
                </c:pt>
                <c:pt idx="3199">
                  <c:v>3501.23</c:v>
                </c:pt>
                <c:pt idx="3200">
                  <c:v>3565.47</c:v>
                </c:pt>
                <c:pt idx="3201">
                  <c:v>3549.05</c:v>
                </c:pt>
                <c:pt idx="3202">
                  <c:v>3500.09</c:v>
                </c:pt>
                <c:pt idx="3203">
                  <c:v>3455.48</c:v>
                </c:pt>
                <c:pt idx="3204">
                  <c:v>3483.08</c:v>
                </c:pt>
                <c:pt idx="3205">
                  <c:v>3492.67</c:v>
                </c:pt>
                <c:pt idx="3206">
                  <c:v>3484.58</c:v>
                </c:pt>
                <c:pt idx="3207">
                  <c:v>3571.22</c:v>
                </c:pt>
                <c:pt idx="3208">
                  <c:v>3567.2</c:v>
                </c:pt>
                <c:pt idx="3209">
                  <c:v>3647.51</c:v>
                </c:pt>
                <c:pt idx="3210">
                  <c:v>3668.67</c:v>
                </c:pt>
                <c:pt idx="3211">
                  <c:v>3607.71</c:v>
                </c:pt>
                <c:pt idx="3212">
                  <c:v>3641.53</c:v>
                </c:pt>
                <c:pt idx="3213">
                  <c:v>3594.4</c:v>
                </c:pt>
                <c:pt idx="3214">
                  <c:v>3536.87</c:v>
                </c:pt>
                <c:pt idx="3215">
                  <c:v>3566.85</c:v>
                </c:pt>
                <c:pt idx="3216">
                  <c:v>3508.06</c:v>
                </c:pt>
                <c:pt idx="3217">
                  <c:v>3516.31</c:v>
                </c:pt>
                <c:pt idx="3218">
                  <c:v>3564.75</c:v>
                </c:pt>
                <c:pt idx="3219">
                  <c:v>3561.03</c:v>
                </c:pt>
                <c:pt idx="3220">
                  <c:v>3612.02</c:v>
                </c:pt>
                <c:pt idx="3221">
                  <c:v>3578.7</c:v>
                </c:pt>
                <c:pt idx="3222">
                  <c:v>3456.27</c:v>
                </c:pt>
                <c:pt idx="3223">
                  <c:v>3411.02</c:v>
                </c:pt>
                <c:pt idx="3224">
                  <c:v>3307.34</c:v>
                </c:pt>
                <c:pt idx="3225">
                  <c:v>3326.27</c:v>
                </c:pt>
                <c:pt idx="3226">
                  <c:v>3324.85</c:v>
                </c:pt>
                <c:pt idx="3227">
                  <c:v>3323.38</c:v>
                </c:pt>
                <c:pt idx="3228">
                  <c:v>3256.78</c:v>
                </c:pt>
                <c:pt idx="3229">
                  <c:v>3329.83</c:v>
                </c:pt>
                <c:pt idx="3230">
                  <c:v>3276.64</c:v>
                </c:pt>
                <c:pt idx="3231">
                  <c:v>3419</c:v>
                </c:pt>
                <c:pt idx="3232">
                  <c:v>3404.91</c:v>
                </c:pt>
                <c:pt idx="3233">
                  <c:v>3355.78</c:v>
                </c:pt>
                <c:pt idx="3234">
                  <c:v>3395.33</c:v>
                </c:pt>
                <c:pt idx="3235">
                  <c:v>3481.9</c:v>
                </c:pt>
                <c:pt idx="3236">
                  <c:v>3471.25</c:v>
                </c:pt>
                <c:pt idx="3237">
                  <c:v>3538.39</c:v>
                </c:pt>
                <c:pt idx="3238">
                  <c:v>3538.13</c:v>
                </c:pt>
                <c:pt idx="3239">
                  <c:v>3570.58</c:v>
                </c:pt>
                <c:pt idx="3240">
                  <c:v>3577.72</c:v>
                </c:pt>
                <c:pt idx="3241">
                  <c:v>3516.67</c:v>
                </c:pt>
                <c:pt idx="3242">
                  <c:v>3559.33</c:v>
                </c:pt>
                <c:pt idx="3243">
                  <c:v>3580.08</c:v>
                </c:pt>
                <c:pt idx="3244">
                  <c:v>3490.6</c:v>
                </c:pt>
                <c:pt idx="3245">
                  <c:v>3497.14</c:v>
                </c:pt>
                <c:pt idx="3246">
                  <c:v>3452.64</c:v>
                </c:pt>
                <c:pt idx="3247">
                  <c:v>3517.1</c:v>
                </c:pt>
                <c:pt idx="3248">
                  <c:v>3586.93</c:v>
                </c:pt>
                <c:pt idx="3249">
                  <c:v>3615.42</c:v>
                </c:pt>
                <c:pt idx="3250">
                  <c:v>3639.66</c:v>
                </c:pt>
                <c:pt idx="3251">
                  <c:v>3655.99</c:v>
                </c:pt>
                <c:pt idx="3252">
                  <c:v>3744.5</c:v>
                </c:pt>
                <c:pt idx="3253">
                  <c:v>3741.71</c:v>
                </c:pt>
                <c:pt idx="3254">
                  <c:v>3717.7</c:v>
                </c:pt>
                <c:pt idx="3255">
                  <c:v>3733.93</c:v>
                </c:pt>
                <c:pt idx="3256">
                  <c:v>3782.56</c:v>
                </c:pt>
                <c:pt idx="3257">
                  <c:v>3746.24</c:v>
                </c:pt>
                <c:pt idx="3258">
                  <c:v>3729.87</c:v>
                </c:pt>
                <c:pt idx="3259">
                  <c:v>3748.34</c:v>
                </c:pt>
                <c:pt idx="3260">
                  <c:v>3765.59</c:v>
                </c:pt>
                <c:pt idx="3261">
                  <c:v>3797.4</c:v>
                </c:pt>
                <c:pt idx="3262">
                  <c:v>3674.54</c:v>
                </c:pt>
                <c:pt idx="3263">
                  <c:v>3666.28</c:v>
                </c:pt>
                <c:pt idx="3264">
                  <c:v>3652.29</c:v>
                </c:pt>
                <c:pt idx="3265">
                  <c:v>3638.04</c:v>
                </c:pt>
                <c:pt idx="3266">
                  <c:v>3642.25</c:v>
                </c:pt>
                <c:pt idx="3267">
                  <c:v>3737.09</c:v>
                </c:pt>
                <c:pt idx="3268">
                  <c:v>3733.16</c:v>
                </c:pt>
                <c:pt idx="3269">
                  <c:v>3712.98</c:v>
                </c:pt>
                <c:pt idx="3270">
                  <c:v>3744.99</c:v>
                </c:pt>
                <c:pt idx="3271">
                  <c:v>3745.95</c:v>
                </c:pt>
                <c:pt idx="3272">
                  <c:v>3821.2</c:v>
                </c:pt>
                <c:pt idx="3273">
                  <c:v>3809.26</c:v>
                </c:pt>
                <c:pt idx="3274">
                  <c:v>3875.66</c:v>
                </c:pt>
                <c:pt idx="3275">
                  <c:v>3874.78</c:v>
                </c:pt>
                <c:pt idx="3276">
                  <c:v>3841.73</c:v>
                </c:pt>
                <c:pt idx="3277">
                  <c:v>3806.54</c:v>
                </c:pt>
                <c:pt idx="3278">
                  <c:v>3846.18</c:v>
                </c:pt>
                <c:pt idx="3279">
                  <c:v>3820.92</c:v>
                </c:pt>
                <c:pt idx="3280">
                  <c:v>3858.85</c:v>
                </c:pt>
                <c:pt idx="3281">
                  <c:v>3860.13</c:v>
                </c:pt>
                <c:pt idx="3282">
                  <c:v>3875.47</c:v>
                </c:pt>
                <c:pt idx="3283">
                  <c:v>3865.98</c:v>
                </c:pt>
                <c:pt idx="3284">
                  <c:v>3847.57</c:v>
                </c:pt>
                <c:pt idx="3285">
                  <c:v>3870.88</c:v>
                </c:pt>
                <c:pt idx="3286">
                  <c:v>3898.42</c:v>
                </c:pt>
                <c:pt idx="3287">
                  <c:v>3876.94</c:v>
                </c:pt>
                <c:pt idx="3288">
                  <c:v>3903.34</c:v>
                </c:pt>
                <c:pt idx="3289">
                  <c:v>3952.72</c:v>
                </c:pt>
                <c:pt idx="3290">
                  <c:v>3965.16</c:v>
                </c:pt>
                <c:pt idx="3291">
                  <c:v>4018.5</c:v>
                </c:pt>
                <c:pt idx="3292">
                  <c:v>4035.9</c:v>
                </c:pt>
                <c:pt idx="3293">
                  <c:v>4035.44</c:v>
                </c:pt>
                <c:pt idx="3294">
                  <c:v>4004.4</c:v>
                </c:pt>
                <c:pt idx="3295">
                  <c:v>4045.43</c:v>
                </c:pt>
                <c:pt idx="3296">
                  <c:v>4016.18</c:v>
                </c:pt>
                <c:pt idx="3297">
                  <c:v>3995.91</c:v>
                </c:pt>
                <c:pt idx="3298">
                  <c:v>3996.22</c:v>
                </c:pt>
                <c:pt idx="3299">
                  <c:v>4055.21</c:v>
                </c:pt>
                <c:pt idx="3300">
                  <c:v>4068.75</c:v>
                </c:pt>
                <c:pt idx="3301">
                  <c:v>4111.6400000000003</c:v>
                </c:pt>
                <c:pt idx="3302">
                  <c:v>4139.92</c:v>
                </c:pt>
                <c:pt idx="3303">
                  <c:v>4106.41</c:v>
                </c:pt>
                <c:pt idx="3304">
                  <c:v>4138.04</c:v>
                </c:pt>
                <c:pt idx="3305">
                  <c:v>4139.8599999999997</c:v>
                </c:pt>
                <c:pt idx="3306">
                  <c:v>4151.83</c:v>
                </c:pt>
                <c:pt idx="3307">
                  <c:v>4128.68</c:v>
                </c:pt>
                <c:pt idx="3308">
                  <c:v>4134.42</c:v>
                </c:pt>
                <c:pt idx="3309">
                  <c:v>4150.24</c:v>
                </c:pt>
                <c:pt idx="3310">
                  <c:v>4095.71</c:v>
                </c:pt>
                <c:pt idx="3311">
                  <c:v>4058.6</c:v>
                </c:pt>
                <c:pt idx="3312">
                  <c:v>4071.6</c:v>
                </c:pt>
                <c:pt idx="3313">
                  <c:v>4057.51</c:v>
                </c:pt>
                <c:pt idx="3314">
                  <c:v>4028.37</c:v>
                </c:pt>
                <c:pt idx="3315">
                  <c:v>4014.79</c:v>
                </c:pt>
                <c:pt idx="3316">
                  <c:v>4044.99</c:v>
                </c:pt>
                <c:pt idx="3317">
                  <c:v>4098.97</c:v>
                </c:pt>
                <c:pt idx="3318">
                  <c:v>4110.8</c:v>
                </c:pt>
                <c:pt idx="3319">
                  <c:v>4122.16</c:v>
                </c:pt>
                <c:pt idx="3320">
                  <c:v>4121.6499999999996</c:v>
                </c:pt>
                <c:pt idx="3321">
                  <c:v>4057.05</c:v>
                </c:pt>
                <c:pt idx="3322">
                  <c:v>4070.46</c:v>
                </c:pt>
                <c:pt idx="3323">
                  <c:v>4095.86</c:v>
                </c:pt>
                <c:pt idx="3324">
                  <c:v>4095.34</c:v>
                </c:pt>
                <c:pt idx="3325">
                  <c:v>4141.53</c:v>
                </c:pt>
                <c:pt idx="3326">
                  <c:v>4073.35</c:v>
                </c:pt>
                <c:pt idx="3327">
                  <c:v>4068.71</c:v>
                </c:pt>
                <c:pt idx="3328">
                  <c:v>3991.42</c:v>
                </c:pt>
                <c:pt idx="3329">
                  <c:v>3995.34</c:v>
                </c:pt>
                <c:pt idx="3330">
                  <c:v>4007.81</c:v>
                </c:pt>
                <c:pt idx="3331">
                  <c:v>4018.16</c:v>
                </c:pt>
                <c:pt idx="3332">
                  <c:v>4054.43</c:v>
                </c:pt>
                <c:pt idx="3333">
                  <c:v>4100.34</c:v>
                </c:pt>
                <c:pt idx="3334">
                  <c:v>4071.7</c:v>
                </c:pt>
                <c:pt idx="3335">
                  <c:v>4133.78</c:v>
                </c:pt>
                <c:pt idx="3336">
                  <c:v>4126.1400000000003</c:v>
                </c:pt>
                <c:pt idx="3337">
                  <c:v>4145.99</c:v>
                </c:pt>
                <c:pt idx="3338">
                  <c:v>4087.55</c:v>
                </c:pt>
                <c:pt idx="3339">
                  <c:v>4044.7</c:v>
                </c:pt>
                <c:pt idx="3340">
                  <c:v>3904.95</c:v>
                </c:pt>
                <c:pt idx="3341">
                  <c:v>3915.38</c:v>
                </c:pt>
                <c:pt idx="3342">
                  <c:v>3810.76</c:v>
                </c:pt>
                <c:pt idx="3343">
                  <c:v>3822.37</c:v>
                </c:pt>
                <c:pt idx="3344">
                  <c:v>3896.79</c:v>
                </c:pt>
                <c:pt idx="3345">
                  <c:v>3827.43</c:v>
                </c:pt>
                <c:pt idx="3346">
                  <c:v>3819.15</c:v>
                </c:pt>
                <c:pt idx="3347">
                  <c:v>3729.23</c:v>
                </c:pt>
                <c:pt idx="3348">
                  <c:v>3728.82</c:v>
                </c:pt>
                <c:pt idx="3349">
                  <c:v>3726.07</c:v>
                </c:pt>
                <c:pt idx="3350">
                  <c:v>3811.92</c:v>
                </c:pt>
                <c:pt idx="3351">
                  <c:v>3822.33</c:v>
                </c:pt>
                <c:pt idx="3352">
                  <c:v>3881.25</c:v>
                </c:pt>
                <c:pt idx="3353">
                  <c:v>3874.04</c:v>
                </c:pt>
                <c:pt idx="3354">
                  <c:v>3856.7</c:v>
                </c:pt>
                <c:pt idx="3355">
                  <c:v>3924.85</c:v>
                </c:pt>
                <c:pt idx="3356">
                  <c:v>4007.6</c:v>
                </c:pt>
                <c:pt idx="3357">
                  <c:v>4048.6</c:v>
                </c:pt>
                <c:pt idx="3358">
                  <c:v>4022.81</c:v>
                </c:pt>
                <c:pt idx="3359">
                  <c:v>4001.16</c:v>
                </c:pt>
                <c:pt idx="3360">
                  <c:v>4013.53</c:v>
                </c:pt>
                <c:pt idx="3361">
                  <c:v>4071.42</c:v>
                </c:pt>
                <c:pt idx="3362">
                  <c:v>4012.77</c:v>
                </c:pt>
                <c:pt idx="3363">
                  <c:v>4004.61</c:v>
                </c:pt>
                <c:pt idx="3364">
                  <c:v>4033.98</c:v>
                </c:pt>
                <c:pt idx="3365">
                  <c:v>4025.07</c:v>
                </c:pt>
                <c:pt idx="3366">
                  <c:v>4061.13</c:v>
                </c:pt>
                <c:pt idx="3367">
                  <c:v>4026.15</c:v>
                </c:pt>
                <c:pt idx="3368">
                  <c:v>4059.15</c:v>
                </c:pt>
                <c:pt idx="3369">
                  <c:v>4103.62</c:v>
                </c:pt>
                <c:pt idx="3370">
                  <c:v>4125.83</c:v>
                </c:pt>
                <c:pt idx="3371">
                  <c:v>4134.1000000000004</c:v>
                </c:pt>
                <c:pt idx="3372">
                  <c:v>4065.74</c:v>
                </c:pt>
                <c:pt idx="3373">
                  <c:v>4008.91</c:v>
                </c:pt>
                <c:pt idx="3374">
                  <c:v>3985.21</c:v>
                </c:pt>
                <c:pt idx="3375">
                  <c:v>4007.65</c:v>
                </c:pt>
                <c:pt idx="3376">
                  <c:v>3990.75</c:v>
                </c:pt>
                <c:pt idx="3377">
                  <c:v>4022.1</c:v>
                </c:pt>
                <c:pt idx="3378">
                  <c:v>3909.46</c:v>
                </c:pt>
                <c:pt idx="3379">
                  <c:v>3895.64</c:v>
                </c:pt>
                <c:pt idx="3380">
                  <c:v>3784.61</c:v>
                </c:pt>
                <c:pt idx="3381">
                  <c:v>3849.84</c:v>
                </c:pt>
                <c:pt idx="3382">
                  <c:v>3776.24</c:v>
                </c:pt>
                <c:pt idx="3383">
                  <c:v>3824.93</c:v>
                </c:pt>
                <c:pt idx="3384">
                  <c:v>3803.1</c:v>
                </c:pt>
                <c:pt idx="3385">
                  <c:v>3754.37</c:v>
                </c:pt>
                <c:pt idx="3386">
                  <c:v>3789.24</c:v>
                </c:pt>
                <c:pt idx="3387">
                  <c:v>3872.26</c:v>
                </c:pt>
                <c:pt idx="3388">
                  <c:v>3839.32</c:v>
                </c:pt>
                <c:pt idx="3389">
                  <c:v>3831.84</c:v>
                </c:pt>
                <c:pt idx="3390">
                  <c:v>3867.84</c:v>
                </c:pt>
                <c:pt idx="3391">
                  <c:v>3828.07</c:v>
                </c:pt>
                <c:pt idx="3392">
                  <c:v>3867.52</c:v>
                </c:pt>
                <c:pt idx="3393">
                  <c:v>3913.33</c:v>
                </c:pt>
                <c:pt idx="3394">
                  <c:v>3902.72</c:v>
                </c:pt>
                <c:pt idx="3395">
                  <c:v>3921.41</c:v>
                </c:pt>
                <c:pt idx="3396">
                  <c:v>3864.18</c:v>
                </c:pt>
                <c:pt idx="3397">
                  <c:v>3888.31</c:v>
                </c:pt>
                <c:pt idx="3398">
                  <c:v>3917.08</c:v>
                </c:pt>
                <c:pt idx="3399">
                  <c:v>3961.93</c:v>
                </c:pt>
                <c:pt idx="3400">
                  <c:v>4017.81</c:v>
                </c:pt>
                <c:pt idx="3401">
                  <c:v>4018.95</c:v>
                </c:pt>
                <c:pt idx="3402">
                  <c:v>3997.76</c:v>
                </c:pt>
                <c:pt idx="3403">
                  <c:v>4021.64</c:v>
                </c:pt>
                <c:pt idx="3404">
                  <c:v>4014.56</c:v>
                </c:pt>
                <c:pt idx="3405">
                  <c:v>3948.65</c:v>
                </c:pt>
                <c:pt idx="3406">
                  <c:v>3987.3</c:v>
                </c:pt>
                <c:pt idx="3407">
                  <c:v>4003.24</c:v>
                </c:pt>
                <c:pt idx="3408">
                  <c:v>3985.46</c:v>
                </c:pt>
                <c:pt idx="3409">
                  <c:v>3999.79</c:v>
                </c:pt>
                <c:pt idx="3410">
                  <c:v>3989.31</c:v>
                </c:pt>
                <c:pt idx="3411">
                  <c:v>3928.39</c:v>
                </c:pt>
                <c:pt idx="3412">
                  <c:v>3945.1</c:v>
                </c:pt>
                <c:pt idx="3413">
                  <c:v>4007.05</c:v>
                </c:pt>
                <c:pt idx="3414">
                  <c:v>4013.35</c:v>
                </c:pt>
                <c:pt idx="3415">
                  <c:v>4069.35</c:v>
                </c:pt>
                <c:pt idx="3416">
                  <c:v>4069.73</c:v>
                </c:pt>
                <c:pt idx="3417">
                  <c:v>4052.73</c:v>
                </c:pt>
                <c:pt idx="3418">
                  <c:v>4035.02</c:v>
                </c:pt>
                <c:pt idx="3419">
                  <c:v>3998.77</c:v>
                </c:pt>
                <c:pt idx="3420">
                  <c:v>3995.73</c:v>
                </c:pt>
                <c:pt idx="3421">
                  <c:v>3944.88</c:v>
                </c:pt>
                <c:pt idx="3422">
                  <c:v>3930.58</c:v>
                </c:pt>
                <c:pt idx="3423">
                  <c:v>3934.48</c:v>
                </c:pt>
                <c:pt idx="3424">
                  <c:v>3924.49</c:v>
                </c:pt>
                <c:pt idx="3425">
                  <c:v>3893.24</c:v>
                </c:pt>
                <c:pt idx="3426">
                  <c:v>3903.88</c:v>
                </c:pt>
                <c:pt idx="3427">
                  <c:v>3898.84</c:v>
                </c:pt>
                <c:pt idx="3428">
                  <c:v>3847.19</c:v>
                </c:pt>
                <c:pt idx="3429">
                  <c:v>3845.93</c:v>
                </c:pt>
                <c:pt idx="3430">
                  <c:v>3812.63</c:v>
                </c:pt>
                <c:pt idx="3431">
                  <c:v>3837.6</c:v>
                </c:pt>
                <c:pt idx="3432">
                  <c:v>3877.48</c:v>
                </c:pt>
                <c:pt idx="3433">
                  <c:v>3801.05</c:v>
                </c:pt>
                <c:pt idx="3434">
                  <c:v>3797.33</c:v>
                </c:pt>
                <c:pt idx="3435">
                  <c:v>3752.59</c:v>
                </c:pt>
                <c:pt idx="3436">
                  <c:v>3814.08</c:v>
                </c:pt>
                <c:pt idx="3437">
                  <c:v>3807.21</c:v>
                </c:pt>
                <c:pt idx="3438">
                  <c:v>3889.68</c:v>
                </c:pt>
                <c:pt idx="3439">
                  <c:v>3895.61</c:v>
                </c:pt>
                <c:pt idx="3440">
                  <c:v>3862.71</c:v>
                </c:pt>
                <c:pt idx="3441">
                  <c:v>3877.32</c:v>
                </c:pt>
                <c:pt idx="3442">
                  <c:v>3823.74</c:v>
                </c:pt>
                <c:pt idx="3443">
                  <c:v>3829.03</c:v>
                </c:pt>
                <c:pt idx="3444">
                  <c:v>3727.74</c:v>
                </c:pt>
                <c:pt idx="3445">
                  <c:v>3690.33</c:v>
                </c:pt>
                <c:pt idx="3446">
                  <c:v>3720.64</c:v>
                </c:pt>
                <c:pt idx="3447">
                  <c:v>3678.91</c:v>
                </c:pt>
                <c:pt idx="3448">
                  <c:v>3658.11</c:v>
                </c:pt>
                <c:pt idx="3449">
                  <c:v>3646.99</c:v>
                </c:pt>
                <c:pt idx="3450">
                  <c:v>3699.11</c:v>
                </c:pt>
                <c:pt idx="3451">
                  <c:v>3705.73</c:v>
                </c:pt>
                <c:pt idx="3452">
                  <c:v>3726.5</c:v>
                </c:pt>
                <c:pt idx="3453">
                  <c:v>3722.99</c:v>
                </c:pt>
                <c:pt idx="3454">
                  <c:v>3712.61</c:v>
                </c:pt>
                <c:pt idx="3455">
                  <c:v>3772.14</c:v>
                </c:pt>
                <c:pt idx="3456">
                  <c:v>3771</c:v>
                </c:pt>
                <c:pt idx="3457">
                  <c:v>3788.88</c:v>
                </c:pt>
                <c:pt idx="3458">
                  <c:v>3832.28</c:v>
                </c:pt>
                <c:pt idx="3459">
                  <c:v>3851.18</c:v>
                </c:pt>
                <c:pt idx="3460">
                  <c:v>3838.85</c:v>
                </c:pt>
                <c:pt idx="3461">
                  <c:v>3785.21</c:v>
                </c:pt>
                <c:pt idx="3462">
                  <c:v>3817.62</c:v>
                </c:pt>
                <c:pt idx="3463">
                  <c:v>3833.45</c:v>
                </c:pt>
                <c:pt idx="3464">
                  <c:v>3866.99</c:v>
                </c:pt>
                <c:pt idx="3465">
                  <c:v>3887.58</c:v>
                </c:pt>
                <c:pt idx="3466">
                  <c:v>3889.04</c:v>
                </c:pt>
                <c:pt idx="3467">
                  <c:v>3884.16</c:v>
                </c:pt>
                <c:pt idx="3468">
                  <c:v>3851.22</c:v>
                </c:pt>
                <c:pt idx="3469">
                  <c:v>3886.03</c:v>
                </c:pt>
                <c:pt idx="3470">
                  <c:v>3953.31</c:v>
                </c:pt>
                <c:pt idx="3471">
                  <c:v>3947.75</c:v>
                </c:pt>
                <c:pt idx="3472">
                  <c:v>3941.75</c:v>
                </c:pt>
                <c:pt idx="3473">
                  <c:v>3963.65</c:v>
                </c:pt>
                <c:pt idx="3474">
                  <c:v>3988.07</c:v>
                </c:pt>
                <c:pt idx="3475">
                  <c:v>3977.68</c:v>
                </c:pt>
                <c:pt idx="3476">
                  <c:v>3991.02</c:v>
                </c:pt>
                <c:pt idx="3477">
                  <c:v>3942.35</c:v>
                </c:pt>
                <c:pt idx="3478">
                  <c:v>3905.66</c:v>
                </c:pt>
                <c:pt idx="3479">
                  <c:v>3910.3</c:v>
                </c:pt>
                <c:pt idx="3480">
                  <c:v>3874.37</c:v>
                </c:pt>
                <c:pt idx="3481">
                  <c:v>3882.27</c:v>
                </c:pt>
                <c:pt idx="3482">
                  <c:v>3920.36</c:v>
                </c:pt>
                <c:pt idx="3483">
                  <c:v>3892.9</c:v>
                </c:pt>
                <c:pt idx="3484">
                  <c:v>3994.96</c:v>
                </c:pt>
                <c:pt idx="3485">
                  <c:v>4033.28</c:v>
                </c:pt>
                <c:pt idx="3486">
                  <c:v>4048.71</c:v>
                </c:pt>
                <c:pt idx="3487">
                  <c:v>4049.66</c:v>
                </c:pt>
                <c:pt idx="3488">
                  <c:v>4043.36</c:v>
                </c:pt>
                <c:pt idx="3489">
                  <c:v>4015.54</c:v>
                </c:pt>
                <c:pt idx="3490">
                  <c:v>4017.82</c:v>
                </c:pt>
                <c:pt idx="3491">
                  <c:v>3957.6</c:v>
                </c:pt>
                <c:pt idx="3492">
                  <c:v>3976.03</c:v>
                </c:pt>
                <c:pt idx="3493">
                  <c:v>3940.46</c:v>
                </c:pt>
                <c:pt idx="3494">
                  <c:v>3922.11</c:v>
                </c:pt>
                <c:pt idx="3495">
                  <c:v>3915.17</c:v>
                </c:pt>
                <c:pt idx="3496">
                  <c:v>3964.13</c:v>
                </c:pt>
                <c:pt idx="3497">
                  <c:v>3912.4</c:v>
                </c:pt>
                <c:pt idx="3498">
                  <c:v>3934.06</c:v>
                </c:pt>
                <c:pt idx="3499">
                  <c:v>3935.14</c:v>
                </c:pt>
                <c:pt idx="3500">
                  <c:v>3854.41</c:v>
                </c:pt>
                <c:pt idx="3501">
                  <c:v>3862.26</c:v>
                </c:pt>
                <c:pt idx="3502">
                  <c:v>3929.03</c:v>
                </c:pt>
                <c:pt idx="3503">
                  <c:v>3959.59</c:v>
                </c:pt>
                <c:pt idx="3504">
                  <c:v>3960.25</c:v>
                </c:pt>
                <c:pt idx="3505">
                  <c:v>4012.64</c:v>
                </c:pt>
                <c:pt idx="3506">
                  <c:v>4037.57</c:v>
                </c:pt>
                <c:pt idx="3507">
                  <c:v>4039.04</c:v>
                </c:pt>
                <c:pt idx="3508">
                  <c:v>4041.38</c:v>
                </c:pt>
                <c:pt idx="3509">
                  <c:v>4063.58</c:v>
                </c:pt>
                <c:pt idx="3510">
                  <c:v>4068.97</c:v>
                </c:pt>
                <c:pt idx="3511">
                  <c:v>4065.33</c:v>
                </c:pt>
                <c:pt idx="3512">
                  <c:v>4089.13</c:v>
                </c:pt>
                <c:pt idx="3513">
                  <c:v>4130.8100000000004</c:v>
                </c:pt>
                <c:pt idx="3514">
                  <c:v>4143.3500000000004</c:v>
                </c:pt>
                <c:pt idx="3515">
                  <c:v>4134.34</c:v>
                </c:pt>
                <c:pt idx="3516">
                  <c:v>4117.22</c:v>
                </c:pt>
                <c:pt idx="3517">
                  <c:v>4183.41</c:v>
                </c:pt>
                <c:pt idx="3518">
                  <c:v>4178.68</c:v>
                </c:pt>
                <c:pt idx="3519">
                  <c:v>4134.8900000000003</c:v>
                </c:pt>
                <c:pt idx="3520">
                  <c:v>4123.9799999999996</c:v>
                </c:pt>
                <c:pt idx="3521">
                  <c:v>4113.37</c:v>
                </c:pt>
                <c:pt idx="3522">
                  <c:v>4125.3</c:v>
                </c:pt>
                <c:pt idx="3523">
                  <c:v>4160.3500000000004</c:v>
                </c:pt>
                <c:pt idx="3524">
                  <c:v>4154.2700000000004</c:v>
                </c:pt>
                <c:pt idx="3525">
                  <c:v>4146.9799999999996</c:v>
                </c:pt>
                <c:pt idx="3526">
                  <c:v>4126</c:v>
                </c:pt>
                <c:pt idx="3527">
                  <c:v>4186.03</c:v>
                </c:pt>
                <c:pt idx="3528">
                  <c:v>4216.3999999999996</c:v>
                </c:pt>
                <c:pt idx="3529">
                  <c:v>4208.87</c:v>
                </c:pt>
                <c:pt idx="3530">
                  <c:v>4193.91</c:v>
                </c:pt>
                <c:pt idx="3531">
                  <c:v>4212.62</c:v>
                </c:pt>
                <c:pt idx="3532">
                  <c:v>4201.3500000000004</c:v>
                </c:pt>
                <c:pt idx="3533">
                  <c:v>4150.41</c:v>
                </c:pt>
                <c:pt idx="3534">
                  <c:v>4174.55</c:v>
                </c:pt>
                <c:pt idx="3535">
                  <c:v>4219.24</c:v>
                </c:pt>
                <c:pt idx="3536">
                  <c:v>4231.3</c:v>
                </c:pt>
                <c:pt idx="3537">
                  <c:v>4213.6899999999996</c:v>
                </c:pt>
                <c:pt idx="3538">
                  <c:v>4233.71</c:v>
                </c:pt>
                <c:pt idx="3539">
                  <c:v>4182.2700000000004</c:v>
                </c:pt>
                <c:pt idx="3540">
                  <c:v>4211.55</c:v>
                </c:pt>
                <c:pt idx="3541">
                  <c:v>4214.3900000000003</c:v>
                </c:pt>
                <c:pt idx="3542">
                  <c:v>4241.28</c:v>
                </c:pt>
                <c:pt idx="3543">
                  <c:v>4251.62</c:v>
                </c:pt>
                <c:pt idx="3544">
                  <c:v>4235.3599999999997</c:v>
                </c:pt>
                <c:pt idx="3545">
                  <c:v>4261.79</c:v>
                </c:pt>
                <c:pt idx="3546">
                  <c:v>4247.75</c:v>
                </c:pt>
                <c:pt idx="3547">
                  <c:v>4256.08</c:v>
                </c:pt>
                <c:pt idx="3548">
                  <c:v>4291.53</c:v>
                </c:pt>
                <c:pt idx="3549">
                  <c:v>4290.5</c:v>
                </c:pt>
                <c:pt idx="3550">
                  <c:v>4258.24</c:v>
                </c:pt>
                <c:pt idx="3551">
                  <c:v>4300.9399999999996</c:v>
                </c:pt>
                <c:pt idx="3552">
                  <c:v>4316.3999999999996</c:v>
                </c:pt>
                <c:pt idx="3553">
                  <c:v>4307.37</c:v>
                </c:pt>
                <c:pt idx="3554">
                  <c:v>4258.01</c:v>
                </c:pt>
                <c:pt idx="3555">
                  <c:v>4208.82</c:v>
                </c:pt>
                <c:pt idx="3556">
                  <c:v>4212.1400000000003</c:v>
                </c:pt>
                <c:pt idx="3557">
                  <c:v>4232.3599999999997</c:v>
                </c:pt>
                <c:pt idx="3558">
                  <c:v>4245.51</c:v>
                </c:pt>
                <c:pt idx="3559">
                  <c:v>4250.71</c:v>
                </c:pt>
                <c:pt idx="3560">
                  <c:v>4245.55</c:v>
                </c:pt>
                <c:pt idx="3561">
                  <c:v>4220.43</c:v>
                </c:pt>
                <c:pt idx="3562">
                  <c:v>4213.7</c:v>
                </c:pt>
                <c:pt idx="3563">
                  <c:v>4201.8900000000003</c:v>
                </c:pt>
                <c:pt idx="3564">
                  <c:v>4233.95</c:v>
                </c:pt>
                <c:pt idx="3565">
                  <c:v>4214.12</c:v>
                </c:pt>
                <c:pt idx="3566">
                  <c:v>4216.41</c:v>
                </c:pt>
                <c:pt idx="3567">
                  <c:v>4201.8100000000004</c:v>
                </c:pt>
                <c:pt idx="3568">
                  <c:v>4254.8500000000004</c:v>
                </c:pt>
                <c:pt idx="3569">
                  <c:v>4279.97</c:v>
                </c:pt>
                <c:pt idx="3570">
                  <c:v>4296.3100000000004</c:v>
                </c:pt>
                <c:pt idx="3571">
                  <c:v>4281.6400000000003</c:v>
                </c:pt>
                <c:pt idx="3572">
                  <c:v>4339.28</c:v>
                </c:pt>
                <c:pt idx="3573">
                  <c:v>4366.3500000000004</c:v>
                </c:pt>
                <c:pt idx="3574">
                  <c:v>4371.3900000000003</c:v>
                </c:pt>
                <c:pt idx="3575">
                  <c:v>4353.1499999999996</c:v>
                </c:pt>
                <c:pt idx="3576">
                  <c:v>4342.01</c:v>
                </c:pt>
                <c:pt idx="3577">
                  <c:v>4387.8</c:v>
                </c:pt>
                <c:pt idx="3578">
                  <c:v>4386.3999999999996</c:v>
                </c:pt>
                <c:pt idx="3579">
                  <c:v>4402.03</c:v>
                </c:pt>
                <c:pt idx="3580">
                  <c:v>4368.7700000000004</c:v>
                </c:pt>
                <c:pt idx="3581">
                  <c:v>4369.68</c:v>
                </c:pt>
                <c:pt idx="3582">
                  <c:v>4359.47</c:v>
                </c:pt>
                <c:pt idx="3583">
                  <c:v>4353.34</c:v>
                </c:pt>
                <c:pt idx="3584">
                  <c:v>4323.21</c:v>
                </c:pt>
                <c:pt idx="3585">
                  <c:v>4310.66</c:v>
                </c:pt>
                <c:pt idx="3586">
                  <c:v>4304.29</c:v>
                </c:pt>
                <c:pt idx="3587">
                  <c:v>4348.6400000000003</c:v>
                </c:pt>
                <c:pt idx="3588">
                  <c:v>4350.49</c:v>
                </c:pt>
                <c:pt idx="3589">
                  <c:v>4383.62</c:v>
                </c:pt>
                <c:pt idx="3590">
                  <c:v>4393.43</c:v>
                </c:pt>
                <c:pt idx="3591">
                  <c:v>4373.2700000000004</c:v>
                </c:pt>
                <c:pt idx="3592">
                  <c:v>4423.5200000000004</c:v>
                </c:pt>
                <c:pt idx="3593">
                  <c:v>4428.09</c:v>
                </c:pt>
                <c:pt idx="3594">
                  <c:v>4396.5</c:v>
                </c:pt>
                <c:pt idx="3595">
                  <c:v>4375.6000000000004</c:v>
                </c:pt>
                <c:pt idx="3596">
                  <c:v>4337.68</c:v>
                </c:pt>
                <c:pt idx="3597">
                  <c:v>4360.49</c:v>
                </c:pt>
                <c:pt idx="3598">
                  <c:v>4367.3</c:v>
                </c:pt>
                <c:pt idx="3599">
                  <c:v>4387.6899999999996</c:v>
                </c:pt>
                <c:pt idx="3600">
                  <c:v>4309.1099999999997</c:v>
                </c:pt>
                <c:pt idx="3601">
                  <c:v>4315.92</c:v>
                </c:pt>
                <c:pt idx="3602">
                  <c:v>4327.18</c:v>
                </c:pt>
                <c:pt idx="3603">
                  <c:v>4296.3599999999997</c:v>
                </c:pt>
                <c:pt idx="3604">
                  <c:v>4320.6899999999996</c:v>
                </c:pt>
                <c:pt idx="3605">
                  <c:v>4317.2</c:v>
                </c:pt>
                <c:pt idx="3606">
                  <c:v>4343.6000000000004</c:v>
                </c:pt>
                <c:pt idx="3607">
                  <c:v>4351.8900000000003</c:v>
                </c:pt>
                <c:pt idx="3608">
                  <c:v>4347.5200000000004</c:v>
                </c:pt>
                <c:pt idx="3609">
                  <c:v>4348.7700000000004</c:v>
                </c:pt>
                <c:pt idx="3610">
                  <c:v>4373.53</c:v>
                </c:pt>
                <c:pt idx="3611">
                  <c:v>4341.3900000000003</c:v>
                </c:pt>
                <c:pt idx="3612">
                  <c:v>4362.6099999999997</c:v>
                </c:pt>
                <c:pt idx="3613">
                  <c:v>4379.18</c:v>
                </c:pt>
                <c:pt idx="3614">
                  <c:v>4389.5200000000004</c:v>
                </c:pt>
                <c:pt idx="3615">
                  <c:v>4400.68</c:v>
                </c:pt>
                <c:pt idx="3616">
                  <c:v>4396.09</c:v>
                </c:pt>
                <c:pt idx="3617">
                  <c:v>4372.12</c:v>
                </c:pt>
                <c:pt idx="3618">
                  <c:v>4405.6899999999996</c:v>
                </c:pt>
                <c:pt idx="3619">
                  <c:v>4402.05</c:v>
                </c:pt>
                <c:pt idx="3620">
                  <c:v>4312.25</c:v>
                </c:pt>
                <c:pt idx="3621">
                  <c:v>4202.2</c:v>
                </c:pt>
                <c:pt idx="3622">
                  <c:v>4204.6099999999997</c:v>
                </c:pt>
                <c:pt idx="3623">
                  <c:v>4178.62</c:v>
                </c:pt>
                <c:pt idx="3624">
                  <c:v>4193.7</c:v>
                </c:pt>
                <c:pt idx="3625">
                  <c:v>4223.04</c:v>
                </c:pt>
                <c:pt idx="3626">
                  <c:v>4246.96</c:v>
                </c:pt>
                <c:pt idx="3627">
                  <c:v>4233.76</c:v>
                </c:pt>
                <c:pt idx="3628">
                  <c:v>4189.0200000000004</c:v>
                </c:pt>
                <c:pt idx="3629">
                  <c:v>4178.1000000000004</c:v>
                </c:pt>
                <c:pt idx="3630">
                  <c:v>4184.84</c:v>
                </c:pt>
                <c:pt idx="3631">
                  <c:v>4224.0200000000004</c:v>
                </c:pt>
                <c:pt idx="3632">
                  <c:v>4245.54</c:v>
                </c:pt>
                <c:pt idx="3633">
                  <c:v>4264.3500000000004</c:v>
                </c:pt>
                <c:pt idx="3634">
                  <c:v>4299.51</c:v>
                </c:pt>
                <c:pt idx="3635">
                  <c:v>4311.0600000000004</c:v>
                </c:pt>
                <c:pt idx="3636">
                  <c:v>4292.41</c:v>
                </c:pt>
                <c:pt idx="3637">
                  <c:v>4251.13</c:v>
                </c:pt>
                <c:pt idx="3638">
                  <c:v>4244.16</c:v>
                </c:pt>
                <c:pt idx="3639">
                  <c:v>4267.05</c:v>
                </c:pt>
                <c:pt idx="3640">
                  <c:v>4275.7</c:v>
                </c:pt>
                <c:pt idx="3641">
                  <c:v>4262.18</c:v>
                </c:pt>
                <c:pt idx="3642">
                  <c:v>4251.7700000000004</c:v>
                </c:pt>
                <c:pt idx="3643">
                  <c:v>4324.6000000000004</c:v>
                </c:pt>
                <c:pt idx="3644">
                  <c:v>4360.42</c:v>
                </c:pt>
                <c:pt idx="3645">
                  <c:v>4360.68</c:v>
                </c:pt>
                <c:pt idx="3646">
                  <c:v>4406.95</c:v>
                </c:pt>
                <c:pt idx="3647">
                  <c:v>4396.6400000000003</c:v>
                </c:pt>
                <c:pt idx="3648">
                  <c:v>4389.54</c:v>
                </c:pt>
                <c:pt idx="3649">
                  <c:v>4436.6000000000004</c:v>
                </c:pt>
                <c:pt idx="3650">
                  <c:v>4444.71</c:v>
                </c:pt>
                <c:pt idx="3651">
                  <c:v>4480.43</c:v>
                </c:pt>
                <c:pt idx="3652">
                  <c:v>4460.63</c:v>
                </c:pt>
                <c:pt idx="3653">
                  <c:v>4527.17</c:v>
                </c:pt>
                <c:pt idx="3654">
                  <c:v>4532.17</c:v>
                </c:pt>
                <c:pt idx="3655">
                  <c:v>4510.3900000000003</c:v>
                </c:pt>
                <c:pt idx="3656">
                  <c:v>4497.26</c:v>
                </c:pt>
                <c:pt idx="3657">
                  <c:v>4566.01</c:v>
                </c:pt>
                <c:pt idx="3658">
                  <c:v>4557.29</c:v>
                </c:pt>
                <c:pt idx="3659">
                  <c:v>4562.75</c:v>
                </c:pt>
                <c:pt idx="3660">
                  <c:v>4586.1000000000004</c:v>
                </c:pt>
                <c:pt idx="3661">
                  <c:v>4599.21</c:v>
                </c:pt>
                <c:pt idx="3662">
                  <c:v>4591.6899999999996</c:v>
                </c:pt>
                <c:pt idx="3663">
                  <c:v>4548.42</c:v>
                </c:pt>
                <c:pt idx="3664">
                  <c:v>4579.87</c:v>
                </c:pt>
                <c:pt idx="3665">
                  <c:v>4604.57</c:v>
                </c:pt>
                <c:pt idx="3666">
                  <c:v>4586.8599999999997</c:v>
                </c:pt>
                <c:pt idx="3667">
                  <c:v>4608.1099999999997</c:v>
                </c:pt>
                <c:pt idx="3668">
                  <c:v>4619.6000000000004</c:v>
                </c:pt>
                <c:pt idx="3669">
                  <c:v>4627.4799999999996</c:v>
                </c:pt>
                <c:pt idx="3670">
                  <c:v>4566.4799999999996</c:v>
                </c:pt>
                <c:pt idx="3671">
                  <c:v>4523.82</c:v>
                </c:pt>
                <c:pt idx="3672">
                  <c:v>4557.46</c:v>
                </c:pt>
                <c:pt idx="3673">
                  <c:v>4583.63</c:v>
                </c:pt>
                <c:pt idx="3674">
                  <c:v>4586.28</c:v>
                </c:pt>
                <c:pt idx="3675">
                  <c:v>4617.07</c:v>
                </c:pt>
                <c:pt idx="3676">
                  <c:v>4623.41</c:v>
                </c:pt>
                <c:pt idx="3677">
                  <c:v>4603.6499999999996</c:v>
                </c:pt>
                <c:pt idx="3678">
                  <c:v>4615.49</c:v>
                </c:pt>
                <c:pt idx="3679">
                  <c:v>4530.18</c:v>
                </c:pt>
                <c:pt idx="3680">
                  <c:v>4597.97</c:v>
                </c:pt>
                <c:pt idx="3681">
                  <c:v>4663.38</c:v>
                </c:pt>
                <c:pt idx="3682">
                  <c:v>4653.03</c:v>
                </c:pt>
                <c:pt idx="3683">
                  <c:v>4679.8900000000003</c:v>
                </c:pt>
                <c:pt idx="3684">
                  <c:v>4699.2700000000004</c:v>
                </c:pt>
                <c:pt idx="3685">
                  <c:v>4712.8999999999996</c:v>
                </c:pt>
                <c:pt idx="3686">
                  <c:v>4719.57</c:v>
                </c:pt>
                <c:pt idx="3687">
                  <c:v>4770.54</c:v>
                </c:pt>
                <c:pt idx="3688">
                  <c:v>4784.5</c:v>
                </c:pt>
                <c:pt idx="3689">
                  <c:v>4829.87</c:v>
                </c:pt>
                <c:pt idx="3690">
                  <c:v>4836.8999999999996</c:v>
                </c:pt>
                <c:pt idx="3691">
                  <c:v>4842.7</c:v>
                </c:pt>
                <c:pt idx="3692">
                  <c:v>4843.49</c:v>
                </c:pt>
                <c:pt idx="3693">
                  <c:v>4855.3500000000004</c:v>
                </c:pt>
                <c:pt idx="3694">
                  <c:v>4892.5</c:v>
                </c:pt>
                <c:pt idx="3695">
                  <c:v>4886.5</c:v>
                </c:pt>
                <c:pt idx="3696">
                  <c:v>4890.8500000000004</c:v>
                </c:pt>
                <c:pt idx="3697">
                  <c:v>4932.87</c:v>
                </c:pt>
                <c:pt idx="3698">
                  <c:v>4923.12</c:v>
                </c:pt>
                <c:pt idx="3699">
                  <c:v>4874.0600000000004</c:v>
                </c:pt>
                <c:pt idx="3700">
                  <c:v>4827.18</c:v>
                </c:pt>
                <c:pt idx="3701">
                  <c:v>4837.8599999999997</c:v>
                </c:pt>
                <c:pt idx="3702">
                  <c:v>4909.4799999999996</c:v>
                </c:pt>
                <c:pt idx="3703">
                  <c:v>4990.57</c:v>
                </c:pt>
                <c:pt idx="3704">
                  <c:v>4953.93</c:v>
                </c:pt>
                <c:pt idx="3705">
                  <c:v>4937.33</c:v>
                </c:pt>
                <c:pt idx="3706">
                  <c:v>4922.34</c:v>
                </c:pt>
                <c:pt idx="3707">
                  <c:v>4883.8100000000004</c:v>
                </c:pt>
                <c:pt idx="3708">
                  <c:v>4871.46</c:v>
                </c:pt>
                <c:pt idx="3709">
                  <c:v>4851.2700000000004</c:v>
                </c:pt>
                <c:pt idx="3710">
                  <c:v>4929.91</c:v>
                </c:pt>
                <c:pt idx="3711">
                  <c:v>4941.6899999999996</c:v>
                </c:pt>
                <c:pt idx="3712">
                  <c:v>4917.74</c:v>
                </c:pt>
                <c:pt idx="3713">
                  <c:v>4915.95</c:v>
                </c:pt>
                <c:pt idx="3714">
                  <c:v>4856.01</c:v>
                </c:pt>
                <c:pt idx="3715">
                  <c:v>4783.8</c:v>
                </c:pt>
                <c:pt idx="3716">
                  <c:v>4812.24</c:v>
                </c:pt>
                <c:pt idx="3717">
                  <c:v>4791.72</c:v>
                </c:pt>
                <c:pt idx="3718">
                  <c:v>4829.6899999999996</c:v>
                </c:pt>
                <c:pt idx="3719">
                  <c:v>4842.9399999999996</c:v>
                </c:pt>
                <c:pt idx="3720">
                  <c:v>4837.8100000000004</c:v>
                </c:pt>
                <c:pt idx="3721">
                  <c:v>4909.8900000000003</c:v>
                </c:pt>
                <c:pt idx="3722">
                  <c:v>4968.28</c:v>
                </c:pt>
                <c:pt idx="3723">
                  <c:v>4988.1400000000003</c:v>
                </c:pt>
                <c:pt idx="3724">
                  <c:v>4992.75</c:v>
                </c:pt>
                <c:pt idx="3725">
                  <c:v>5005.93</c:v>
                </c:pt>
                <c:pt idx="3726">
                  <c:v>4989.9799999999996</c:v>
                </c:pt>
                <c:pt idx="3727">
                  <c:v>4901.88</c:v>
                </c:pt>
                <c:pt idx="3728">
                  <c:v>4911.17</c:v>
                </c:pt>
                <c:pt idx="3729">
                  <c:v>4905.9799999999996</c:v>
                </c:pt>
                <c:pt idx="3730">
                  <c:v>4986.5</c:v>
                </c:pt>
                <c:pt idx="3731">
                  <c:v>4926.13</c:v>
                </c:pt>
                <c:pt idx="3732">
                  <c:v>4962.8599999999997</c:v>
                </c:pt>
                <c:pt idx="3733">
                  <c:v>4875.22</c:v>
                </c:pt>
                <c:pt idx="3734">
                  <c:v>4849.01</c:v>
                </c:pt>
                <c:pt idx="3735">
                  <c:v>4882.58</c:v>
                </c:pt>
                <c:pt idx="3736">
                  <c:v>4998.16</c:v>
                </c:pt>
                <c:pt idx="3737">
                  <c:v>4965.88</c:v>
                </c:pt>
                <c:pt idx="3738">
                  <c:v>5048.74</c:v>
                </c:pt>
                <c:pt idx="3739">
                  <c:v>5021.17</c:v>
                </c:pt>
                <c:pt idx="3740">
                  <c:v>5044.12</c:v>
                </c:pt>
                <c:pt idx="3741">
                  <c:v>5082.07</c:v>
                </c:pt>
                <c:pt idx="3742">
                  <c:v>5138.0200000000004</c:v>
                </c:pt>
                <c:pt idx="3743">
                  <c:v>5069.42</c:v>
                </c:pt>
                <c:pt idx="3744">
                  <c:v>5017.2700000000004</c:v>
                </c:pt>
                <c:pt idx="3745">
                  <c:v>5007.7700000000004</c:v>
                </c:pt>
                <c:pt idx="3746">
                  <c:v>5022.79</c:v>
                </c:pt>
                <c:pt idx="3747">
                  <c:v>5032.46</c:v>
                </c:pt>
                <c:pt idx="3748">
                  <c:v>4981.7700000000004</c:v>
                </c:pt>
                <c:pt idx="3749">
                  <c:v>4950.07</c:v>
                </c:pt>
                <c:pt idx="3750">
                  <c:v>4975.5600000000004</c:v>
                </c:pt>
                <c:pt idx="3751">
                  <c:v>4978.83</c:v>
                </c:pt>
                <c:pt idx="3752">
                  <c:v>4947.18</c:v>
                </c:pt>
                <c:pt idx="3753">
                  <c:v>4845.9799999999996</c:v>
                </c:pt>
                <c:pt idx="3754">
                  <c:v>4864.25</c:v>
                </c:pt>
                <c:pt idx="3755">
                  <c:v>4838.3999999999996</c:v>
                </c:pt>
                <c:pt idx="3756">
                  <c:v>4901.79</c:v>
                </c:pt>
                <c:pt idx="3757">
                  <c:v>4872.97</c:v>
                </c:pt>
                <c:pt idx="3758">
                  <c:v>4900.79</c:v>
                </c:pt>
                <c:pt idx="3759">
                  <c:v>4806.05</c:v>
                </c:pt>
                <c:pt idx="3760">
                  <c:v>4825.6400000000003</c:v>
                </c:pt>
                <c:pt idx="3761">
                  <c:v>4929.07</c:v>
                </c:pt>
                <c:pt idx="3762">
                  <c:v>4922.55</c:v>
                </c:pt>
                <c:pt idx="3763">
                  <c:v>4954.83</c:v>
                </c:pt>
                <c:pt idx="3764">
                  <c:v>5011</c:v>
                </c:pt>
                <c:pt idx="3765">
                  <c:v>4995.24</c:v>
                </c:pt>
                <c:pt idx="3766">
                  <c:v>5024.2</c:v>
                </c:pt>
                <c:pt idx="3767">
                  <c:v>5008.83</c:v>
                </c:pt>
                <c:pt idx="3768">
                  <c:v>5011.38</c:v>
                </c:pt>
                <c:pt idx="3769">
                  <c:v>5015.55</c:v>
                </c:pt>
                <c:pt idx="3770">
                  <c:v>5090.75</c:v>
                </c:pt>
                <c:pt idx="3771">
                  <c:v>5092.43</c:v>
                </c:pt>
                <c:pt idx="3772">
                  <c:v>5110.6099999999997</c:v>
                </c:pt>
                <c:pt idx="3773">
                  <c:v>5081.46</c:v>
                </c:pt>
                <c:pt idx="3774">
                  <c:v>5099.72</c:v>
                </c:pt>
                <c:pt idx="3775">
                  <c:v>5123.5</c:v>
                </c:pt>
                <c:pt idx="3776">
                  <c:v>5170.6099999999997</c:v>
                </c:pt>
                <c:pt idx="3777">
                  <c:v>5174.72</c:v>
                </c:pt>
                <c:pt idx="3778">
                  <c:v>5196.08</c:v>
                </c:pt>
                <c:pt idx="3779">
                  <c:v>5187.9799999999996</c:v>
                </c:pt>
                <c:pt idx="3780">
                  <c:v>5194.2700000000004</c:v>
                </c:pt>
                <c:pt idx="3781">
                  <c:v>5176.59</c:v>
                </c:pt>
                <c:pt idx="3782">
                  <c:v>5199.4799999999996</c:v>
                </c:pt>
                <c:pt idx="3783">
                  <c:v>5193.3999999999996</c:v>
                </c:pt>
                <c:pt idx="3784">
                  <c:v>5266.55</c:v>
                </c:pt>
                <c:pt idx="3785">
                  <c:v>5307.99</c:v>
                </c:pt>
                <c:pt idx="3786">
                  <c:v>5266.86</c:v>
                </c:pt>
                <c:pt idx="3787">
                  <c:v>5300.85</c:v>
                </c:pt>
                <c:pt idx="3788">
                  <c:v>5266.75</c:v>
                </c:pt>
                <c:pt idx="3789">
                  <c:v>5286.75</c:v>
                </c:pt>
                <c:pt idx="3790">
                  <c:v>5282.13</c:v>
                </c:pt>
                <c:pt idx="3791">
                  <c:v>5301.21</c:v>
                </c:pt>
                <c:pt idx="3792">
                  <c:v>5310.28</c:v>
                </c:pt>
                <c:pt idx="3793">
                  <c:v>5286.76</c:v>
                </c:pt>
                <c:pt idx="3794">
                  <c:v>5295.82</c:v>
                </c:pt>
                <c:pt idx="3795">
                  <c:v>5353.66</c:v>
                </c:pt>
                <c:pt idx="3796">
                  <c:v>5350.18</c:v>
                </c:pt>
                <c:pt idx="3797">
                  <c:v>5356.6</c:v>
                </c:pt>
                <c:pt idx="3798">
                  <c:v>5397.23</c:v>
                </c:pt>
                <c:pt idx="3799">
                  <c:v>5398.28</c:v>
                </c:pt>
                <c:pt idx="3800">
                  <c:v>5419.05</c:v>
                </c:pt>
                <c:pt idx="3801">
                  <c:v>5444.84</c:v>
                </c:pt>
                <c:pt idx="3802">
                  <c:v>5447.15</c:v>
                </c:pt>
                <c:pt idx="3803">
                  <c:v>5458.58</c:v>
                </c:pt>
                <c:pt idx="3804">
                  <c:v>5408.26</c:v>
                </c:pt>
                <c:pt idx="3805">
                  <c:v>5449.98</c:v>
                </c:pt>
                <c:pt idx="3806">
                  <c:v>5460.68</c:v>
                </c:pt>
                <c:pt idx="3807">
                  <c:v>5523.62</c:v>
                </c:pt>
                <c:pt idx="3808">
                  <c:v>5516.53</c:v>
                </c:pt>
                <c:pt idx="3809">
                  <c:v>5536.32</c:v>
                </c:pt>
                <c:pt idx="3810">
                  <c:v>5537.11</c:v>
                </c:pt>
                <c:pt idx="3811">
                  <c:v>5494.71</c:v>
                </c:pt>
                <c:pt idx="3812">
                  <c:v>5532.89</c:v>
                </c:pt>
                <c:pt idx="3813">
                  <c:v>5542.13</c:v>
                </c:pt>
                <c:pt idx="3814">
                  <c:v>5483.09</c:v>
                </c:pt>
                <c:pt idx="3815">
                  <c:v>5514.64</c:v>
                </c:pt>
                <c:pt idx="3816">
                  <c:v>5460.16</c:v>
                </c:pt>
                <c:pt idx="3817">
                  <c:v>5395.61</c:v>
                </c:pt>
                <c:pt idx="3818">
                  <c:v>5430.84</c:v>
                </c:pt>
                <c:pt idx="3819">
                  <c:v>5349.02</c:v>
                </c:pt>
                <c:pt idx="3820">
                  <c:v>5348.72</c:v>
                </c:pt>
                <c:pt idx="3821">
                  <c:v>5334.3</c:v>
                </c:pt>
                <c:pt idx="3822">
                  <c:v>5427.09</c:v>
                </c:pt>
                <c:pt idx="3823">
                  <c:v>5548.91</c:v>
                </c:pt>
                <c:pt idx="3824">
                  <c:v>5647.42</c:v>
                </c:pt>
                <c:pt idx="3825">
                  <c:v>5660.03</c:v>
                </c:pt>
                <c:pt idx="3826">
                  <c:v>5674.15</c:v>
                </c:pt>
                <c:pt idx="3827">
                  <c:v>5726.53</c:v>
                </c:pt>
                <c:pt idx="3828">
                  <c:v>5649.6</c:v>
                </c:pt>
                <c:pt idx="3829">
                  <c:v>5657.12</c:v>
                </c:pt>
                <c:pt idx="3830">
                  <c:v>5666.78</c:v>
                </c:pt>
                <c:pt idx="3831">
                  <c:v>5672.92</c:v>
                </c:pt>
                <c:pt idx="3832">
                  <c:v>5666.41</c:v>
                </c:pt>
                <c:pt idx="3833">
                  <c:v>5743.68</c:v>
                </c:pt>
                <c:pt idx="3834">
                  <c:v>5701.47</c:v>
                </c:pt>
                <c:pt idx="3835">
                  <c:v>5756.33</c:v>
                </c:pt>
                <c:pt idx="3836">
                  <c:v>5763.4</c:v>
                </c:pt>
                <c:pt idx="3837">
                  <c:v>5764.37</c:v>
                </c:pt>
                <c:pt idx="3838">
                  <c:v>5789.25</c:v>
                </c:pt>
                <c:pt idx="3839">
                  <c:v>5795.48</c:v>
                </c:pt>
                <c:pt idx="3840">
                  <c:v>5793.95</c:v>
                </c:pt>
                <c:pt idx="3841">
                  <c:v>5801.04</c:v>
                </c:pt>
                <c:pt idx="3842">
                  <c:v>5862.06</c:v>
                </c:pt>
                <c:pt idx="3843">
                  <c:v>5857.88</c:v>
                </c:pt>
                <c:pt idx="3844">
                  <c:v>5870.79</c:v>
                </c:pt>
                <c:pt idx="3845">
                  <c:v>5915.15</c:v>
                </c:pt>
                <c:pt idx="3846">
                  <c:v>5796.04</c:v>
                </c:pt>
                <c:pt idx="3847">
                  <c:v>5866.61</c:v>
                </c:pt>
                <c:pt idx="3848">
                  <c:v>5783.49</c:v>
                </c:pt>
                <c:pt idx="3849">
                  <c:v>5721.46</c:v>
                </c:pt>
                <c:pt idx="3850">
                  <c:v>5754.06</c:v>
                </c:pt>
                <c:pt idx="3851">
                  <c:v>5739.28</c:v>
                </c:pt>
                <c:pt idx="3852">
                  <c:v>5673.36</c:v>
                </c:pt>
                <c:pt idx="3853">
                  <c:v>5732.22</c:v>
                </c:pt>
                <c:pt idx="3854">
                  <c:v>5804.92</c:v>
                </c:pt>
                <c:pt idx="3855">
                  <c:v>5855.16</c:v>
                </c:pt>
                <c:pt idx="3856">
                  <c:v>5870.88</c:v>
                </c:pt>
                <c:pt idx="3857">
                  <c:v>5898.48</c:v>
                </c:pt>
                <c:pt idx="3858">
                  <c:v>5897.79</c:v>
                </c:pt>
                <c:pt idx="3859">
                  <c:v>5882.38</c:v>
                </c:pt>
                <c:pt idx="3860">
                  <c:v>5902.79</c:v>
                </c:pt>
                <c:pt idx="3861">
                  <c:v>5911.86</c:v>
                </c:pt>
                <c:pt idx="3862">
                  <c:v>5932.31</c:v>
                </c:pt>
                <c:pt idx="3863">
                  <c:v>5947.11</c:v>
                </c:pt>
                <c:pt idx="3864">
                  <c:v>5973.14</c:v>
                </c:pt>
                <c:pt idx="3865">
                  <c:v>5912.26</c:v>
                </c:pt>
                <c:pt idx="3866">
                  <c:v>5890.63</c:v>
                </c:pt>
                <c:pt idx="3867">
                  <c:v>5914.78</c:v>
                </c:pt>
                <c:pt idx="3868">
                  <c:v>5984.19</c:v>
                </c:pt>
                <c:pt idx="3869">
                  <c:v>5970.08</c:v>
                </c:pt>
                <c:pt idx="3870">
                  <c:v>6024.05</c:v>
                </c:pt>
                <c:pt idx="3871">
                  <c:v>6013.85</c:v>
                </c:pt>
                <c:pt idx="3872">
                  <c:v>6029.2</c:v>
                </c:pt>
                <c:pt idx="3873">
                  <c:v>6031.39</c:v>
                </c:pt>
                <c:pt idx="3874">
                  <c:v>5952.92</c:v>
                </c:pt>
                <c:pt idx="3875">
                  <c:v>6003.4</c:v>
                </c:pt>
                <c:pt idx="3876">
                  <c:v>5908.47</c:v>
                </c:pt>
                <c:pt idx="3877">
                  <c:v>5901.25</c:v>
                </c:pt>
                <c:pt idx="3878">
                  <c:v>5918.57</c:v>
                </c:pt>
                <c:pt idx="3879">
                  <c:v>5902.58</c:v>
                </c:pt>
                <c:pt idx="3880">
                  <c:v>5993.76</c:v>
                </c:pt>
                <c:pt idx="3881">
                  <c:v>6063.28</c:v>
                </c:pt>
                <c:pt idx="3882">
                  <c:v>6094.75</c:v>
                </c:pt>
                <c:pt idx="3883">
                  <c:v>6079.09</c:v>
                </c:pt>
                <c:pt idx="3884">
                  <c:v>6078.8</c:v>
                </c:pt>
                <c:pt idx="3885">
                  <c:v>6107.12</c:v>
                </c:pt>
                <c:pt idx="3886">
                  <c:v>6067.74</c:v>
                </c:pt>
                <c:pt idx="3887">
                  <c:v>6009.89</c:v>
                </c:pt>
                <c:pt idx="3888">
                  <c:v>6051.29</c:v>
                </c:pt>
                <c:pt idx="3889">
                  <c:v>5968.96</c:v>
                </c:pt>
                <c:pt idx="3890">
                  <c:v>6039.32</c:v>
                </c:pt>
                <c:pt idx="3891">
                  <c:v>6113.29</c:v>
                </c:pt>
                <c:pt idx="3892">
                  <c:v>6127.98</c:v>
                </c:pt>
                <c:pt idx="3893">
                  <c:v>6140.72</c:v>
                </c:pt>
                <c:pt idx="3894">
                  <c:v>6118.38</c:v>
                </c:pt>
                <c:pt idx="3895">
                  <c:v>6054.72</c:v>
                </c:pt>
                <c:pt idx="3896">
                  <c:v>5916.28</c:v>
                </c:pt>
                <c:pt idx="3897">
                  <c:v>5857.03</c:v>
                </c:pt>
                <c:pt idx="3898">
                  <c:v>5851.92</c:v>
                </c:pt>
                <c:pt idx="3899">
                  <c:v>5652.72</c:v>
                </c:pt>
                <c:pt idx="3900">
                  <c:v>5666.07</c:v>
                </c:pt>
                <c:pt idx="3901">
                  <c:v>5672.28</c:v>
                </c:pt>
                <c:pt idx="3902">
                  <c:v>5546.24</c:v>
                </c:pt>
                <c:pt idx="3903">
                  <c:v>5678.49</c:v>
                </c:pt>
                <c:pt idx="3904">
                  <c:v>5587.23</c:v>
                </c:pt>
                <c:pt idx="3905">
                  <c:v>5706.06</c:v>
                </c:pt>
                <c:pt idx="3906">
                  <c:v>5788.36</c:v>
                </c:pt>
                <c:pt idx="3907">
                  <c:v>5755.02</c:v>
                </c:pt>
                <c:pt idx="3908">
                  <c:v>5622.43</c:v>
                </c:pt>
                <c:pt idx="3909">
                  <c:v>5692.86</c:v>
                </c:pt>
                <c:pt idx="3910">
                  <c:v>5707.59</c:v>
                </c:pt>
                <c:pt idx="3911">
                  <c:v>5687.04</c:v>
                </c:pt>
                <c:pt idx="3912">
                  <c:v>5621.19</c:v>
                </c:pt>
                <c:pt idx="3913">
                  <c:v>5502.81</c:v>
                </c:pt>
                <c:pt idx="3914">
                  <c:v>5543.93</c:v>
                </c:pt>
                <c:pt idx="3915">
                  <c:v>5383.28</c:v>
                </c:pt>
                <c:pt idx="3916">
                  <c:v>5464.08</c:v>
                </c:pt>
                <c:pt idx="3917">
                  <c:v>5395.55</c:v>
                </c:pt>
                <c:pt idx="3918">
                  <c:v>5292.14</c:v>
                </c:pt>
                <c:pt idx="3919">
                  <c:v>5305.99</c:v>
                </c:pt>
                <c:pt idx="3920">
                  <c:v>5422.22</c:v>
                </c:pt>
                <c:pt idx="3921">
                  <c:v>5376.01</c:v>
                </c:pt>
                <c:pt idx="3922">
                  <c:v>5439.23</c:v>
                </c:pt>
                <c:pt idx="3923">
                  <c:v>5493.61</c:v>
                </c:pt>
                <c:pt idx="3924">
                  <c:v>5503.41</c:v>
                </c:pt>
                <c:pt idx="3925">
                  <c:v>5533.42</c:v>
                </c:pt>
                <c:pt idx="3926">
                  <c:v>5529.74</c:v>
                </c:pt>
                <c:pt idx="3927">
                  <c:v>5514.63</c:v>
                </c:pt>
                <c:pt idx="3928">
                  <c:v>5459.15</c:v>
                </c:pt>
                <c:pt idx="3929">
                  <c:v>5456.87</c:v>
                </c:pt>
                <c:pt idx="3930">
                  <c:v>5581.67</c:v>
                </c:pt>
                <c:pt idx="3931">
                  <c:v>5683.31</c:v>
                </c:pt>
                <c:pt idx="3932">
                  <c:v>5712.69</c:v>
                </c:pt>
                <c:pt idx="3933">
                  <c:v>5729.01</c:v>
                </c:pt>
                <c:pt idx="3934">
                  <c:v>5625.63</c:v>
                </c:pt>
                <c:pt idx="3935">
                  <c:v>5695.47</c:v>
                </c:pt>
                <c:pt idx="3936">
                  <c:v>5681.85</c:v>
                </c:pt>
                <c:pt idx="3937">
                  <c:v>5706.32</c:v>
                </c:pt>
                <c:pt idx="3938">
                  <c:v>5616.04</c:v>
                </c:pt>
                <c:pt idx="3939">
                  <c:v>5637.82</c:v>
                </c:pt>
                <c:pt idx="3940">
                  <c:v>5527.29</c:v>
                </c:pt>
                <c:pt idx="3941">
                  <c:v>5422.22</c:v>
                </c:pt>
                <c:pt idx="3942">
                  <c:v>5416.96</c:v>
                </c:pt>
                <c:pt idx="3943">
                  <c:v>5396.85</c:v>
                </c:pt>
                <c:pt idx="3944">
                  <c:v>5539.29</c:v>
                </c:pt>
                <c:pt idx="3945">
                  <c:v>5545.82</c:v>
                </c:pt>
                <c:pt idx="3946">
                  <c:v>5451.01</c:v>
                </c:pt>
                <c:pt idx="3947">
                  <c:v>5578.05</c:v>
                </c:pt>
                <c:pt idx="3948">
                  <c:v>5565.76</c:v>
                </c:pt>
                <c:pt idx="3949">
                  <c:v>5583.1</c:v>
                </c:pt>
                <c:pt idx="3950">
                  <c:v>5659.07</c:v>
                </c:pt>
                <c:pt idx="3951">
                  <c:v>5705.42</c:v>
                </c:pt>
                <c:pt idx="3952">
                  <c:v>5681.97</c:v>
                </c:pt>
                <c:pt idx="3953">
                  <c:v>5596.74</c:v>
                </c:pt>
                <c:pt idx="3954">
                  <c:v>5680.82</c:v>
                </c:pt>
                <c:pt idx="3955">
                  <c:v>5640.03</c:v>
                </c:pt>
                <c:pt idx="3956">
                  <c:v>5723.03</c:v>
                </c:pt>
                <c:pt idx="3957">
                  <c:v>5626.67</c:v>
                </c:pt>
                <c:pt idx="3958">
                  <c:v>5651.92</c:v>
                </c:pt>
                <c:pt idx="3959">
                  <c:v>5702.81</c:v>
                </c:pt>
                <c:pt idx="3960">
                  <c:v>5630.96</c:v>
                </c:pt>
                <c:pt idx="3961">
                  <c:v>5628.37</c:v>
                </c:pt>
                <c:pt idx="3962">
                  <c:v>5692</c:v>
                </c:pt>
                <c:pt idx="3963">
                  <c:v>5776.8</c:v>
                </c:pt>
                <c:pt idx="3964">
                  <c:v>5812.94</c:v>
                </c:pt>
                <c:pt idx="3965">
                  <c:v>5833.51</c:v>
                </c:pt>
                <c:pt idx="3966">
                  <c:v>5817.02</c:v>
                </c:pt>
                <c:pt idx="3967">
                  <c:v>5794.83</c:v>
                </c:pt>
                <c:pt idx="3968">
                  <c:v>5818.41</c:v>
                </c:pt>
                <c:pt idx="3969">
                  <c:v>5775.54</c:v>
                </c:pt>
                <c:pt idx="3970">
                  <c:v>5814.08</c:v>
                </c:pt>
                <c:pt idx="3971">
                  <c:v>5811.47</c:v>
                </c:pt>
                <c:pt idx="3972">
                  <c:v>5854.99</c:v>
                </c:pt>
                <c:pt idx="3973">
                  <c:v>5847.02</c:v>
                </c:pt>
                <c:pt idx="3974">
                  <c:v>5867.53</c:v>
                </c:pt>
                <c:pt idx="3975">
                  <c:v>5859.57</c:v>
                </c:pt>
                <c:pt idx="3976">
                  <c:v>5876.54</c:v>
                </c:pt>
                <c:pt idx="3977">
                  <c:v>5909.72</c:v>
                </c:pt>
                <c:pt idx="3978">
                  <c:v>5884.07</c:v>
                </c:pt>
                <c:pt idx="3979">
                  <c:v>5813.06</c:v>
                </c:pt>
                <c:pt idx="3980">
                  <c:v>5773.72</c:v>
                </c:pt>
                <c:pt idx="3981">
                  <c:v>5795.26</c:v>
                </c:pt>
                <c:pt idx="3982">
                  <c:v>5798.46</c:v>
                </c:pt>
                <c:pt idx="3983">
                  <c:v>5873.85</c:v>
                </c:pt>
                <c:pt idx="3984">
                  <c:v>5906.12</c:v>
                </c:pt>
                <c:pt idx="3985">
                  <c:v>5907.37</c:v>
                </c:pt>
                <c:pt idx="3986">
                  <c:v>5937.87</c:v>
                </c:pt>
                <c:pt idx="3987">
                  <c:v>5926.33</c:v>
                </c:pt>
                <c:pt idx="3988">
                  <c:v>5873.46</c:v>
                </c:pt>
                <c:pt idx="3989">
                  <c:v>5954.38</c:v>
                </c:pt>
                <c:pt idx="3990">
                  <c:v>5962.03</c:v>
                </c:pt>
                <c:pt idx="3991">
                  <c:v>5883.32</c:v>
                </c:pt>
                <c:pt idx="3992">
                  <c:v>5901.66</c:v>
                </c:pt>
                <c:pt idx="3993">
                  <c:v>5960.63</c:v>
                </c:pt>
                <c:pt idx="3994">
                  <c:v>5989.71</c:v>
                </c:pt>
                <c:pt idx="3995">
                  <c:v>5989.16</c:v>
                </c:pt>
                <c:pt idx="3996">
                  <c:v>6004.33</c:v>
                </c:pt>
                <c:pt idx="3997">
                  <c:v>5999.46</c:v>
                </c:pt>
                <c:pt idx="3998">
                  <c:v>5992.22</c:v>
                </c:pt>
                <c:pt idx="3999">
                  <c:v>6046.37</c:v>
                </c:pt>
                <c:pt idx="4000">
                  <c:v>6075.28</c:v>
                </c:pt>
                <c:pt idx="4001">
                  <c:v>6085.82</c:v>
                </c:pt>
                <c:pt idx="4002">
                  <c:v>6084.4</c:v>
                </c:pt>
                <c:pt idx="4003">
                  <c:v>6117.71</c:v>
                </c:pt>
                <c:pt idx="4004">
                  <c:v>6119.45</c:v>
                </c:pt>
                <c:pt idx="4005">
                  <c:v>6160.28</c:v>
                </c:pt>
                <c:pt idx="4006">
                  <c:v>6173.68</c:v>
                </c:pt>
                <c:pt idx="4007">
                  <c:v>6186.54</c:v>
                </c:pt>
                <c:pt idx="4008">
                  <c:v>6115.1</c:v>
                </c:pt>
                <c:pt idx="4009">
                  <c:v>6182.78</c:v>
                </c:pt>
                <c:pt idx="4010">
                  <c:v>6177.42</c:v>
                </c:pt>
                <c:pt idx="4011">
                  <c:v>6202.82</c:v>
                </c:pt>
                <c:pt idx="4012">
                  <c:v>6242.91</c:v>
                </c:pt>
                <c:pt idx="4013">
                  <c:v>6247.52</c:v>
                </c:pt>
                <c:pt idx="4014">
                  <c:v>6264.92</c:v>
                </c:pt>
                <c:pt idx="4015">
                  <c:v>6284.19</c:v>
                </c:pt>
                <c:pt idx="4016">
                  <c:v>6262.54</c:v>
                </c:pt>
                <c:pt idx="4017">
                  <c:v>6258.19</c:v>
                </c:pt>
                <c:pt idx="4018">
                  <c:v>6268.92</c:v>
                </c:pt>
                <c:pt idx="4019">
                  <c:v>6291.9</c:v>
                </c:pt>
                <c:pt idx="4020">
                  <c:v>6223.33</c:v>
                </c:pt>
                <c:pt idx="4021">
                  <c:v>6241.15</c:v>
                </c:pt>
                <c:pt idx="4022">
                  <c:v>6330.65</c:v>
                </c:pt>
                <c:pt idx="4023">
                  <c:v>6361.96</c:v>
                </c:pt>
                <c:pt idx="4024">
                  <c:v>6349.26</c:v>
                </c:pt>
                <c:pt idx="4025">
                  <c:v>6358.68</c:v>
                </c:pt>
                <c:pt idx="4026">
                  <c:v>6357.77</c:v>
                </c:pt>
                <c:pt idx="4027">
                  <c:v>6393.73</c:v>
                </c:pt>
                <c:pt idx="4028">
                  <c:v>6387.38</c:v>
                </c:pt>
                <c:pt idx="4029">
                  <c:v>6430.89</c:v>
                </c:pt>
                <c:pt idx="4030">
                  <c:v>6443.02</c:v>
                </c:pt>
                <c:pt idx="4031">
                  <c:v>6412.36</c:v>
                </c:pt>
                <c:pt idx="4032">
                  <c:v>6452.33</c:v>
                </c:pt>
                <c:pt idx="4033">
                  <c:v>6460.39</c:v>
                </c:pt>
                <c:pt idx="4034">
                  <c:v>6476.13</c:v>
                </c:pt>
                <c:pt idx="4035">
                  <c:v>6475.25</c:v>
                </c:pt>
                <c:pt idx="4036">
                  <c:v>6411.96</c:v>
                </c:pt>
                <c:pt idx="4037">
                  <c:v>6298.17</c:v>
                </c:pt>
                <c:pt idx="4038">
                  <c:v>6281.68</c:v>
                </c:pt>
                <c:pt idx="4039">
                  <c:v>6363.8</c:v>
                </c:pt>
                <c:pt idx="4040">
                  <c:v>6309.19</c:v>
                </c:pt>
                <c:pt idx="4041">
                  <c:v>6241.13</c:v>
                </c:pt>
                <c:pt idx="4042">
                  <c:v>6295.23</c:v>
                </c:pt>
                <c:pt idx="4043">
                  <c:v>6372.8</c:v>
                </c:pt>
                <c:pt idx="4044">
                  <c:v>6369.51</c:v>
                </c:pt>
                <c:pt idx="4045">
                  <c:v>6413.03</c:v>
                </c:pt>
                <c:pt idx="4046">
                  <c:v>6427.41</c:v>
                </c:pt>
                <c:pt idx="4047">
                  <c:v>6469.42</c:v>
                </c:pt>
                <c:pt idx="4048">
                  <c:v>6476.17</c:v>
                </c:pt>
                <c:pt idx="4049">
                  <c:v>6520.77</c:v>
                </c:pt>
                <c:pt idx="4050">
                  <c:v>6552.58</c:v>
                </c:pt>
                <c:pt idx="4051">
                  <c:v>6588.83</c:v>
                </c:pt>
                <c:pt idx="4052">
                  <c:v>6597.25</c:v>
                </c:pt>
                <c:pt idx="4053">
                  <c:v>6553.51</c:v>
                </c:pt>
                <c:pt idx="4054">
                  <c:v>6586.91</c:v>
                </c:pt>
                <c:pt idx="4055">
                  <c:v>6573.96</c:v>
                </c:pt>
                <c:pt idx="4056">
                  <c:v>6503.13</c:v>
                </c:pt>
                <c:pt idx="4057">
                  <c:v>6608.86</c:v>
                </c:pt>
                <c:pt idx="4058">
                  <c:v>6611.81</c:v>
                </c:pt>
                <c:pt idx="4059">
                  <c:v>6596.92</c:v>
                </c:pt>
                <c:pt idx="4060">
                  <c:v>6681.13</c:v>
                </c:pt>
                <c:pt idx="4061">
                  <c:v>6691.32</c:v>
                </c:pt>
                <c:pt idx="4062">
                  <c:v>6674.4</c:v>
                </c:pt>
                <c:pt idx="4063">
                  <c:v>6593.09</c:v>
                </c:pt>
                <c:pt idx="4064">
                  <c:v>6607.59</c:v>
                </c:pt>
                <c:pt idx="4065">
                  <c:v>6614.37</c:v>
                </c:pt>
                <c:pt idx="4066">
                  <c:v>6566.56</c:v>
                </c:pt>
                <c:pt idx="4067">
                  <c:v>6687.3</c:v>
                </c:pt>
                <c:pt idx="4068">
                  <c:v>6705.17</c:v>
                </c:pt>
                <c:pt idx="4069">
                  <c:v>6731.74</c:v>
                </c:pt>
                <c:pt idx="4070">
                  <c:v>6716.82</c:v>
                </c:pt>
                <c:pt idx="4071">
                  <c:v>6701.7</c:v>
                </c:pt>
                <c:pt idx="4072">
                  <c:v>6689.62</c:v>
                </c:pt>
                <c:pt idx="4073">
                  <c:v>6747.17</c:v>
                </c:pt>
                <c:pt idx="4074">
                  <c:v>6687.31</c:v>
                </c:pt>
                <c:pt idx="4075">
                  <c:v>6678.93</c:v>
                </c:pt>
                <c:pt idx="4076">
                  <c:v>6748.37</c:v>
                </c:pt>
                <c:pt idx="4077">
                  <c:v>6719.58</c:v>
                </c:pt>
                <c:pt idx="4078">
                  <c:v>6690.34</c:v>
                </c:pt>
                <c:pt idx="4079">
                  <c:v>6726.01</c:v>
                </c:pt>
                <c:pt idx="4080">
                  <c:v>6788.23</c:v>
                </c:pt>
                <c:pt idx="4081">
                  <c:v>6789.11</c:v>
                </c:pt>
                <c:pt idx="4082">
                  <c:v>6851.28</c:v>
                </c:pt>
                <c:pt idx="4083">
                  <c:v>6885.76</c:v>
                </c:pt>
                <c:pt idx="4084">
                  <c:v>6874.06</c:v>
                </c:pt>
                <c:pt idx="4085">
                  <c:v>6875.7</c:v>
                </c:pt>
                <c:pt idx="4086">
                  <c:v>6915.56</c:v>
                </c:pt>
                <c:pt idx="4087">
                  <c:v>6876.73</c:v>
                </c:pt>
                <c:pt idx="4088">
                  <c:v>6911.11</c:v>
                </c:pt>
                <c:pt idx="4089">
                  <c:v>6859.45</c:v>
                </c:pt>
                <c:pt idx="4090">
                  <c:v>6895.34</c:v>
                </c:pt>
                <c:pt idx="4091">
                  <c:v>6961.18</c:v>
                </c:pt>
                <c:pt idx="4092">
                  <c:v>6958.62</c:v>
                </c:pt>
                <c:pt idx="4093">
                  <c:v>6957.07</c:v>
                </c:pt>
                <c:pt idx="4094">
                  <c:v>6987.08</c:v>
                </c:pt>
                <c:pt idx="4095">
                  <c:v>6982.91</c:v>
                </c:pt>
                <c:pt idx="4096">
                  <c:v>6941.66</c:v>
                </c:pt>
                <c:pt idx="4097">
                  <c:v>6973.73</c:v>
                </c:pt>
                <c:pt idx="4098">
                  <c:v>6992.58</c:v>
                </c:pt>
                <c:pt idx="4099">
                  <c:v>7027.59</c:v>
                </c:pt>
                <c:pt idx="4100">
                  <c:v>6819.65</c:v>
                </c:pt>
                <c:pt idx="4101">
                  <c:v>6715.44</c:v>
                </c:pt>
                <c:pt idx="4102">
                  <c:v>6640.24</c:v>
                </c:pt>
                <c:pt idx="4103">
                  <c:v>6603.32</c:v>
                </c:pt>
                <c:pt idx="4104">
                  <c:v>6534.57</c:v>
                </c:pt>
                <c:pt idx="4105">
                  <c:v>6595</c:v>
                </c:pt>
                <c:pt idx="4106">
                  <c:v>6617.75</c:v>
                </c:pt>
                <c:pt idx="4107">
                  <c:v>6713.23</c:v>
                </c:pt>
                <c:pt idx="4108">
                  <c:v>6716.52</c:v>
                </c:pt>
                <c:pt idx="4109">
                  <c:v>6715.49</c:v>
                </c:pt>
                <c:pt idx="4110">
                  <c:v>6623.99</c:v>
                </c:pt>
                <c:pt idx="4111">
                  <c:v>6447.7</c:v>
                </c:pt>
                <c:pt idx="4112">
                  <c:v>6585.47</c:v>
                </c:pt>
                <c:pt idx="4113">
                  <c:v>6579.87</c:v>
                </c:pt>
                <c:pt idx="4114">
                  <c:v>6671.41</c:v>
                </c:pt>
                <c:pt idx="4115">
                  <c:v>6700.29</c:v>
                </c:pt>
                <c:pt idx="4116">
                  <c:v>6712.06</c:v>
                </c:pt>
                <c:pt idx="4117">
                  <c:v>6856.96</c:v>
                </c:pt>
                <c:pt idx="4118">
                  <c:v>6899.06</c:v>
                </c:pt>
                <c:pt idx="4119">
                  <c:v>6828.82</c:v>
                </c:pt>
                <c:pt idx="4120">
                  <c:v>6858.34</c:v>
                </c:pt>
                <c:pt idx="4121">
                  <c:v>6816.89</c:v>
                </c:pt>
                <c:pt idx="4122">
                  <c:v>6897.08</c:v>
                </c:pt>
                <c:pt idx="4123">
                  <c:v>6917.03</c:v>
                </c:pt>
                <c:pt idx="4124">
                  <c:v>6937.17</c:v>
                </c:pt>
                <c:pt idx="4125">
                  <c:v>7045.56</c:v>
                </c:pt>
                <c:pt idx="4126">
                  <c:v>7073.91</c:v>
                </c:pt>
                <c:pt idx="4127">
                  <c:v>7099.91</c:v>
                </c:pt>
                <c:pt idx="4128">
                  <c:v>7166.67</c:v>
                </c:pt>
                <c:pt idx="4129">
                  <c:v>7152.83</c:v>
                </c:pt>
                <c:pt idx="4130">
                  <c:v>7142.95</c:v>
                </c:pt>
                <c:pt idx="4131">
                  <c:v>7212.07</c:v>
                </c:pt>
                <c:pt idx="4132">
                  <c:v>7338.06</c:v>
                </c:pt>
                <c:pt idx="4133">
                  <c:v>7348.83</c:v>
                </c:pt>
                <c:pt idx="4134">
                  <c:v>7282.34</c:v>
                </c:pt>
                <c:pt idx="4135">
                  <c:v>7242.73</c:v>
                </c:pt>
                <c:pt idx="4136">
                  <c:v>7342.54</c:v>
                </c:pt>
                <c:pt idx="4137">
                  <c:v>7335.62</c:v>
                </c:pt>
                <c:pt idx="4138">
                  <c:v>7270.32</c:v>
                </c:pt>
                <c:pt idx="4139">
                  <c:v>7343.08</c:v>
                </c:pt>
                <c:pt idx="4140">
                  <c:v>7387.02</c:v>
                </c:pt>
                <c:pt idx="4141">
                  <c:v>7378.12</c:v>
                </c:pt>
                <c:pt idx="4142">
                  <c:v>7408.87</c:v>
                </c:pt>
                <c:pt idx="4143">
                  <c:v>7455.93</c:v>
                </c:pt>
                <c:pt idx="4144">
                  <c:v>7476.69</c:v>
                </c:pt>
                <c:pt idx="4145">
                  <c:v>7516.76</c:v>
                </c:pt>
                <c:pt idx="4146">
                  <c:v>7525.69</c:v>
                </c:pt>
                <c:pt idx="4147">
                  <c:v>7442.2</c:v>
                </c:pt>
                <c:pt idx="4148">
                  <c:v>7475.99</c:v>
                </c:pt>
                <c:pt idx="4149">
                  <c:v>7415.33</c:v>
                </c:pt>
                <c:pt idx="4150">
                  <c:v>7479.34</c:v>
                </c:pt>
                <c:pt idx="4151">
                  <c:v>7459.61</c:v>
                </c:pt>
                <c:pt idx="4152">
                  <c:v>7505.35</c:v>
                </c:pt>
                <c:pt idx="4153">
                  <c:v>7481.25</c:v>
                </c:pt>
                <c:pt idx="4154">
                  <c:v>7499.5</c:v>
                </c:pt>
                <c:pt idx="4155">
                  <c:v>7607.54</c:v>
                </c:pt>
                <c:pt idx="4156">
                  <c:v>7619.31</c:v>
                </c:pt>
                <c:pt idx="4157">
                  <c:v>7659.39</c:v>
                </c:pt>
                <c:pt idx="4158">
                  <c:v>7735.88</c:v>
                </c:pt>
                <c:pt idx="4159">
                  <c:v>7697.38</c:v>
                </c:pt>
                <c:pt idx="4160">
                  <c:v>7739.2</c:v>
                </c:pt>
                <c:pt idx="4161">
                  <c:v>7781.04</c:v>
                </c:pt>
                <c:pt idx="4162">
                  <c:v>7764.97</c:v>
                </c:pt>
                <c:pt idx="4163">
                  <c:v>7883.04</c:v>
                </c:pt>
                <c:pt idx="4164">
                  <c:v>7987.85</c:v>
                </c:pt>
                <c:pt idx="4165">
                  <c:v>7976.79</c:v>
                </c:pt>
                <c:pt idx="4166">
                  <c:v>7919.83</c:v>
                </c:pt>
                <c:pt idx="4167">
                  <c:v>7730.05</c:v>
                </c:pt>
                <c:pt idx="4168">
                  <c:v>7618.61</c:v>
                </c:pt>
                <c:pt idx="4169">
                  <c:v>7590.5</c:v>
                </c:pt>
                <c:pt idx="4170">
                  <c:v>7706.1</c:v>
                </c:pt>
                <c:pt idx="4171">
                  <c:v>7678.26</c:v>
                </c:pt>
                <c:pt idx="4172">
                  <c:v>7680.76</c:v>
                </c:pt>
                <c:pt idx="4173">
                  <c:v>7849.16</c:v>
                </c:pt>
                <c:pt idx="4174">
                  <c:v>8030.64</c:v>
                </c:pt>
                <c:pt idx="4175">
                  <c:v>8036.12</c:v>
                </c:pt>
                <c:pt idx="4176">
                  <c:v>8033.52</c:v>
                </c:pt>
                <c:pt idx="4177">
                  <c:v>8090.49</c:v>
                </c:pt>
                <c:pt idx="4178">
                  <c:v>7964.71</c:v>
                </c:pt>
                <c:pt idx="4179">
                  <c:v>7949.63</c:v>
                </c:pt>
                <c:pt idx="4180">
                  <c:v>7930.61</c:v>
                </c:pt>
                <c:pt idx="4181">
                  <c:v>7860.52</c:v>
                </c:pt>
                <c:pt idx="4182">
                  <c:v>7801.23</c:v>
                </c:pt>
                <c:pt idx="4183">
                  <c:v>7921.36</c:v>
                </c:pt>
                <c:pt idx="4184">
                  <c:v>8007.32</c:v>
                </c:pt>
                <c:pt idx="4185">
                  <c:v>7958.24</c:v>
                </c:pt>
                <c:pt idx="4186">
                  <c:v>8050.68</c:v>
                </c:pt>
                <c:pt idx="4187">
                  <c:v>8075.26</c:v>
                </c:pt>
                <c:pt idx="4188">
                  <c:v>7987.13</c:v>
                </c:pt>
                <c:pt idx="4189">
                  <c:v>8048.32</c:v>
                </c:pt>
                <c:pt idx="4190">
                  <c:v>8077.39</c:v>
                </c:pt>
                <c:pt idx="4191">
                  <c:v>7964.76</c:v>
                </c:pt>
                <c:pt idx="4192">
                  <c:v>7898.54</c:v>
                </c:pt>
                <c:pt idx="4193">
                  <c:v>8053.43</c:v>
                </c:pt>
                <c:pt idx="4194">
                  <c:v>8092.77</c:v>
                </c:pt>
                <c:pt idx="4195">
                  <c:v>8105.69</c:v>
                </c:pt>
                <c:pt idx="4196">
                  <c:v>8038.21</c:v>
                </c:pt>
                <c:pt idx="4197">
                  <c:v>7893.61</c:v>
                </c:pt>
                <c:pt idx="4198">
                  <c:v>7991.21</c:v>
                </c:pt>
                <c:pt idx="4199">
                  <c:v>7874.85</c:v>
                </c:pt>
                <c:pt idx="4200">
                  <c:v>7944.21</c:v>
                </c:pt>
                <c:pt idx="4201">
                  <c:v>7806.79</c:v>
                </c:pt>
                <c:pt idx="4202">
                  <c:v>7692.55</c:v>
                </c:pt>
                <c:pt idx="4203">
                  <c:v>7508.96</c:v>
                </c:pt>
                <c:pt idx="4204">
                  <c:v>7451.68</c:v>
                </c:pt>
                <c:pt idx="4205">
                  <c:v>7456.31</c:v>
                </c:pt>
                <c:pt idx="4206">
                  <c:v>7584.14</c:v>
                </c:pt>
                <c:pt idx="4207">
                  <c:v>7473.93</c:v>
                </c:pt>
                <c:pt idx="4208">
                  <c:v>7534.13</c:v>
                </c:pt>
                <c:pt idx="4209">
                  <c:v>7435.67</c:v>
                </c:pt>
                <c:pt idx="4210">
                  <c:v>7444.45</c:v>
                </c:pt>
                <c:pt idx="4211">
                  <c:v>7513.66</c:v>
                </c:pt>
                <c:pt idx="4212">
                  <c:v>7605.94</c:v>
                </c:pt>
                <c:pt idx="4213">
                  <c:v>7453.59</c:v>
                </c:pt>
                <c:pt idx="4214">
                  <c:v>7343.26</c:v>
                </c:pt>
                <c:pt idx="4215">
                  <c:v>7474.33</c:v>
                </c:pt>
                <c:pt idx="4216">
                  <c:v>7425.07</c:v>
                </c:pt>
                <c:pt idx="4217">
                  <c:v>7445.9</c:v>
                </c:pt>
                <c:pt idx="4218">
                  <c:v>7270.07</c:v>
                </c:pt>
                <c:pt idx="4219">
                  <c:v>7378.29</c:v>
                </c:pt>
                <c:pt idx="4220">
                  <c:v>7407.53</c:v>
                </c:pt>
                <c:pt idx="4221">
                  <c:v>7424.75</c:v>
                </c:pt>
                <c:pt idx="4222">
                  <c:v>7500.48</c:v>
                </c:pt>
                <c:pt idx="4223">
                  <c:v>7511.96</c:v>
                </c:pt>
                <c:pt idx="4224">
                  <c:v>7507.27</c:v>
                </c:pt>
                <c:pt idx="4225">
                  <c:v>7485.99</c:v>
                </c:pt>
                <c:pt idx="4226">
                  <c:v>7430.24</c:v>
                </c:pt>
                <c:pt idx="4227">
                  <c:v>7439.18</c:v>
                </c:pt>
                <c:pt idx="4228">
                  <c:v>7519.94</c:v>
                </c:pt>
                <c:pt idx="4229">
                  <c:v>7638.17</c:v>
                </c:pt>
                <c:pt idx="4230">
                  <c:v>7648.58</c:v>
                </c:pt>
                <c:pt idx="4231">
                  <c:v>7721.77</c:v>
                </c:pt>
                <c:pt idx="4232">
                  <c:v>7588.03</c:v>
                </c:pt>
                <c:pt idx="4233">
                  <c:v>7621.72</c:v>
                </c:pt>
                <c:pt idx="4234">
                  <c:v>7436.63</c:v>
                </c:pt>
                <c:pt idx="4235">
                  <c:v>7375.44</c:v>
                </c:pt>
                <c:pt idx="4236">
                  <c:v>7457.9</c:v>
                </c:pt>
                <c:pt idx="4237">
                  <c:v>7472.99</c:v>
                </c:pt>
                <c:pt idx="4238">
                  <c:v>7535.97</c:v>
                </c:pt>
                <c:pt idx="4239">
                  <c:v>7497.74</c:v>
                </c:pt>
                <c:pt idx="4240">
                  <c:v>7479.85</c:v>
                </c:pt>
                <c:pt idx="4241">
                  <c:v>7575.21</c:v>
                </c:pt>
                <c:pt idx="4242">
                  <c:v>7750.84</c:v>
                </c:pt>
                <c:pt idx="4243">
                  <c:v>7735.09</c:v>
                </c:pt>
                <c:pt idx="4244">
                  <c:v>7794.43</c:v>
                </c:pt>
                <c:pt idx="4245">
                  <c:v>7787.92</c:v>
                </c:pt>
                <c:pt idx="4246">
                  <c:v>7769.44</c:v>
                </c:pt>
                <c:pt idx="4247">
                  <c:v>7804.15</c:v>
                </c:pt>
                <c:pt idx="4248">
                  <c:v>7853.79</c:v>
                </c:pt>
                <c:pt idx="4249">
                  <c:v>7861.51</c:v>
                </c:pt>
                <c:pt idx="4250">
                  <c:v>7922.42</c:v>
                </c:pt>
                <c:pt idx="4251">
                  <c:v>7946.79</c:v>
                </c:pt>
                <c:pt idx="4252">
                  <c:v>7955.3</c:v>
                </c:pt>
                <c:pt idx="4253">
                  <c:v>7944.99</c:v>
                </c:pt>
                <c:pt idx="4254">
                  <c:v>8002.18</c:v>
                </c:pt>
                <c:pt idx="4255">
                  <c:v>7974.37</c:v>
                </c:pt>
                <c:pt idx="4256">
                  <c:v>7980.44</c:v>
                </c:pt>
                <c:pt idx="4257">
                  <c:v>7986.57</c:v>
                </c:pt>
                <c:pt idx="4258">
                  <c:v>8033.69</c:v>
                </c:pt>
                <c:pt idx="4259">
                  <c:v>8041.26</c:v>
                </c:pt>
                <c:pt idx="4260">
                  <c:v>7969.47</c:v>
                </c:pt>
                <c:pt idx="4261">
                  <c:v>7962.64</c:v>
                </c:pt>
                <c:pt idx="4262">
                  <c:v>7985.41</c:v>
                </c:pt>
                <c:pt idx="4263">
                  <c:v>7921.4</c:v>
                </c:pt>
                <c:pt idx="4264">
                  <c:v>7884.12</c:v>
                </c:pt>
                <c:pt idx="4265">
                  <c:v>7794.94</c:v>
                </c:pt>
                <c:pt idx="4266">
                  <c:v>7842.79</c:v>
                </c:pt>
                <c:pt idx="4267">
                  <c:v>7828.96</c:v>
                </c:pt>
                <c:pt idx="4268">
                  <c:v>7932.44</c:v>
                </c:pt>
                <c:pt idx="4269">
                  <c:v>7949.17</c:v>
                </c:pt>
                <c:pt idx="4270">
                  <c:v>8009.67</c:v>
                </c:pt>
                <c:pt idx="4271">
                  <c:v>7977.94</c:v>
                </c:pt>
                <c:pt idx="4272">
                  <c:v>8019.22</c:v>
                </c:pt>
                <c:pt idx="4273">
                  <c:v>7880.85</c:v>
                </c:pt>
                <c:pt idx="4274">
                  <c:v>7849.49</c:v>
                </c:pt>
                <c:pt idx="4275">
                  <c:v>7807.55</c:v>
                </c:pt>
                <c:pt idx="4276">
                  <c:v>7827.19</c:v>
                </c:pt>
                <c:pt idx="4277">
                  <c:v>7799.62</c:v>
                </c:pt>
                <c:pt idx="4278">
                  <c:v>7819.47</c:v>
                </c:pt>
                <c:pt idx="4279">
                  <c:v>7812.4</c:v>
                </c:pt>
                <c:pt idx="4280">
                  <c:v>7806.84</c:v>
                </c:pt>
                <c:pt idx="4281">
                  <c:v>7777.56</c:v>
                </c:pt>
                <c:pt idx="4282">
                  <c:v>7783.11</c:v>
                </c:pt>
                <c:pt idx="4283">
                  <c:v>7667.03</c:v>
                </c:pt>
                <c:pt idx="4284">
                  <c:v>7612.26</c:v>
                </c:pt>
                <c:pt idx="4285">
                  <c:v>7511.97</c:v>
                </c:pt>
                <c:pt idx="4286">
                  <c:v>7630.31</c:v>
                </c:pt>
                <c:pt idx="4287">
                  <c:v>7518.42</c:v>
                </c:pt>
                <c:pt idx="4288">
                  <c:v>7562.1</c:v>
                </c:pt>
                <c:pt idx="4289">
                  <c:v>7608.96</c:v>
                </c:pt>
                <c:pt idx="4290">
                  <c:v>7567.36</c:v>
                </c:pt>
                <c:pt idx="4291">
                  <c:v>7531.35</c:v>
                </c:pt>
                <c:pt idx="4292">
                  <c:v>7723.66</c:v>
                </c:pt>
                <c:pt idx="4293">
                  <c:v>7765.19</c:v>
                </c:pt>
                <c:pt idx="4294">
                  <c:v>7870.52</c:v>
                </c:pt>
                <c:pt idx="4295">
                  <c:v>7837.26</c:v>
                </c:pt>
                <c:pt idx="4296">
                  <c:v>7808.94</c:v>
                </c:pt>
                <c:pt idx="4297">
                  <c:v>7944.77</c:v>
                </c:pt>
                <c:pt idx="4298">
                  <c:v>7940.58</c:v>
                </c:pt>
                <c:pt idx="4299">
                  <c:v>7994.07</c:v>
                </c:pt>
                <c:pt idx="4300">
                  <c:v>8033.36</c:v>
                </c:pt>
                <c:pt idx="4301">
                  <c:v>8009.42</c:v>
                </c:pt>
                <c:pt idx="4302">
                  <c:v>8076.12</c:v>
                </c:pt>
                <c:pt idx="4303">
                  <c:v>7928.31</c:v>
                </c:pt>
                <c:pt idx="4304">
                  <c:v>7948.36</c:v>
                </c:pt>
                <c:pt idx="4305">
                  <c:v>7825.44</c:v>
                </c:pt>
                <c:pt idx="4306">
                  <c:v>7850.74</c:v>
                </c:pt>
                <c:pt idx="4307">
                  <c:v>7837.32</c:v>
                </c:pt>
                <c:pt idx="4308">
                  <c:v>7869.19</c:v>
                </c:pt>
                <c:pt idx="4309">
                  <c:v>8002.67</c:v>
                </c:pt>
                <c:pt idx="4310">
                  <c:v>8038.6</c:v>
                </c:pt>
                <c:pt idx="4311">
                  <c:v>8067.32</c:v>
                </c:pt>
                <c:pt idx="4312">
                  <c:v>7949.11</c:v>
                </c:pt>
                <c:pt idx="4313">
                  <c:v>7908.41</c:v>
                </c:pt>
                <c:pt idx="4314">
                  <c:v>7808.69</c:v>
                </c:pt>
                <c:pt idx="4315">
                  <c:v>7817.17</c:v>
                </c:pt>
                <c:pt idx="4316">
                  <c:v>7849.99</c:v>
                </c:pt>
                <c:pt idx="4317">
                  <c:v>7782.71</c:v>
                </c:pt>
                <c:pt idx="4318">
                  <c:v>7713.09</c:v>
                </c:pt>
                <c:pt idx="4319">
                  <c:v>7717.95</c:v>
                </c:pt>
                <c:pt idx="4320">
                  <c:v>7732.02</c:v>
                </c:pt>
                <c:pt idx="4321">
                  <c:v>7566.38</c:v>
                </c:pt>
                <c:pt idx="4322">
                  <c:v>7471.57</c:v>
                </c:pt>
                <c:pt idx="4323">
                  <c:v>7413.53</c:v>
                </c:pt>
                <c:pt idx="4324">
                  <c:v>7314.17</c:v>
                </c:pt>
                <c:pt idx="4325">
                  <c:v>6790.19</c:v>
                </c:pt>
                <c:pt idx="4326">
                  <c:v>6769.47</c:v>
                </c:pt>
                <c:pt idx="4327">
                  <c:v>6439.21</c:v>
                </c:pt>
                <c:pt idx="4328">
                  <c:v>6821.07</c:v>
                </c:pt>
                <c:pt idx="4329">
                  <c:v>6816.74</c:v>
                </c:pt>
                <c:pt idx="4330">
                  <c:v>6818.85</c:v>
                </c:pt>
                <c:pt idx="4331">
                  <c:v>6892.96</c:v>
                </c:pt>
                <c:pt idx="4332">
                  <c:v>6875.35</c:v>
                </c:pt>
                <c:pt idx="4333">
                  <c:v>6851.75</c:v>
                </c:pt>
                <c:pt idx="4334">
                  <c:v>6968.67</c:v>
                </c:pt>
                <c:pt idx="4335">
                  <c:v>7000.49</c:v>
                </c:pt>
                <c:pt idx="4336">
                  <c:v>6765.25</c:v>
                </c:pt>
                <c:pt idx="4337">
                  <c:v>6847.51</c:v>
                </c:pt>
                <c:pt idx="4338">
                  <c:v>6733.72</c:v>
                </c:pt>
                <c:pt idx="4339">
                  <c:v>6767.28</c:v>
                </c:pt>
                <c:pt idx="4340">
                  <c:v>6743.54</c:v>
                </c:pt>
                <c:pt idx="4341">
                  <c:v>6967.84</c:v>
                </c:pt>
                <c:pt idx="4342">
                  <c:v>6973.67</c:v>
                </c:pt>
                <c:pt idx="4343">
                  <c:v>6962.28</c:v>
                </c:pt>
                <c:pt idx="4344">
                  <c:v>6832.43</c:v>
                </c:pt>
                <c:pt idx="4345">
                  <c:v>7002.29</c:v>
                </c:pt>
                <c:pt idx="4346">
                  <c:v>6899.68</c:v>
                </c:pt>
                <c:pt idx="4347">
                  <c:v>6904.85</c:v>
                </c:pt>
                <c:pt idx="4348">
                  <c:v>6806.29</c:v>
                </c:pt>
                <c:pt idx="4349">
                  <c:v>6882.56</c:v>
                </c:pt>
                <c:pt idx="4350">
                  <c:v>6985.97</c:v>
                </c:pt>
                <c:pt idx="4351">
                  <c:v>6997.85</c:v>
                </c:pt>
                <c:pt idx="4352">
                  <c:v>6862.52</c:v>
                </c:pt>
                <c:pt idx="4353">
                  <c:v>6748.13</c:v>
                </c:pt>
                <c:pt idx="4354">
                  <c:v>6689.95</c:v>
                </c:pt>
                <c:pt idx="4355">
                  <c:v>6545.04</c:v>
                </c:pt>
                <c:pt idx="4356">
                  <c:v>6683.71</c:v>
                </c:pt>
                <c:pt idx="4357">
                  <c:v>6591.31</c:v>
                </c:pt>
                <c:pt idx="4358">
                  <c:v>6513.99</c:v>
                </c:pt>
                <c:pt idx="4359">
                  <c:v>6448.08</c:v>
                </c:pt>
                <c:pt idx="4360">
                  <c:v>6524.57</c:v>
                </c:pt>
                <c:pt idx="4361">
                  <c:v>6599.37</c:v>
                </c:pt>
                <c:pt idx="4362">
                  <c:v>6500.56</c:v>
                </c:pt>
                <c:pt idx="4363">
                  <c:v>6451.9</c:v>
                </c:pt>
                <c:pt idx="4364">
                  <c:v>6182.3</c:v>
                </c:pt>
                <c:pt idx="4365">
                  <c:v>6393.39</c:v>
                </c:pt>
                <c:pt idx="4366">
                  <c:v>6361.22</c:v>
                </c:pt>
                <c:pt idx="4367">
                  <c:v>6319.99</c:v>
                </c:pt>
                <c:pt idx="4368">
                  <c:v>6524.71</c:v>
                </c:pt>
                <c:pt idx="4369">
                  <c:v>6489.26</c:v>
                </c:pt>
                <c:pt idx="4370">
                  <c:v>6578.06</c:v>
                </c:pt>
                <c:pt idx="4371">
                  <c:v>6559.9</c:v>
                </c:pt>
                <c:pt idx="4372">
                  <c:v>6534.97</c:v>
                </c:pt>
                <c:pt idx="4373">
                  <c:v>6720.33</c:v>
                </c:pt>
                <c:pt idx="4374">
                  <c:v>6777.44</c:v>
                </c:pt>
                <c:pt idx="4375">
                  <c:v>6741.72</c:v>
                </c:pt>
                <c:pt idx="4376">
                  <c:v>6763.39</c:v>
                </c:pt>
                <c:pt idx="4377">
                  <c:v>6821.03</c:v>
                </c:pt>
                <c:pt idx="4378">
                  <c:v>6771.98</c:v>
                </c:pt>
                <c:pt idx="4379">
                  <c:v>6721.36</c:v>
                </c:pt>
                <c:pt idx="4380">
                  <c:v>6704.32</c:v>
                </c:pt>
                <c:pt idx="4381">
                  <c:v>6603.57</c:v>
                </c:pt>
                <c:pt idx="4382">
                  <c:v>6554.49</c:v>
                </c:pt>
                <c:pt idx="4383">
                  <c:v>6585.05</c:v>
                </c:pt>
                <c:pt idx="4384">
                  <c:v>6702.84</c:v>
                </c:pt>
                <c:pt idx="4385">
                  <c:v>6681.81</c:v>
                </c:pt>
                <c:pt idx="4386">
                  <c:v>6843.08</c:v>
                </c:pt>
                <c:pt idx="4387">
                  <c:v>6786.55</c:v>
                </c:pt>
                <c:pt idx="4388">
                  <c:v>6728.3</c:v>
                </c:pt>
                <c:pt idx="4389">
                  <c:v>6795.03</c:v>
                </c:pt>
                <c:pt idx="4390">
                  <c:v>6821.32</c:v>
                </c:pt>
                <c:pt idx="4391">
                  <c:v>6896.58</c:v>
                </c:pt>
                <c:pt idx="4392">
                  <c:v>6925.33</c:v>
                </c:pt>
                <c:pt idx="4393">
                  <c:v>6885.34</c:v>
                </c:pt>
                <c:pt idx="4394">
                  <c:v>6948.82</c:v>
                </c:pt>
                <c:pt idx="4395">
                  <c:v>7043.23</c:v>
                </c:pt>
                <c:pt idx="4396">
                  <c:v>7052.08</c:v>
                </c:pt>
                <c:pt idx="4397">
                  <c:v>7017.1</c:v>
                </c:pt>
                <c:pt idx="4398">
                  <c:v>7076.25</c:v>
                </c:pt>
                <c:pt idx="4399">
                  <c:v>7071.9</c:v>
                </c:pt>
                <c:pt idx="4400">
                  <c:v>7003.17</c:v>
                </c:pt>
                <c:pt idx="4401">
                  <c:v>7035.95</c:v>
                </c:pt>
                <c:pt idx="4402">
                  <c:v>7060.19</c:v>
                </c:pt>
                <c:pt idx="4403">
                  <c:v>7083.24</c:v>
                </c:pt>
                <c:pt idx="4404">
                  <c:v>7081.05</c:v>
                </c:pt>
                <c:pt idx="4405">
                  <c:v>7156.55</c:v>
                </c:pt>
                <c:pt idx="4406">
                  <c:v>7225.94</c:v>
                </c:pt>
                <c:pt idx="4407">
                  <c:v>7118.5</c:v>
                </c:pt>
                <c:pt idx="4408">
                  <c:v>7040.83</c:v>
                </c:pt>
                <c:pt idx="4409">
                  <c:v>7070.33</c:v>
                </c:pt>
                <c:pt idx="4410">
                  <c:v>6944.05</c:v>
                </c:pt>
                <c:pt idx="4411">
                  <c:v>6953.84</c:v>
                </c:pt>
                <c:pt idx="4412">
                  <c:v>6958.66</c:v>
                </c:pt>
                <c:pt idx="4413">
                  <c:v>7033.84</c:v>
                </c:pt>
                <c:pt idx="4414">
                  <c:v>7055.03</c:v>
                </c:pt>
                <c:pt idx="4415">
                  <c:v>7096.79</c:v>
                </c:pt>
                <c:pt idx="4416">
                  <c:v>7008.77</c:v>
                </c:pt>
                <c:pt idx="4417">
                  <c:v>7019.13</c:v>
                </c:pt>
                <c:pt idx="4418">
                  <c:v>6965.43</c:v>
                </c:pt>
                <c:pt idx="4419">
                  <c:v>6941.83</c:v>
                </c:pt>
                <c:pt idx="4420">
                  <c:v>6803.81</c:v>
                </c:pt>
                <c:pt idx="4421">
                  <c:v>6815.63</c:v>
                </c:pt>
                <c:pt idx="4422">
                  <c:v>6771.1</c:v>
                </c:pt>
                <c:pt idx="4423">
                  <c:v>6650.26</c:v>
                </c:pt>
                <c:pt idx="4424">
                  <c:v>6714.52</c:v>
                </c:pt>
                <c:pt idx="4425">
                  <c:v>6765.32</c:v>
                </c:pt>
                <c:pt idx="4426">
                  <c:v>6729.88</c:v>
                </c:pt>
                <c:pt idx="4427">
                  <c:v>6796.16</c:v>
                </c:pt>
                <c:pt idx="4428">
                  <c:v>6728.91</c:v>
                </c:pt>
                <c:pt idx="4429">
                  <c:v>6721.17</c:v>
                </c:pt>
                <c:pt idx="4430">
                  <c:v>6578.44</c:v>
                </c:pt>
                <c:pt idx="4431">
                  <c:v>6589.46</c:v>
                </c:pt>
                <c:pt idx="4432">
                  <c:v>6536.06</c:v>
                </c:pt>
                <c:pt idx="4433">
                  <c:v>6617.84</c:v>
                </c:pt>
                <c:pt idx="4434">
                  <c:v>6459.6</c:v>
                </c:pt>
                <c:pt idx="4435">
                  <c:v>6421.91</c:v>
                </c:pt>
                <c:pt idx="4436">
                  <c:v>6418.32</c:v>
                </c:pt>
                <c:pt idx="4437">
                  <c:v>6315.94</c:v>
                </c:pt>
                <c:pt idx="4438">
                  <c:v>6305.42</c:v>
                </c:pt>
                <c:pt idx="4439">
                  <c:v>6353.74</c:v>
                </c:pt>
                <c:pt idx="4440">
                  <c:v>6272.21</c:v>
                </c:pt>
                <c:pt idx="4441">
                  <c:v>6395.75</c:v>
                </c:pt>
                <c:pt idx="4442">
                  <c:v>6304.41</c:v>
                </c:pt>
                <c:pt idx="4443">
                  <c:v>6386.46</c:v>
                </c:pt>
                <c:pt idx="4444">
                  <c:v>6305</c:v>
                </c:pt>
                <c:pt idx="4445">
                  <c:v>6153.3</c:v>
                </c:pt>
                <c:pt idx="4446">
                  <c:v>6200.25</c:v>
                </c:pt>
                <c:pt idx="4447">
                  <c:v>6081.7</c:v>
                </c:pt>
                <c:pt idx="4448">
                  <c:v>6155.37</c:v>
                </c:pt>
                <c:pt idx="4449">
                  <c:v>6271.27</c:v>
                </c:pt>
                <c:pt idx="4450">
                  <c:v>6382.65</c:v>
                </c:pt>
                <c:pt idx="4451">
                  <c:v>6424.84</c:v>
                </c:pt>
                <c:pt idx="4452">
                  <c:v>6442.79</c:v>
                </c:pt>
                <c:pt idx="4453">
                  <c:v>6536.09</c:v>
                </c:pt>
                <c:pt idx="4454">
                  <c:v>6440.7</c:v>
                </c:pt>
                <c:pt idx="4455">
                  <c:v>6436.71</c:v>
                </c:pt>
                <c:pt idx="4456">
                  <c:v>6351.15</c:v>
                </c:pt>
                <c:pt idx="4457">
                  <c:v>6398.8</c:v>
                </c:pt>
                <c:pt idx="4458">
                  <c:v>6460.12</c:v>
                </c:pt>
                <c:pt idx="4459">
                  <c:v>6479.56</c:v>
                </c:pt>
                <c:pt idx="4460">
                  <c:v>6396.46</c:v>
                </c:pt>
                <c:pt idx="4461">
                  <c:v>6349.81</c:v>
                </c:pt>
                <c:pt idx="4462">
                  <c:v>6518.7</c:v>
                </c:pt>
                <c:pt idx="4463">
                  <c:v>6561.39</c:v>
                </c:pt>
                <c:pt idx="4464">
                  <c:v>6543.49</c:v>
                </c:pt>
                <c:pt idx="4465">
                  <c:v>6561.65</c:v>
                </c:pt>
                <c:pt idx="4466">
                  <c:v>6609.63</c:v>
                </c:pt>
                <c:pt idx="4467">
                  <c:v>6585.87</c:v>
                </c:pt>
                <c:pt idx="4468">
                  <c:v>6422.19</c:v>
                </c:pt>
                <c:pt idx="4469">
                  <c:v>6442.21</c:v>
                </c:pt>
                <c:pt idx="4470">
                  <c:v>6446.02</c:v>
                </c:pt>
                <c:pt idx="4471">
                  <c:v>6432.88</c:v>
                </c:pt>
                <c:pt idx="4472">
                  <c:v>6282.43</c:v>
                </c:pt>
                <c:pt idx="4473">
                  <c:v>6317.8</c:v>
                </c:pt>
                <c:pt idx="4474">
                  <c:v>6236.96</c:v>
                </c:pt>
                <c:pt idx="4475">
                  <c:v>6342.42</c:v>
                </c:pt>
                <c:pt idx="4476">
                  <c:v>6296.95</c:v>
                </c:pt>
                <c:pt idx="4477">
                  <c:v>6340.52</c:v>
                </c:pt>
                <c:pt idx="4478">
                  <c:v>6321.03</c:v>
                </c:pt>
                <c:pt idx="4479">
                  <c:v>6420.54</c:v>
                </c:pt>
                <c:pt idx="4480">
                  <c:v>6422.3</c:v>
                </c:pt>
                <c:pt idx="4481">
                  <c:v>6421.8</c:v>
                </c:pt>
                <c:pt idx="4482">
                  <c:v>6518.47</c:v>
                </c:pt>
                <c:pt idx="4483">
                  <c:v>6467.49</c:v>
                </c:pt>
                <c:pt idx="4484">
                  <c:v>6279.57</c:v>
                </c:pt>
                <c:pt idx="4485">
                  <c:v>6127.44</c:v>
                </c:pt>
                <c:pt idx="4486">
                  <c:v>6263.74</c:v>
                </c:pt>
                <c:pt idx="4487">
                  <c:v>6233.41</c:v>
                </c:pt>
                <c:pt idx="4488">
                  <c:v>6210.32</c:v>
                </c:pt>
                <c:pt idx="4489">
                  <c:v>6178.9</c:v>
                </c:pt>
                <c:pt idx="4490">
                  <c:v>6234.89</c:v>
                </c:pt>
                <c:pt idx="4491">
                  <c:v>6064.16</c:v>
                </c:pt>
                <c:pt idx="4492">
                  <c:v>5965.17</c:v>
                </c:pt>
                <c:pt idx="4493">
                  <c:v>5860.98</c:v>
                </c:pt>
                <c:pt idx="4494">
                  <c:v>5863.42</c:v>
                </c:pt>
                <c:pt idx="4495">
                  <c:v>6143.42</c:v>
                </c:pt>
                <c:pt idx="4496">
                  <c:v>6107.75</c:v>
                </c:pt>
                <c:pt idx="4497">
                  <c:v>6068.53</c:v>
                </c:pt>
                <c:pt idx="4498">
                  <c:v>6052.87</c:v>
                </c:pt>
                <c:pt idx="4499">
                  <c:v>6173.03</c:v>
                </c:pt>
                <c:pt idx="4500">
                  <c:v>6063.5</c:v>
                </c:pt>
                <c:pt idx="4501">
                  <c:v>5807.08</c:v>
                </c:pt>
                <c:pt idx="4502">
                  <c:v>5831.02</c:v>
                </c:pt>
                <c:pt idx="4503">
                  <c:v>5806.33</c:v>
                </c:pt>
                <c:pt idx="4504">
                  <c:v>5660.63</c:v>
                </c:pt>
                <c:pt idx="4505">
                  <c:v>5797.03</c:v>
                </c:pt>
                <c:pt idx="4506">
                  <c:v>5387.01</c:v>
                </c:pt>
                <c:pt idx="4507">
                  <c:v>5326.63</c:v>
                </c:pt>
                <c:pt idx="4508">
                  <c:v>5013.62</c:v>
                </c:pt>
                <c:pt idx="4509">
                  <c:v>4887</c:v>
                </c:pt>
                <c:pt idx="4510">
                  <c:v>4544.3100000000004</c:v>
                </c:pt>
                <c:pt idx="4511">
                  <c:v>5062.45</c:v>
                </c:pt>
                <c:pt idx="4512">
                  <c:v>5199.1899999999996</c:v>
                </c:pt>
                <c:pt idx="4513">
                  <c:v>4861.63</c:v>
                </c:pt>
                <c:pt idx="4514">
                  <c:v>4622.8100000000004</c:v>
                </c:pt>
                <c:pt idx="4515">
                  <c:v>4781.33</c:v>
                </c:pt>
                <c:pt idx="4516">
                  <c:v>4835.01</c:v>
                </c:pt>
                <c:pt idx="4517">
                  <c:v>4784.41</c:v>
                </c:pt>
                <c:pt idx="4518">
                  <c:v>4571.07</c:v>
                </c:pt>
                <c:pt idx="4519">
                  <c:v>4519.7</c:v>
                </c:pt>
                <c:pt idx="4520">
                  <c:v>4295.67</c:v>
                </c:pt>
                <c:pt idx="4521">
                  <c:v>4334.6400000000003</c:v>
                </c:pt>
                <c:pt idx="4522">
                  <c:v>4823.45</c:v>
                </c:pt>
                <c:pt idx="4523">
                  <c:v>4808.6899999999996</c:v>
                </c:pt>
                <c:pt idx="4524">
                  <c:v>4869.3</c:v>
                </c:pt>
                <c:pt idx="4525">
                  <c:v>4987.97</c:v>
                </c:pt>
                <c:pt idx="4526">
                  <c:v>5026.84</c:v>
                </c:pt>
                <c:pt idx="4527">
                  <c:v>5278.04</c:v>
                </c:pt>
                <c:pt idx="4528">
                  <c:v>5166.87</c:v>
                </c:pt>
                <c:pt idx="4529">
                  <c:v>4813.57</c:v>
                </c:pt>
                <c:pt idx="4530">
                  <c:v>4938.46</c:v>
                </c:pt>
                <c:pt idx="4531">
                  <c:v>5025.53</c:v>
                </c:pt>
                <c:pt idx="4532">
                  <c:v>4761.58</c:v>
                </c:pt>
                <c:pt idx="4533">
                  <c:v>4620.8</c:v>
                </c:pt>
                <c:pt idx="4534">
                  <c:v>4649.5200000000004</c:v>
                </c:pt>
                <c:pt idx="4535">
                  <c:v>4710.24</c:v>
                </c:pt>
                <c:pt idx="4536">
                  <c:v>4557.2700000000004</c:v>
                </c:pt>
                <c:pt idx="4537">
                  <c:v>4579.47</c:v>
                </c:pt>
                <c:pt idx="4538">
                  <c:v>4354.09</c:v>
                </c:pt>
                <c:pt idx="4539">
                  <c:v>4220.2</c:v>
                </c:pt>
                <c:pt idx="4540">
                  <c:v>4127.41</c:v>
                </c:pt>
                <c:pt idx="4541">
                  <c:v>4554.33</c:v>
                </c:pt>
                <c:pt idx="4542">
                  <c:v>4560.42</c:v>
                </c:pt>
                <c:pt idx="4543">
                  <c:v>4560.5</c:v>
                </c:pt>
                <c:pt idx="4544">
                  <c:v>4665.2700000000004</c:v>
                </c:pt>
                <c:pt idx="4545">
                  <c:v>4669.4399999999996</c:v>
                </c:pt>
                <c:pt idx="4546">
                  <c:v>4394.79</c:v>
                </c:pt>
                <c:pt idx="4547">
                  <c:v>4531.79</c:v>
                </c:pt>
                <c:pt idx="4548">
                  <c:v>4567.24</c:v>
                </c:pt>
                <c:pt idx="4549">
                  <c:v>4564.2299999999996</c:v>
                </c:pt>
                <c:pt idx="4550">
                  <c:v>4381.47</c:v>
                </c:pt>
                <c:pt idx="4551">
                  <c:v>4715.88</c:v>
                </c:pt>
                <c:pt idx="4552">
                  <c:v>4779.1099999999997</c:v>
                </c:pt>
                <c:pt idx="4553">
                  <c:v>4804.88</c:v>
                </c:pt>
                <c:pt idx="4554">
                  <c:v>4767.2</c:v>
                </c:pt>
                <c:pt idx="4555">
                  <c:v>4663.37</c:v>
                </c:pt>
                <c:pt idx="4556">
                  <c:v>4654.82</c:v>
                </c:pt>
                <c:pt idx="4557">
                  <c:v>4729.91</c:v>
                </c:pt>
                <c:pt idx="4558">
                  <c:v>4708.38</c:v>
                </c:pt>
                <c:pt idx="4559">
                  <c:v>4756.3999999999996</c:v>
                </c:pt>
                <c:pt idx="4560">
                  <c:v>4696.7</c:v>
                </c:pt>
                <c:pt idx="4561">
                  <c:v>4639.0200000000004</c:v>
                </c:pt>
                <c:pt idx="4562">
                  <c:v>4629.38</c:v>
                </c:pt>
                <c:pt idx="4563">
                  <c:v>4629.38</c:v>
                </c:pt>
                <c:pt idx="4564">
                  <c:v>4629.38</c:v>
                </c:pt>
                <c:pt idx="4565">
                  <c:v>4704.8599999999997</c:v>
                </c:pt>
                <c:pt idx="4566">
                  <c:v>4810.2</c:v>
                </c:pt>
                <c:pt idx="4567">
                  <c:v>4973.07</c:v>
                </c:pt>
                <c:pt idx="4568">
                  <c:v>4983.99</c:v>
                </c:pt>
                <c:pt idx="4569">
                  <c:v>5026.3100000000004</c:v>
                </c:pt>
                <c:pt idx="4570">
                  <c:v>4937.47</c:v>
                </c:pt>
                <c:pt idx="4571">
                  <c:v>4879.91</c:v>
                </c:pt>
                <c:pt idx="4572">
                  <c:v>4783.8900000000003</c:v>
                </c:pt>
                <c:pt idx="4573">
                  <c:v>4719.62</c:v>
                </c:pt>
                <c:pt idx="4574">
                  <c:v>4636.9399999999996</c:v>
                </c:pt>
                <c:pt idx="4575">
                  <c:v>4422.3500000000004</c:v>
                </c:pt>
                <c:pt idx="4576">
                  <c:v>4336.7299999999996</c:v>
                </c:pt>
                <c:pt idx="4577">
                  <c:v>4366.28</c:v>
                </c:pt>
                <c:pt idx="4578">
                  <c:v>4316.1400000000003</c:v>
                </c:pt>
                <c:pt idx="4579">
                  <c:v>4239.8500000000004</c:v>
                </c:pt>
                <c:pt idx="4580">
                  <c:v>4261.1499999999996</c:v>
                </c:pt>
                <c:pt idx="4581">
                  <c:v>4219.42</c:v>
                </c:pt>
                <c:pt idx="4582">
                  <c:v>4178.9399999999996</c:v>
                </c:pt>
                <c:pt idx="4583">
                  <c:v>4326.87</c:v>
                </c:pt>
                <c:pt idx="4584">
                  <c:v>4323.42</c:v>
                </c:pt>
                <c:pt idx="4585">
                  <c:v>4518.72</c:v>
                </c:pt>
                <c:pt idx="4586">
                  <c:v>4428.1099999999997</c:v>
                </c:pt>
                <c:pt idx="4587">
                  <c:v>4338.3500000000004</c:v>
                </c:pt>
                <c:pt idx="4588">
                  <c:v>4271.04</c:v>
                </c:pt>
                <c:pt idx="4589">
                  <c:v>4374.96</c:v>
                </c:pt>
                <c:pt idx="4590">
                  <c:v>4492.79</c:v>
                </c:pt>
                <c:pt idx="4591">
                  <c:v>4510.49</c:v>
                </c:pt>
                <c:pt idx="4592">
                  <c:v>4644.63</c:v>
                </c:pt>
                <c:pt idx="4593">
                  <c:v>4666.82</c:v>
                </c:pt>
                <c:pt idx="4594">
                  <c:v>4505.54</c:v>
                </c:pt>
                <c:pt idx="4595">
                  <c:v>4530.09</c:v>
                </c:pt>
                <c:pt idx="4596">
                  <c:v>4407.5600000000004</c:v>
                </c:pt>
                <c:pt idx="4597">
                  <c:v>4413.3900000000003</c:v>
                </c:pt>
                <c:pt idx="4598">
                  <c:v>4216.6000000000004</c:v>
                </c:pt>
                <c:pt idx="4599">
                  <c:v>4204.96</c:v>
                </c:pt>
                <c:pt idx="4600">
                  <c:v>4215.21</c:v>
                </c:pt>
                <c:pt idx="4601">
                  <c:v>4014.66</c:v>
                </c:pt>
                <c:pt idx="4602">
                  <c:v>3936.45</c:v>
                </c:pt>
                <c:pt idx="4603">
                  <c:v>3895.75</c:v>
                </c:pt>
                <c:pt idx="4604">
                  <c:v>3846.21</c:v>
                </c:pt>
                <c:pt idx="4605">
                  <c:v>3942.62</c:v>
                </c:pt>
                <c:pt idx="4606">
                  <c:v>3843.74</c:v>
                </c:pt>
                <c:pt idx="4607">
                  <c:v>3710.07</c:v>
                </c:pt>
                <c:pt idx="4608">
                  <c:v>3690.72</c:v>
                </c:pt>
                <c:pt idx="4609">
                  <c:v>3890.94</c:v>
                </c:pt>
                <c:pt idx="4610">
                  <c:v>3695.49</c:v>
                </c:pt>
                <c:pt idx="4611">
                  <c:v>3666.41</c:v>
                </c:pt>
                <c:pt idx="4612">
                  <c:v>3692.03</c:v>
                </c:pt>
                <c:pt idx="4613">
                  <c:v>3886.98</c:v>
                </c:pt>
                <c:pt idx="4614">
                  <c:v>3914.1</c:v>
                </c:pt>
                <c:pt idx="4615">
                  <c:v>3956.22</c:v>
                </c:pt>
                <c:pt idx="4616">
                  <c:v>3953.6</c:v>
                </c:pt>
                <c:pt idx="4617">
                  <c:v>4044.54</c:v>
                </c:pt>
                <c:pt idx="4618">
                  <c:v>3987.77</c:v>
                </c:pt>
                <c:pt idx="4619">
                  <c:v>3996.32</c:v>
                </c:pt>
                <c:pt idx="4620">
                  <c:v>4043.46</c:v>
                </c:pt>
                <c:pt idx="4621">
                  <c:v>4068.74</c:v>
                </c:pt>
                <c:pt idx="4622">
                  <c:v>4176.37</c:v>
                </c:pt>
                <c:pt idx="4623">
                  <c:v>4187.3599999999997</c:v>
                </c:pt>
                <c:pt idx="4624">
                  <c:v>4223.29</c:v>
                </c:pt>
                <c:pt idx="4625">
                  <c:v>4259.37</c:v>
                </c:pt>
                <c:pt idx="4626">
                  <c:v>4203.55</c:v>
                </c:pt>
                <c:pt idx="4627">
                  <c:v>3989.23</c:v>
                </c:pt>
                <c:pt idx="4628">
                  <c:v>4084.76</c:v>
                </c:pt>
                <c:pt idx="4629">
                  <c:v>4131.07</c:v>
                </c:pt>
                <c:pt idx="4630">
                  <c:v>4381.92</c:v>
                </c:pt>
                <c:pt idx="4631">
                  <c:v>4384.99</c:v>
                </c:pt>
                <c:pt idx="4632">
                  <c:v>4349.8100000000004</c:v>
                </c:pt>
                <c:pt idx="4633">
                  <c:v>4322.5</c:v>
                </c:pt>
                <c:pt idx="4634">
                  <c:v>4357.92</c:v>
                </c:pt>
                <c:pt idx="4635">
                  <c:v>4491.12</c:v>
                </c:pt>
                <c:pt idx="4636">
                  <c:v>4491.12</c:v>
                </c:pt>
                <c:pt idx="4637">
                  <c:v>4557.01</c:v>
                </c:pt>
                <c:pt idx="4638">
                  <c:v>4549.79</c:v>
                </c:pt>
                <c:pt idx="4639">
                  <c:v>4609.46</c:v>
                </c:pt>
                <c:pt idx="4640">
                  <c:v>4676.84</c:v>
                </c:pt>
                <c:pt idx="4641">
                  <c:v>4486.3</c:v>
                </c:pt>
                <c:pt idx="4642">
                  <c:v>4501.63</c:v>
                </c:pt>
                <c:pt idx="4643">
                  <c:v>4594.42</c:v>
                </c:pt>
                <c:pt idx="4644">
                  <c:v>4538.21</c:v>
                </c:pt>
                <c:pt idx="4645">
                  <c:v>4674.32</c:v>
                </c:pt>
                <c:pt idx="4646">
                  <c:v>4694.07</c:v>
                </c:pt>
                <c:pt idx="4647">
                  <c:v>4607.42</c:v>
                </c:pt>
                <c:pt idx="4648">
                  <c:v>4704.5600000000004</c:v>
                </c:pt>
                <c:pt idx="4649">
                  <c:v>4769.45</c:v>
                </c:pt>
                <c:pt idx="4650">
                  <c:v>4769.45</c:v>
                </c:pt>
                <c:pt idx="4651">
                  <c:v>4902.45</c:v>
                </c:pt>
                <c:pt idx="4652">
                  <c:v>4853.03</c:v>
                </c:pt>
                <c:pt idx="4653">
                  <c:v>4880.71</c:v>
                </c:pt>
                <c:pt idx="4654">
                  <c:v>4804.1000000000004</c:v>
                </c:pt>
                <c:pt idx="4655">
                  <c:v>4913.8999999999996</c:v>
                </c:pt>
                <c:pt idx="4656">
                  <c:v>4866.91</c:v>
                </c:pt>
                <c:pt idx="4657">
                  <c:v>4854.1099999999997</c:v>
                </c:pt>
                <c:pt idx="4658">
                  <c:v>4727.6099999999997</c:v>
                </c:pt>
                <c:pt idx="4659">
                  <c:v>4738.47</c:v>
                </c:pt>
                <c:pt idx="4660">
                  <c:v>4737.5</c:v>
                </c:pt>
                <c:pt idx="4661">
                  <c:v>4851.96</c:v>
                </c:pt>
                <c:pt idx="4662">
                  <c:v>4959.62</c:v>
                </c:pt>
                <c:pt idx="4663">
                  <c:v>5038.9399999999996</c:v>
                </c:pt>
                <c:pt idx="4664">
                  <c:v>4900.67</c:v>
                </c:pt>
                <c:pt idx="4665">
                  <c:v>4918.75</c:v>
                </c:pt>
                <c:pt idx="4666">
                  <c:v>4918.45</c:v>
                </c:pt>
                <c:pt idx="4667">
                  <c:v>4985.6000000000004</c:v>
                </c:pt>
                <c:pt idx="4668">
                  <c:v>5000.7700000000004</c:v>
                </c:pt>
                <c:pt idx="4669">
                  <c:v>4932.88</c:v>
                </c:pt>
                <c:pt idx="4670">
                  <c:v>4940.82</c:v>
                </c:pt>
                <c:pt idx="4671">
                  <c:v>5142.5600000000004</c:v>
                </c:pt>
                <c:pt idx="4672">
                  <c:v>5144.0600000000004</c:v>
                </c:pt>
                <c:pt idx="4673">
                  <c:v>5054.53</c:v>
                </c:pt>
                <c:pt idx="4674">
                  <c:v>5064.8</c:v>
                </c:pt>
                <c:pt idx="4675">
                  <c:v>5077.03</c:v>
                </c:pt>
                <c:pt idx="4676">
                  <c:v>5004.72</c:v>
                </c:pt>
                <c:pt idx="4677">
                  <c:v>4997.8599999999997</c:v>
                </c:pt>
                <c:pt idx="4678">
                  <c:v>5051.18</c:v>
                </c:pt>
                <c:pt idx="4679">
                  <c:v>5107.26</c:v>
                </c:pt>
                <c:pt idx="4680">
                  <c:v>5069.24</c:v>
                </c:pt>
                <c:pt idx="4681">
                  <c:v>4889.9399999999996</c:v>
                </c:pt>
                <c:pt idx="4682">
                  <c:v>4890.72</c:v>
                </c:pt>
                <c:pt idx="4683">
                  <c:v>4799.9799999999996</c:v>
                </c:pt>
                <c:pt idx="4684">
                  <c:v>4837.4799999999996</c:v>
                </c:pt>
                <c:pt idx="4685">
                  <c:v>4839.46</c:v>
                </c:pt>
                <c:pt idx="4686">
                  <c:v>4693.3999999999996</c:v>
                </c:pt>
                <c:pt idx="4687">
                  <c:v>4707.1499999999996</c:v>
                </c:pt>
                <c:pt idx="4688">
                  <c:v>4836.01</c:v>
                </c:pt>
                <c:pt idx="4689">
                  <c:v>4800.5600000000004</c:v>
                </c:pt>
                <c:pt idx="4690">
                  <c:v>4776.47</c:v>
                </c:pt>
                <c:pt idx="4691">
                  <c:v>4885.09</c:v>
                </c:pt>
                <c:pt idx="4692">
                  <c:v>4808.6400000000003</c:v>
                </c:pt>
                <c:pt idx="4693">
                  <c:v>4905.4399999999996</c:v>
                </c:pt>
                <c:pt idx="4694">
                  <c:v>4718.49</c:v>
                </c:pt>
                <c:pt idx="4695">
                  <c:v>4708.21</c:v>
                </c:pt>
                <c:pt idx="4696">
                  <c:v>4651.82</c:v>
                </c:pt>
                <c:pt idx="4697">
                  <c:v>4598.1899999999996</c:v>
                </c:pt>
                <c:pt idx="4698">
                  <c:v>4572.6499999999996</c:v>
                </c:pt>
                <c:pt idx="4699">
                  <c:v>4630.07</c:v>
                </c:pt>
                <c:pt idx="4700">
                  <c:v>4576.3100000000004</c:v>
                </c:pt>
                <c:pt idx="4701">
                  <c:v>4722.34</c:v>
                </c:pt>
                <c:pt idx="4702">
                  <c:v>4781.6899999999996</c:v>
                </c:pt>
                <c:pt idx="4703">
                  <c:v>4928.4399999999996</c:v>
                </c:pt>
                <c:pt idx="4704">
                  <c:v>4957.1899999999996</c:v>
                </c:pt>
                <c:pt idx="4705">
                  <c:v>4978.3999999999996</c:v>
                </c:pt>
                <c:pt idx="4706">
                  <c:v>5030.1499999999996</c:v>
                </c:pt>
                <c:pt idx="4707">
                  <c:v>5093.97</c:v>
                </c:pt>
                <c:pt idx="4708">
                  <c:v>5121.5600000000004</c:v>
                </c:pt>
                <c:pt idx="4709">
                  <c:v>5247.28</c:v>
                </c:pt>
                <c:pt idx="4710">
                  <c:v>5229.3599999999997</c:v>
                </c:pt>
                <c:pt idx="4711">
                  <c:v>5251.55</c:v>
                </c:pt>
                <c:pt idx="4712">
                  <c:v>5174.74</c:v>
                </c:pt>
                <c:pt idx="4713">
                  <c:v>5270.32</c:v>
                </c:pt>
                <c:pt idx="4714">
                  <c:v>5360.66</c:v>
                </c:pt>
                <c:pt idx="4715">
                  <c:v>5332.14</c:v>
                </c:pt>
                <c:pt idx="4716">
                  <c:v>5426.85</c:v>
                </c:pt>
                <c:pt idx="4717">
                  <c:v>5417.02</c:v>
                </c:pt>
                <c:pt idx="4718">
                  <c:v>5353.01</c:v>
                </c:pt>
                <c:pt idx="4719">
                  <c:v>5369.98</c:v>
                </c:pt>
                <c:pt idx="4720">
                  <c:v>5458.96</c:v>
                </c:pt>
                <c:pt idx="4721">
                  <c:v>5418.12</c:v>
                </c:pt>
                <c:pt idx="4722">
                  <c:v>5285.81</c:v>
                </c:pt>
                <c:pt idx="4723">
                  <c:v>5350.09</c:v>
                </c:pt>
                <c:pt idx="4724">
                  <c:v>5401.11</c:v>
                </c:pt>
                <c:pt idx="4725">
                  <c:v>5309.11</c:v>
                </c:pt>
                <c:pt idx="4726">
                  <c:v>5201.6099999999997</c:v>
                </c:pt>
                <c:pt idx="4727">
                  <c:v>5250.74</c:v>
                </c:pt>
                <c:pt idx="4728">
                  <c:v>5231.9799999999996</c:v>
                </c:pt>
                <c:pt idx="4729">
                  <c:v>5311.06</c:v>
                </c:pt>
                <c:pt idx="4730">
                  <c:v>5462.74</c:v>
                </c:pt>
                <c:pt idx="4731">
                  <c:v>5519.75</c:v>
                </c:pt>
                <c:pt idx="4732">
                  <c:v>5557.09</c:v>
                </c:pt>
                <c:pt idx="4733">
                  <c:v>5521.97</c:v>
                </c:pt>
                <c:pt idx="4734">
                  <c:v>5470.33</c:v>
                </c:pt>
                <c:pt idx="4735">
                  <c:v>5517.35</c:v>
                </c:pt>
                <c:pt idx="4736">
                  <c:v>5458.04</c:v>
                </c:pt>
                <c:pt idx="4737">
                  <c:v>5327.29</c:v>
                </c:pt>
                <c:pt idx="4738">
                  <c:v>5319.84</c:v>
                </c:pt>
                <c:pt idx="4739">
                  <c:v>5301.42</c:v>
                </c:pt>
                <c:pt idx="4740">
                  <c:v>5384.43</c:v>
                </c:pt>
                <c:pt idx="4741">
                  <c:v>5463.51</c:v>
                </c:pt>
                <c:pt idx="4742">
                  <c:v>5481.73</c:v>
                </c:pt>
                <c:pt idx="4743">
                  <c:v>5574.26</c:v>
                </c:pt>
                <c:pt idx="4744">
                  <c:v>5594.77</c:v>
                </c:pt>
                <c:pt idx="4745">
                  <c:v>5624.02</c:v>
                </c:pt>
                <c:pt idx="4746">
                  <c:v>5620.24</c:v>
                </c:pt>
                <c:pt idx="4747">
                  <c:v>5628.98</c:v>
                </c:pt>
                <c:pt idx="4748">
                  <c:v>5700.26</c:v>
                </c:pt>
                <c:pt idx="4749">
                  <c:v>5731.14</c:v>
                </c:pt>
                <c:pt idx="4750">
                  <c:v>5703.83</c:v>
                </c:pt>
                <c:pt idx="4751">
                  <c:v>5668.65</c:v>
                </c:pt>
                <c:pt idx="4752">
                  <c:v>5709.38</c:v>
                </c:pt>
                <c:pt idx="4753">
                  <c:v>5702.05</c:v>
                </c:pt>
                <c:pt idx="4754">
                  <c:v>5605.21</c:v>
                </c:pt>
                <c:pt idx="4755">
                  <c:v>5581.41</c:v>
                </c:pt>
                <c:pt idx="4756">
                  <c:v>5736.31</c:v>
                </c:pt>
                <c:pt idx="4757">
                  <c:v>5713.52</c:v>
                </c:pt>
                <c:pt idx="4758">
                  <c:v>5675.16</c:v>
                </c:pt>
                <c:pt idx="4759">
                  <c:v>5554.55</c:v>
                </c:pt>
                <c:pt idx="4760">
                  <c:v>5467.9</c:v>
                </c:pt>
                <c:pt idx="4761">
                  <c:v>5508.85</c:v>
                </c:pt>
                <c:pt idx="4762">
                  <c:v>5657.64</c:v>
                </c:pt>
                <c:pt idx="4763">
                  <c:v>5640.75</c:v>
                </c:pt>
                <c:pt idx="4764">
                  <c:v>5716.54</c:v>
                </c:pt>
                <c:pt idx="4765">
                  <c:v>5711.88</c:v>
                </c:pt>
                <c:pt idx="4766">
                  <c:v>5783.23</c:v>
                </c:pt>
                <c:pt idx="4767">
                  <c:v>5714.31</c:v>
                </c:pt>
                <c:pt idx="4768">
                  <c:v>5854.14</c:v>
                </c:pt>
                <c:pt idx="4769">
                  <c:v>5830.77</c:v>
                </c:pt>
                <c:pt idx="4770">
                  <c:v>5743.39</c:v>
                </c:pt>
                <c:pt idx="4771">
                  <c:v>5852.56</c:v>
                </c:pt>
                <c:pt idx="4772">
                  <c:v>5811.77</c:v>
                </c:pt>
                <c:pt idx="4773">
                  <c:v>5833.49</c:v>
                </c:pt>
                <c:pt idx="4774">
                  <c:v>5762.93</c:v>
                </c:pt>
                <c:pt idx="4775">
                  <c:v>5740.25</c:v>
                </c:pt>
                <c:pt idx="4776">
                  <c:v>5642.16</c:v>
                </c:pt>
                <c:pt idx="4777">
                  <c:v>5635.02</c:v>
                </c:pt>
                <c:pt idx="4778">
                  <c:v>5496.27</c:v>
                </c:pt>
                <c:pt idx="4779">
                  <c:v>5587.45</c:v>
                </c:pt>
                <c:pt idx="4780">
                  <c:v>5414.96</c:v>
                </c:pt>
                <c:pt idx="4781">
                  <c:v>5430.82</c:v>
                </c:pt>
                <c:pt idx="4782">
                  <c:v>5353.35</c:v>
                </c:pt>
                <c:pt idx="4783">
                  <c:v>5444.23</c:v>
                </c:pt>
                <c:pt idx="4784">
                  <c:v>5480.92</c:v>
                </c:pt>
                <c:pt idx="4785">
                  <c:v>5488.25</c:v>
                </c:pt>
                <c:pt idx="4786">
                  <c:v>5619.72</c:v>
                </c:pt>
                <c:pt idx="4787">
                  <c:v>5613.2</c:v>
                </c:pt>
                <c:pt idx="4788">
                  <c:v>5668.35</c:v>
                </c:pt>
                <c:pt idx="4789">
                  <c:v>5663.96</c:v>
                </c:pt>
                <c:pt idx="4790">
                  <c:v>5686.83</c:v>
                </c:pt>
                <c:pt idx="4791">
                  <c:v>5804.82</c:v>
                </c:pt>
                <c:pt idx="4792">
                  <c:v>5778.43</c:v>
                </c:pt>
                <c:pt idx="4793">
                  <c:v>5787.61</c:v>
                </c:pt>
                <c:pt idx="4794">
                  <c:v>5702.18</c:v>
                </c:pt>
                <c:pt idx="4795">
                  <c:v>5663.15</c:v>
                </c:pt>
                <c:pt idx="4796">
                  <c:v>5801.48</c:v>
                </c:pt>
                <c:pt idx="4797">
                  <c:v>5769.31</c:v>
                </c:pt>
                <c:pt idx="4798">
                  <c:v>5803.02</c:v>
                </c:pt>
                <c:pt idx="4799">
                  <c:v>5614.17</c:v>
                </c:pt>
                <c:pt idx="4800">
                  <c:v>5685.61</c:v>
                </c:pt>
                <c:pt idx="4801">
                  <c:v>5625.95</c:v>
                </c:pt>
                <c:pt idx="4802">
                  <c:v>5776.61</c:v>
                </c:pt>
                <c:pt idx="4803">
                  <c:v>5781.68</c:v>
                </c:pt>
                <c:pt idx="4804">
                  <c:v>5770.35</c:v>
                </c:pt>
                <c:pt idx="4805">
                  <c:v>5817.65</c:v>
                </c:pt>
                <c:pt idx="4806">
                  <c:v>5784.75</c:v>
                </c:pt>
                <c:pt idx="4807">
                  <c:v>5688.58</c:v>
                </c:pt>
                <c:pt idx="4808">
                  <c:v>5647.84</c:v>
                </c:pt>
                <c:pt idx="4809">
                  <c:v>5709.02</c:v>
                </c:pt>
                <c:pt idx="4810">
                  <c:v>5756.29</c:v>
                </c:pt>
                <c:pt idx="4811">
                  <c:v>5802.26</c:v>
                </c:pt>
                <c:pt idx="4812">
                  <c:v>5811.34</c:v>
                </c:pt>
                <c:pt idx="4813">
                  <c:v>5903.43</c:v>
                </c:pt>
                <c:pt idx="4814">
                  <c:v>5844.44</c:v>
                </c:pt>
                <c:pt idx="4815">
                  <c:v>5831.21</c:v>
                </c:pt>
                <c:pt idx="4816">
                  <c:v>5930.53</c:v>
                </c:pt>
                <c:pt idx="4817">
                  <c:v>5945.69</c:v>
                </c:pt>
                <c:pt idx="4818">
                  <c:v>5957.44</c:v>
                </c:pt>
                <c:pt idx="4819">
                  <c:v>6002.92</c:v>
                </c:pt>
                <c:pt idx="4820">
                  <c:v>6011.55</c:v>
                </c:pt>
                <c:pt idx="4821">
                  <c:v>5957.43</c:v>
                </c:pt>
                <c:pt idx="4822">
                  <c:v>6048.3</c:v>
                </c:pt>
                <c:pt idx="4823">
                  <c:v>6031.86</c:v>
                </c:pt>
                <c:pt idx="4824">
                  <c:v>6034.33</c:v>
                </c:pt>
                <c:pt idx="4825">
                  <c:v>6019.36</c:v>
                </c:pt>
                <c:pt idx="4826">
                  <c:v>6037.61</c:v>
                </c:pt>
                <c:pt idx="4827">
                  <c:v>6040.5</c:v>
                </c:pt>
                <c:pt idx="4828">
                  <c:v>5943</c:v>
                </c:pt>
                <c:pt idx="4829">
                  <c:v>5963.14</c:v>
                </c:pt>
                <c:pt idx="4830">
                  <c:v>5988.88</c:v>
                </c:pt>
                <c:pt idx="4831">
                  <c:v>5875.97</c:v>
                </c:pt>
                <c:pt idx="4832">
                  <c:v>5918.55</c:v>
                </c:pt>
                <c:pt idx="4833">
                  <c:v>5976.48</c:v>
                </c:pt>
                <c:pt idx="4834">
                  <c:v>5851.53</c:v>
                </c:pt>
                <c:pt idx="4835">
                  <c:v>5746.97</c:v>
                </c:pt>
                <c:pt idx="4836">
                  <c:v>5695.32</c:v>
                </c:pt>
                <c:pt idx="4837">
                  <c:v>5631.37</c:v>
                </c:pt>
                <c:pt idx="4838">
                  <c:v>5668.93</c:v>
                </c:pt>
                <c:pt idx="4839">
                  <c:v>5643.2</c:v>
                </c:pt>
                <c:pt idx="4840">
                  <c:v>5540.33</c:v>
                </c:pt>
                <c:pt idx="4841">
                  <c:v>5608.79</c:v>
                </c:pt>
                <c:pt idx="4842">
                  <c:v>5654.48</c:v>
                </c:pt>
                <c:pt idx="4843">
                  <c:v>5709.66</c:v>
                </c:pt>
                <c:pt idx="4844">
                  <c:v>5672.09</c:v>
                </c:pt>
                <c:pt idx="4845">
                  <c:v>5533.24</c:v>
                </c:pt>
                <c:pt idx="4846">
                  <c:v>5434.34</c:v>
                </c:pt>
                <c:pt idx="4847">
                  <c:v>5484.85</c:v>
                </c:pt>
                <c:pt idx="4848">
                  <c:v>5498.26</c:v>
                </c:pt>
                <c:pt idx="4849">
                  <c:v>5536.37</c:v>
                </c:pt>
                <c:pt idx="4850">
                  <c:v>5503.93</c:v>
                </c:pt>
                <c:pt idx="4851">
                  <c:v>5500.39</c:v>
                </c:pt>
                <c:pt idx="4852">
                  <c:v>5511.1</c:v>
                </c:pt>
                <c:pt idx="4853">
                  <c:v>5592.12</c:v>
                </c:pt>
                <c:pt idx="4854">
                  <c:v>5648.34</c:v>
                </c:pt>
                <c:pt idx="4855">
                  <c:v>5680.41</c:v>
                </c:pt>
                <c:pt idx="4856">
                  <c:v>5722.05</c:v>
                </c:pt>
                <c:pt idx="4857">
                  <c:v>5688.44</c:v>
                </c:pt>
                <c:pt idx="4858">
                  <c:v>5604.07</c:v>
                </c:pt>
                <c:pt idx="4859">
                  <c:v>5615.51</c:v>
                </c:pt>
                <c:pt idx="4860">
                  <c:v>5532.33</c:v>
                </c:pt>
                <c:pt idx="4861">
                  <c:v>5598.46</c:v>
                </c:pt>
                <c:pt idx="4862">
                  <c:v>5713.51</c:v>
                </c:pt>
                <c:pt idx="4863">
                  <c:v>5776.56</c:v>
                </c:pt>
                <c:pt idx="4864">
                  <c:v>5817.88</c:v>
                </c:pt>
                <c:pt idx="4865">
                  <c:v>5795.32</c:v>
                </c:pt>
                <c:pt idx="4866">
                  <c:v>5877.36</c:v>
                </c:pt>
                <c:pt idx="4867">
                  <c:v>5875.91</c:v>
                </c:pt>
                <c:pt idx="4868">
                  <c:v>5885.89</c:v>
                </c:pt>
                <c:pt idx="4869">
                  <c:v>5936.72</c:v>
                </c:pt>
                <c:pt idx="4870">
                  <c:v>5928.63</c:v>
                </c:pt>
                <c:pt idx="4871">
                  <c:v>5945.11</c:v>
                </c:pt>
                <c:pt idx="4872">
                  <c:v>5903.56</c:v>
                </c:pt>
                <c:pt idx="4873">
                  <c:v>5970.99</c:v>
                </c:pt>
                <c:pt idx="4874">
                  <c:v>6024.28</c:v>
                </c:pt>
                <c:pt idx="4875">
                  <c:v>6012.31</c:v>
                </c:pt>
                <c:pt idx="4876">
                  <c:v>5982.43</c:v>
                </c:pt>
                <c:pt idx="4877">
                  <c:v>5987.5</c:v>
                </c:pt>
                <c:pt idx="4878">
                  <c:v>6017.27</c:v>
                </c:pt>
                <c:pt idx="4879">
                  <c:v>6039</c:v>
                </c:pt>
                <c:pt idx="4880">
                  <c:v>6132.95</c:v>
                </c:pt>
                <c:pt idx="4881">
                  <c:v>6120.05</c:v>
                </c:pt>
                <c:pt idx="4882">
                  <c:v>6156.85</c:v>
                </c:pt>
                <c:pt idx="4883">
                  <c:v>6142.45</c:v>
                </c:pt>
                <c:pt idx="4884">
                  <c:v>6153.55</c:v>
                </c:pt>
                <c:pt idx="4885">
                  <c:v>6235.56</c:v>
                </c:pt>
                <c:pt idx="4886">
                  <c:v>6235.56</c:v>
                </c:pt>
                <c:pt idx="4887">
                  <c:v>6252.21</c:v>
                </c:pt>
                <c:pt idx="4888">
                  <c:v>6222.41</c:v>
                </c:pt>
                <c:pt idx="4889">
                  <c:v>6171.83</c:v>
                </c:pt>
                <c:pt idx="4890">
                  <c:v>6249.7</c:v>
                </c:pt>
                <c:pt idx="4891">
                  <c:v>6250.69</c:v>
                </c:pt>
                <c:pt idx="4892">
                  <c:v>6230.83</c:v>
                </c:pt>
                <c:pt idx="4893">
                  <c:v>6278.4</c:v>
                </c:pt>
                <c:pt idx="4894">
                  <c:v>6291.45</c:v>
                </c:pt>
                <c:pt idx="4895">
                  <c:v>6180.9</c:v>
                </c:pt>
                <c:pt idx="4896">
                  <c:v>6162.44</c:v>
                </c:pt>
                <c:pt idx="4897">
                  <c:v>6264.23</c:v>
                </c:pt>
                <c:pt idx="4898">
                  <c:v>6230.38</c:v>
                </c:pt>
                <c:pt idx="4899">
                  <c:v>6168.72</c:v>
                </c:pt>
                <c:pt idx="4900">
                  <c:v>6259.53</c:v>
                </c:pt>
                <c:pt idx="4901">
                  <c:v>6332.1</c:v>
                </c:pt>
              </c:numCache>
            </c:numRef>
          </c:val>
          <c:smooth val="0"/>
          <c:extLst>
            <c:ext xmlns:c16="http://schemas.microsoft.com/office/drawing/2014/chart" uri="{C3380CC4-5D6E-409C-BE32-E72D297353CC}">
              <c16:uniqueId val="{00000000-D0CA-41A6-B5BC-3A51F0CB18DE}"/>
            </c:ext>
          </c:extLst>
        </c:ser>
        <c:dLbls>
          <c:showLegendKey val="0"/>
          <c:showVal val="0"/>
          <c:showCatName val="0"/>
          <c:showSerName val="0"/>
          <c:showPercent val="0"/>
          <c:showBubbleSize val="0"/>
        </c:dLbls>
        <c:smooth val="0"/>
        <c:axId val="250099200"/>
        <c:axId val="250100736"/>
      </c:lineChart>
      <c:dateAx>
        <c:axId val="250099200"/>
        <c:scaling>
          <c:orientation val="minMax"/>
        </c:scaling>
        <c:delete val="0"/>
        <c:axPos val="b"/>
        <c:numFmt formatCode="m/d/yyyy" sourceLinked="1"/>
        <c:majorTickMark val="out"/>
        <c:minorTickMark val="none"/>
        <c:tickLblPos val="nextTo"/>
        <c:crossAx val="250100736"/>
        <c:crosses val="autoZero"/>
        <c:auto val="1"/>
        <c:lblOffset val="100"/>
        <c:baseTimeUnit val="days"/>
      </c:dateAx>
      <c:valAx>
        <c:axId val="250100736"/>
        <c:scaling>
          <c:orientation val="minMax"/>
        </c:scaling>
        <c:delete val="0"/>
        <c:axPos val="l"/>
        <c:majorGridlines/>
        <c:numFmt formatCode="General" sourceLinked="1"/>
        <c:majorTickMark val="out"/>
        <c:minorTickMark val="none"/>
        <c:tickLblPos val="nextTo"/>
        <c:crossAx val="250099200"/>
        <c:crosses val="autoZero"/>
        <c:crossBetween val="between"/>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12</xdr:col>
      <xdr:colOff>29765</xdr:colOff>
      <xdr:row>47</xdr:row>
      <xdr:rowOff>21431</xdr:rowOff>
    </xdr:from>
    <xdr:to>
      <xdr:col>17</xdr:col>
      <xdr:colOff>577453</xdr:colOff>
      <xdr:row>59</xdr:row>
      <xdr:rowOff>121444</xdr:rowOff>
    </xdr:to>
    <xdr:graphicFrame macro="">
      <xdr:nvGraphicFramePr>
        <xdr:cNvPr id="2" name="Diagramm 1">
          <a:extLst>
            <a:ext uri="{FF2B5EF4-FFF2-40B4-BE49-F238E27FC236}">
              <a16:creationId xmlns:a16="http://schemas.microsoft.com/office/drawing/2014/main" id="{1847AC07-C953-6C0B-8D81-4D23DF623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314325</xdr:colOff>
      <xdr:row>27</xdr:row>
      <xdr:rowOff>119062</xdr:rowOff>
    </xdr:from>
    <xdr:ext cx="914400" cy="342786"/>
    <mc:AlternateContent xmlns:mc="http://schemas.openxmlformats.org/markup-compatibility/2006" xmlns:a14="http://schemas.microsoft.com/office/drawing/2010/main">
      <mc:Choice Requires="a14">
        <xdr:sp macro="" textlink="">
          <xdr:nvSpPr>
            <xdr:cNvPr id="2" name="Textfeld 1">
              <a:extLst>
                <a:ext uri="{FF2B5EF4-FFF2-40B4-BE49-F238E27FC236}">
                  <a16:creationId xmlns:a16="http://schemas.microsoft.com/office/drawing/2014/main" id="{00000000-0008-0000-0500-000002000000}"/>
                </a:ext>
              </a:extLst>
            </xdr:cNvPr>
            <xdr:cNvSpPr txBox="1"/>
          </xdr:nvSpPr>
          <xdr:spPr>
            <a:xfrm>
              <a:off x="2657475" y="5719762"/>
              <a:ext cx="9144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acc>
                      <m:accPr>
                        <m:chr m:val="̅"/>
                        <m:ctrlPr>
                          <a:rPr lang="de-DE" sz="1600" i="1">
                            <a:latin typeface="Cambria Math" panose="02040503050406030204" pitchFamily="18" charset="0"/>
                          </a:rPr>
                        </m:ctrlPr>
                      </m:accPr>
                      <m:e>
                        <m:r>
                          <a:rPr lang="de-DE" sz="1600" b="0" i="1">
                            <a:latin typeface="Cambria Math"/>
                          </a:rPr>
                          <m:t>𝑥</m:t>
                        </m:r>
                      </m:e>
                    </m:acc>
                  </m:oMath>
                </m:oMathPara>
              </a14:m>
              <a:endParaRPr lang="de-DE" sz="1600"/>
            </a:p>
          </xdr:txBody>
        </xdr:sp>
      </mc:Choice>
      <mc:Fallback xmlns="">
        <xdr:sp macro="" textlink="">
          <xdr:nvSpPr>
            <xdr:cNvPr id="2" name="Textfeld 1"/>
            <xdr:cNvSpPr txBox="1"/>
          </xdr:nvSpPr>
          <xdr:spPr>
            <a:xfrm>
              <a:off x="2657475" y="5719762"/>
              <a:ext cx="9144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de-DE" sz="1600" b="0" i="0">
                  <a:latin typeface="Cambria Math"/>
                </a:rPr>
                <a:t>𝑥 ̅</a:t>
              </a:r>
              <a:endParaRPr lang="de-DE" sz="16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5</xdr:col>
      <xdr:colOff>152400</xdr:colOff>
      <xdr:row>30</xdr:row>
      <xdr:rowOff>47625</xdr:rowOff>
    </xdr:from>
    <xdr:to>
      <xdr:col>9</xdr:col>
      <xdr:colOff>755650</xdr:colOff>
      <xdr:row>47</xdr:row>
      <xdr:rowOff>57150</xdr:rowOff>
    </xdr:to>
    <xdr:graphicFrame macro="">
      <xdr:nvGraphicFramePr>
        <xdr:cNvPr id="2" name="Diagramm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F6AA85A-E522-425B-9E23-A7E4CF3E59A0}">
  <we:reference id="wa200009404" version="1.0.0.8" store="de-DE" storeType="OMEX"/>
  <we:alternateReferences>
    <we:reference id="wa200009404" version="1.0.0.8" store="wa200009404" storeType="OMEX"/>
  </we:alternateReferences>
  <we:properties>
    <we:property name="claude.fileId" value="&quot;7f828808-8fb1-4a77-9925-7fabc5691392&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5"/>
  <sheetViews>
    <sheetView zoomScale="80" zoomScaleNormal="80" workbookViewId="0">
      <selection activeCell="N34" sqref="N34"/>
    </sheetView>
  </sheetViews>
  <sheetFormatPr baseColWidth="10" defaultRowHeight="12.5" x14ac:dyDescent="0.25"/>
  <cols>
    <col min="2" max="2" width="5.54296875" customWidth="1"/>
  </cols>
  <sheetData>
    <row r="2" spans="2:21" ht="18" x14ac:dyDescent="0.25">
      <c r="B2" s="3" t="s">
        <v>71</v>
      </c>
      <c r="C2" s="4"/>
      <c r="D2" s="4"/>
      <c r="E2" s="4"/>
      <c r="F2" s="4"/>
      <c r="G2" s="4"/>
      <c r="H2" s="4"/>
      <c r="I2" s="4"/>
      <c r="J2" s="5"/>
    </row>
    <row r="3" spans="2:21" ht="20" x14ac:dyDescent="0.25">
      <c r="B3" s="6"/>
      <c r="C3" s="7"/>
      <c r="D3" s="7"/>
      <c r="E3" s="7"/>
      <c r="F3" s="7"/>
      <c r="G3" s="7"/>
      <c r="H3" s="7"/>
      <c r="I3" s="7"/>
      <c r="J3" s="8"/>
      <c r="L3" s="238" t="s">
        <v>185</v>
      </c>
      <c r="M3" s="238"/>
      <c r="N3" s="238"/>
      <c r="O3" s="238"/>
      <c r="P3" s="238"/>
      <c r="Q3" s="238"/>
      <c r="R3" s="238"/>
      <c r="S3" s="238"/>
      <c r="T3" s="238"/>
      <c r="U3" s="238"/>
    </row>
    <row r="4" spans="2:21" ht="15.5" x14ac:dyDescent="0.35">
      <c r="B4" s="9" t="s">
        <v>140</v>
      </c>
      <c r="C4" s="10"/>
      <c r="D4" s="10"/>
      <c r="E4" s="10"/>
      <c r="F4" s="10"/>
      <c r="G4" s="10"/>
      <c r="H4" s="10"/>
      <c r="I4" s="7"/>
      <c r="J4" s="8"/>
      <c r="L4" s="238"/>
      <c r="M4" s="238"/>
      <c r="N4" s="238"/>
      <c r="O4" s="238"/>
      <c r="P4" s="238"/>
      <c r="Q4" s="238"/>
      <c r="R4" s="238"/>
      <c r="S4" s="238"/>
      <c r="T4" s="238"/>
      <c r="U4" s="238"/>
    </row>
    <row r="5" spans="2:21" ht="15.5" x14ac:dyDescent="0.35">
      <c r="B5" s="9"/>
      <c r="C5" s="10"/>
      <c r="D5" s="10"/>
      <c r="E5" s="10"/>
      <c r="F5" s="10"/>
      <c r="G5" s="10"/>
      <c r="H5" s="10"/>
      <c r="I5" s="7"/>
      <c r="J5" s="8"/>
      <c r="L5" s="238"/>
      <c r="M5" s="238"/>
      <c r="N5" s="238"/>
      <c r="O5" s="238"/>
      <c r="P5" s="238"/>
      <c r="Q5" s="238"/>
      <c r="R5" s="238"/>
      <c r="S5" s="238"/>
      <c r="T5" s="238"/>
      <c r="U5" s="238"/>
    </row>
    <row r="6" spans="2:21" ht="15.5" x14ac:dyDescent="0.35">
      <c r="B6" s="9" t="s">
        <v>141</v>
      </c>
      <c r="C6" s="10"/>
      <c r="D6" s="10"/>
      <c r="E6" s="10"/>
      <c r="F6" s="10"/>
      <c r="G6" s="10"/>
      <c r="H6" s="10"/>
      <c r="I6" s="7"/>
      <c r="J6" s="8"/>
      <c r="L6" s="238"/>
      <c r="M6" s="238"/>
      <c r="N6" s="238"/>
      <c r="O6" s="238"/>
      <c r="P6" s="238"/>
      <c r="Q6" s="238"/>
      <c r="R6" s="238"/>
      <c r="S6" s="238"/>
      <c r="T6" s="238"/>
      <c r="U6" s="238"/>
    </row>
    <row r="7" spans="2:21" ht="15.5" x14ac:dyDescent="0.35">
      <c r="B7" s="9"/>
      <c r="C7" s="10"/>
      <c r="D7" s="10"/>
      <c r="E7" s="10"/>
      <c r="F7" s="10"/>
      <c r="G7" s="10"/>
      <c r="H7" s="10"/>
      <c r="I7" s="7"/>
      <c r="J7" s="8"/>
      <c r="L7" s="238"/>
      <c r="M7" s="238"/>
      <c r="N7" s="238"/>
      <c r="O7" s="238"/>
      <c r="P7" s="238"/>
      <c r="Q7" s="238"/>
      <c r="R7" s="238"/>
      <c r="S7" s="238"/>
      <c r="T7" s="238"/>
      <c r="U7" s="238"/>
    </row>
    <row r="8" spans="2:21" ht="15.5" x14ac:dyDescent="0.35">
      <c r="B8" s="9"/>
      <c r="C8" s="10"/>
      <c r="D8" s="10"/>
      <c r="E8" s="10"/>
      <c r="F8" s="10"/>
      <c r="G8" s="10"/>
      <c r="H8" s="10"/>
      <c r="I8" s="7"/>
      <c r="J8" s="8"/>
      <c r="L8" s="238"/>
      <c r="M8" s="238"/>
      <c r="N8" s="238"/>
      <c r="O8" s="238"/>
      <c r="P8" s="238"/>
      <c r="Q8" s="238"/>
      <c r="R8" s="238"/>
      <c r="S8" s="238"/>
      <c r="T8" s="238"/>
      <c r="U8" s="238"/>
    </row>
    <row r="9" spans="2:21" ht="15.5" x14ac:dyDescent="0.35">
      <c r="B9" s="9"/>
      <c r="C9" s="10"/>
      <c r="D9" s="10"/>
      <c r="E9" s="10"/>
      <c r="F9" s="10"/>
      <c r="G9" s="10"/>
      <c r="H9" s="10"/>
      <c r="I9" s="7"/>
      <c r="J9" s="8"/>
      <c r="L9" s="238"/>
      <c r="M9" s="238"/>
      <c r="N9" s="238"/>
      <c r="O9" s="238"/>
      <c r="P9" s="238"/>
      <c r="Q9" s="238"/>
      <c r="R9" s="238"/>
      <c r="S9" s="238"/>
      <c r="T9" s="238"/>
      <c r="U9" s="238"/>
    </row>
    <row r="10" spans="2:21" ht="15.5" x14ac:dyDescent="0.35">
      <c r="B10" s="9"/>
      <c r="C10" s="10"/>
      <c r="D10" s="10"/>
      <c r="E10" s="10"/>
      <c r="F10" s="10"/>
      <c r="G10" s="10"/>
      <c r="H10" s="10"/>
      <c r="I10" s="7"/>
      <c r="J10" s="8"/>
      <c r="L10" s="238"/>
      <c r="M10" s="238"/>
      <c r="N10" s="238"/>
      <c r="O10" s="238"/>
      <c r="P10" s="238"/>
      <c r="Q10" s="238"/>
      <c r="R10" s="238"/>
      <c r="S10" s="238"/>
      <c r="T10" s="238"/>
      <c r="U10" s="238"/>
    </row>
    <row r="11" spans="2:21" ht="15.5" x14ac:dyDescent="0.35">
      <c r="B11" s="11"/>
      <c r="C11" s="10"/>
      <c r="D11" s="10"/>
      <c r="E11" s="10"/>
      <c r="F11" s="10"/>
      <c r="G11" s="10"/>
      <c r="H11" s="10"/>
      <c r="I11" s="7"/>
      <c r="J11" s="8"/>
      <c r="L11" s="238"/>
      <c r="M11" s="238"/>
      <c r="N11" s="238"/>
      <c r="O11" s="238"/>
      <c r="P11" s="238"/>
      <c r="Q11" s="238"/>
      <c r="R11" s="238"/>
      <c r="S11" s="238"/>
      <c r="T11" s="238"/>
      <c r="U11" s="238"/>
    </row>
    <row r="12" spans="2:21" ht="15.5" x14ac:dyDescent="0.35">
      <c r="B12" s="12"/>
      <c r="C12" s="10"/>
      <c r="D12" s="10"/>
      <c r="E12" s="10"/>
      <c r="F12" s="10"/>
      <c r="G12" s="10"/>
      <c r="H12" s="10"/>
      <c r="I12" s="7"/>
      <c r="J12" s="8"/>
      <c r="L12" s="238"/>
      <c r="M12" s="238"/>
      <c r="N12" s="238"/>
      <c r="O12" s="238"/>
      <c r="P12" s="238"/>
      <c r="Q12" s="238"/>
      <c r="R12" s="238"/>
      <c r="S12" s="238"/>
      <c r="T12" s="238"/>
      <c r="U12" s="238"/>
    </row>
    <row r="13" spans="2:21" ht="15.5" x14ac:dyDescent="0.35">
      <c r="B13" s="11"/>
      <c r="C13" s="10"/>
      <c r="D13" s="10"/>
      <c r="E13" s="10"/>
      <c r="F13" s="10"/>
      <c r="G13" s="10"/>
      <c r="H13" s="10"/>
      <c r="I13" s="7"/>
      <c r="J13" s="8"/>
      <c r="L13" s="238"/>
      <c r="M13" s="238"/>
      <c r="N13" s="238"/>
      <c r="O13" s="238"/>
      <c r="P13" s="238"/>
      <c r="Q13" s="238"/>
      <c r="R13" s="238"/>
      <c r="S13" s="238"/>
      <c r="T13" s="238"/>
      <c r="U13" s="238"/>
    </row>
    <row r="14" spans="2:21" ht="15.5" x14ac:dyDescent="0.35">
      <c r="B14" s="12"/>
      <c r="C14" s="10"/>
      <c r="D14" s="10"/>
      <c r="E14" s="10"/>
      <c r="F14" s="10"/>
      <c r="G14" s="10"/>
      <c r="H14" s="10"/>
      <c r="I14" s="7"/>
      <c r="J14" s="8"/>
      <c r="L14" s="238"/>
      <c r="M14" s="238"/>
      <c r="N14" s="238"/>
      <c r="O14" s="238"/>
      <c r="P14" s="238"/>
      <c r="Q14" s="238"/>
      <c r="R14" s="238"/>
      <c r="S14" s="238"/>
      <c r="T14" s="238"/>
      <c r="U14" s="238"/>
    </row>
    <row r="15" spans="2:21" ht="15.5" x14ac:dyDescent="0.35">
      <c r="B15" s="11"/>
      <c r="C15" s="10"/>
      <c r="D15" s="10"/>
      <c r="E15" s="10"/>
      <c r="F15" s="10"/>
      <c r="G15" s="10"/>
      <c r="H15" s="10"/>
      <c r="I15" s="7"/>
      <c r="J15" s="8"/>
      <c r="L15" s="238"/>
      <c r="M15" s="238"/>
      <c r="N15" s="238"/>
      <c r="O15" s="238"/>
      <c r="P15" s="238"/>
      <c r="Q15" s="238"/>
      <c r="R15" s="238"/>
      <c r="S15" s="238"/>
      <c r="T15" s="238"/>
      <c r="U15" s="238"/>
    </row>
    <row r="16" spans="2:21" x14ac:dyDescent="0.25">
      <c r="B16" s="13"/>
      <c r="C16" s="7"/>
      <c r="D16" s="7"/>
      <c r="E16" s="7"/>
      <c r="F16" s="7"/>
      <c r="G16" s="7"/>
      <c r="H16" s="7"/>
      <c r="I16" s="7"/>
      <c r="J16" s="8"/>
      <c r="L16" s="238"/>
      <c r="M16" s="238"/>
      <c r="N16" s="238"/>
      <c r="O16" s="238"/>
      <c r="P16" s="238"/>
      <c r="Q16" s="238"/>
      <c r="R16" s="238"/>
      <c r="S16" s="238"/>
      <c r="T16" s="238"/>
      <c r="U16" s="238"/>
    </row>
    <row r="17" spans="2:21" x14ac:dyDescent="0.25">
      <c r="B17" s="13"/>
      <c r="C17" s="7"/>
      <c r="D17" s="7"/>
      <c r="E17" s="7"/>
      <c r="F17" s="7"/>
      <c r="G17" s="7"/>
      <c r="H17" s="7"/>
      <c r="I17" s="7"/>
      <c r="J17" s="8"/>
      <c r="L17" s="238"/>
      <c r="M17" s="238"/>
      <c r="N17" s="238"/>
      <c r="O17" s="238"/>
      <c r="P17" s="238"/>
      <c r="Q17" s="238"/>
      <c r="R17" s="238"/>
      <c r="S17" s="238"/>
      <c r="T17" s="238"/>
      <c r="U17" s="238"/>
    </row>
    <row r="18" spans="2:21" ht="18" x14ac:dyDescent="0.25">
      <c r="B18" s="14" t="s">
        <v>72</v>
      </c>
      <c r="C18" s="15"/>
      <c r="D18" s="15"/>
      <c r="E18" s="15"/>
      <c r="F18" s="15"/>
      <c r="G18" s="15"/>
      <c r="H18" s="15"/>
      <c r="I18" s="15"/>
      <c r="J18" s="16"/>
      <c r="L18" s="238"/>
      <c r="M18" s="238"/>
      <c r="N18" s="238"/>
      <c r="O18" s="238"/>
      <c r="P18" s="238"/>
      <c r="Q18" s="238"/>
      <c r="R18" s="238"/>
      <c r="S18" s="238"/>
      <c r="T18" s="238"/>
      <c r="U18" s="238"/>
    </row>
    <row r="19" spans="2:21" ht="15.5" x14ac:dyDescent="0.25">
      <c r="B19" s="13"/>
      <c r="C19" s="17" t="s">
        <v>73</v>
      </c>
      <c r="D19" s="7"/>
      <c r="E19" s="7"/>
      <c r="F19" s="7"/>
      <c r="G19" s="7"/>
      <c r="H19" s="7"/>
      <c r="I19" s="7"/>
      <c r="J19" s="8"/>
    </row>
    <row r="20" spans="2:21" ht="15.5" x14ac:dyDescent="0.25">
      <c r="B20" s="13"/>
      <c r="C20" s="17" t="s">
        <v>139</v>
      </c>
      <c r="D20" s="7"/>
      <c r="E20" s="7"/>
      <c r="F20" s="7"/>
      <c r="G20" s="7"/>
      <c r="H20" s="7"/>
      <c r="I20" s="7"/>
      <c r="J20" s="8"/>
    </row>
    <row r="21" spans="2:21" ht="15.5" x14ac:dyDescent="0.25">
      <c r="B21" s="13"/>
      <c r="C21" s="17" t="s">
        <v>138</v>
      </c>
      <c r="D21" s="7"/>
      <c r="E21" s="7"/>
      <c r="F21" s="7"/>
      <c r="G21" s="7"/>
      <c r="H21" s="7"/>
      <c r="I21" s="7"/>
      <c r="J21" s="8"/>
    </row>
    <row r="22" spans="2:21" ht="15.5" x14ac:dyDescent="0.25">
      <c r="B22" s="13"/>
      <c r="C22" s="17" t="s">
        <v>75</v>
      </c>
      <c r="D22" s="7"/>
      <c r="E22" s="7"/>
      <c r="F22" s="7"/>
      <c r="G22" s="7"/>
      <c r="H22" s="7"/>
      <c r="I22" s="7"/>
      <c r="J22" s="8"/>
    </row>
    <row r="23" spans="2:21" ht="15.5" x14ac:dyDescent="0.25">
      <c r="B23" s="13"/>
      <c r="C23" s="17" t="s">
        <v>157</v>
      </c>
      <c r="D23" s="7"/>
      <c r="E23" s="7"/>
      <c r="F23" s="7"/>
      <c r="G23" s="7"/>
      <c r="H23" s="7"/>
      <c r="I23" s="7"/>
      <c r="J23" s="8"/>
    </row>
    <row r="24" spans="2:21" ht="15.5" x14ac:dyDescent="0.25">
      <c r="B24" s="13"/>
      <c r="C24" s="17" t="s">
        <v>77</v>
      </c>
      <c r="D24" s="7"/>
      <c r="E24" s="7"/>
      <c r="F24" s="7"/>
      <c r="G24" s="7"/>
      <c r="H24" s="7"/>
      <c r="I24" s="7"/>
      <c r="J24" s="8"/>
    </row>
    <row r="25" spans="2:21" ht="15.5" x14ac:dyDescent="0.25">
      <c r="B25" s="13"/>
      <c r="C25" s="17" t="s">
        <v>76</v>
      </c>
      <c r="D25" s="7"/>
      <c r="E25" s="7"/>
      <c r="F25" s="7"/>
      <c r="G25" s="7"/>
      <c r="H25" s="7"/>
      <c r="I25" s="7"/>
      <c r="J25" s="8"/>
    </row>
  </sheetData>
  <mergeCells count="1">
    <mergeCell ref="L3:U18"/>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83"/>
  <sheetViews>
    <sheetView zoomScale="80" zoomScaleNormal="80" workbookViewId="0">
      <selection activeCell="D84" sqref="D84"/>
    </sheetView>
  </sheetViews>
  <sheetFormatPr baseColWidth="10" defaultColWidth="11.54296875" defaultRowHeight="15.5" x14ac:dyDescent="0.35"/>
  <cols>
    <col min="1" max="1" width="0.81640625" style="1" customWidth="1"/>
    <col min="2" max="2" width="14.26953125" style="1" customWidth="1"/>
    <col min="3" max="3" width="13.1796875" style="1" customWidth="1"/>
    <col min="4" max="4" width="18.54296875" style="1" customWidth="1"/>
    <col min="5" max="5" width="15.26953125" style="1" customWidth="1"/>
    <col min="6" max="7" width="11.54296875" style="1"/>
    <col min="8" max="9" width="13.26953125" style="1" customWidth="1"/>
    <col min="10" max="16384" width="11.54296875" style="1"/>
  </cols>
  <sheetData>
    <row r="2" spans="2:10" ht="20" x14ac:dyDescent="0.4">
      <c r="B2" s="18" t="s">
        <v>79</v>
      </c>
      <c r="C2" s="25"/>
      <c r="D2" s="25"/>
      <c r="E2" s="25"/>
      <c r="F2" s="25"/>
    </row>
    <row r="3" spans="2:10" x14ac:dyDescent="0.35">
      <c r="B3" s="36"/>
    </row>
    <row r="4" spans="2:10" ht="18.5" thickBot="1" x14ac:dyDescent="0.45">
      <c r="B4" s="20" t="s">
        <v>78</v>
      </c>
      <c r="C4" s="25"/>
    </row>
    <row r="5" spans="2:10" x14ac:dyDescent="0.35">
      <c r="B5" s="21"/>
      <c r="C5" s="22"/>
      <c r="D5" s="22"/>
      <c r="E5" s="22"/>
      <c r="F5" s="22"/>
      <c r="G5" s="22"/>
      <c r="H5" s="22"/>
      <c r="I5" s="22"/>
      <c r="J5" s="23"/>
    </row>
    <row r="6" spans="2:10" x14ac:dyDescent="0.35">
      <c r="B6" s="24" t="s">
        <v>82</v>
      </c>
      <c r="C6" s="25"/>
      <c r="D6" s="25"/>
      <c r="E6" s="25"/>
      <c r="F6" s="25"/>
      <c r="G6" s="25"/>
      <c r="H6" s="25"/>
      <c r="I6" s="25"/>
      <c r="J6" s="26"/>
    </row>
    <row r="7" spans="2:10" x14ac:dyDescent="0.35">
      <c r="B7" s="239" t="s">
        <v>84</v>
      </c>
      <c r="C7" s="240"/>
      <c r="D7" s="240"/>
      <c r="E7" s="240"/>
      <c r="F7" s="240"/>
      <c r="G7" s="240"/>
      <c r="H7" s="240"/>
      <c r="I7" s="240"/>
      <c r="J7" s="241"/>
    </row>
    <row r="8" spans="2:10" x14ac:dyDescent="0.35">
      <c r="B8" s="242" t="s">
        <v>85</v>
      </c>
      <c r="C8" s="243"/>
      <c r="D8" s="243"/>
      <c r="E8" s="243"/>
      <c r="F8" s="243"/>
      <c r="G8" s="243"/>
      <c r="H8" s="243"/>
      <c r="I8" s="243"/>
      <c r="J8" s="244"/>
    </row>
    <row r="9" spans="2:10" x14ac:dyDescent="0.35">
      <c r="B9" s="27"/>
      <c r="C9" s="10"/>
      <c r="D9" s="10"/>
      <c r="E9" s="10"/>
      <c r="F9" s="10"/>
      <c r="G9" s="10"/>
      <c r="H9" s="10"/>
      <c r="I9" s="10"/>
      <c r="J9" s="28"/>
    </row>
    <row r="10" spans="2:10" x14ac:dyDescent="0.35">
      <c r="B10" s="24" t="s">
        <v>83</v>
      </c>
      <c r="C10" s="25"/>
      <c r="D10" s="25"/>
      <c r="E10" s="25"/>
      <c r="F10" s="25"/>
      <c r="G10" s="25"/>
      <c r="H10" s="25"/>
      <c r="I10" s="25"/>
      <c r="J10" s="26"/>
    </row>
    <row r="11" spans="2:10" ht="34.15" customHeight="1" x14ac:dyDescent="0.35">
      <c r="B11" s="245" t="s">
        <v>116</v>
      </c>
      <c r="C11" s="246"/>
      <c r="D11" s="246"/>
      <c r="E11" s="246"/>
      <c r="F11" s="246"/>
      <c r="G11" s="246"/>
      <c r="H11" s="246"/>
      <c r="I11" s="246"/>
      <c r="J11" s="247"/>
    </row>
    <row r="12" spans="2:10" x14ac:dyDescent="0.35">
      <c r="B12" s="242" t="s">
        <v>86</v>
      </c>
      <c r="C12" s="243"/>
      <c r="D12" s="243"/>
      <c r="E12" s="243"/>
      <c r="F12" s="243"/>
      <c r="G12" s="243"/>
      <c r="H12" s="243"/>
      <c r="I12" s="243"/>
      <c r="J12" s="244"/>
    </row>
    <row r="13" spans="2:10" x14ac:dyDescent="0.35">
      <c r="B13" s="32"/>
      <c r="C13" s="10"/>
      <c r="D13" s="10"/>
      <c r="E13" s="10"/>
      <c r="F13" s="10"/>
      <c r="G13" s="10"/>
      <c r="H13" s="10"/>
      <c r="I13" s="10"/>
      <c r="J13" s="28"/>
    </row>
    <row r="14" spans="2:10" x14ac:dyDescent="0.35">
      <c r="B14" s="69" t="s">
        <v>87</v>
      </c>
      <c r="C14" s="70"/>
      <c r="D14" s="70"/>
      <c r="E14" s="70"/>
      <c r="F14" s="70"/>
      <c r="G14" s="70"/>
      <c r="H14" s="70"/>
      <c r="I14" s="70"/>
      <c r="J14" s="71"/>
    </row>
    <row r="15" spans="2:10" ht="31.15" customHeight="1" x14ac:dyDescent="0.35">
      <c r="B15" s="27"/>
      <c r="C15" s="53" t="s">
        <v>21</v>
      </c>
      <c r="D15" s="54" t="s">
        <v>80</v>
      </c>
      <c r="E15" s="55" t="s">
        <v>93</v>
      </c>
      <c r="F15" s="10"/>
      <c r="G15" s="56"/>
      <c r="H15" s="56"/>
      <c r="I15" s="56"/>
      <c r="J15" s="28"/>
    </row>
    <row r="16" spans="2:10" x14ac:dyDescent="0.35">
      <c r="B16" s="27"/>
      <c r="C16" s="57">
        <v>1</v>
      </c>
      <c r="D16" s="58">
        <v>180</v>
      </c>
      <c r="E16" s="59">
        <v>3</v>
      </c>
      <c r="F16" s="10"/>
      <c r="G16" s="56"/>
      <c r="H16" s="56"/>
      <c r="I16" s="56"/>
      <c r="J16" s="28"/>
    </row>
    <row r="17" spans="2:6" x14ac:dyDescent="0.35">
      <c r="B17" s="27"/>
      <c r="C17" s="60">
        <v>2</v>
      </c>
      <c r="D17" s="61">
        <v>190</v>
      </c>
      <c r="E17" s="62">
        <v>4</v>
      </c>
      <c r="F17" s="10"/>
    </row>
    <row r="18" spans="2:6" x14ac:dyDescent="0.35">
      <c r="B18" s="27"/>
      <c r="C18" s="60">
        <v>3</v>
      </c>
      <c r="D18" s="61">
        <v>196</v>
      </c>
      <c r="E18" s="62">
        <v>7</v>
      </c>
      <c r="F18" s="10"/>
    </row>
    <row r="19" spans="2:6" x14ac:dyDescent="0.35">
      <c r="B19" s="27"/>
      <c r="C19" s="60">
        <v>4</v>
      </c>
      <c r="D19" s="61">
        <v>204</v>
      </c>
      <c r="E19" s="62">
        <v>6</v>
      </c>
      <c r="F19" s="10"/>
    </row>
    <row r="20" spans="2:6" x14ac:dyDescent="0.35">
      <c r="B20" s="27"/>
      <c r="C20" s="60">
        <v>5</v>
      </c>
      <c r="D20" s="61">
        <v>198</v>
      </c>
      <c r="E20" s="62">
        <v>5.5</v>
      </c>
      <c r="F20" s="10"/>
    </row>
    <row r="21" spans="2:6" x14ac:dyDescent="0.35">
      <c r="B21" s="27"/>
      <c r="C21" s="60">
        <v>6</v>
      </c>
      <c r="D21" s="61">
        <v>160</v>
      </c>
      <c r="E21" s="62">
        <v>7</v>
      </c>
      <c r="F21" s="10"/>
    </row>
    <row r="22" spans="2:6" x14ac:dyDescent="0.35">
      <c r="B22" s="27"/>
      <c r="C22" s="60">
        <v>7</v>
      </c>
      <c r="D22" s="61">
        <v>167</v>
      </c>
      <c r="E22" s="62">
        <v>9</v>
      </c>
      <c r="F22" s="10"/>
    </row>
    <row r="23" spans="2:6" x14ac:dyDescent="0.35">
      <c r="B23" s="27"/>
      <c r="C23" s="60">
        <v>8</v>
      </c>
      <c r="D23" s="61">
        <v>172</v>
      </c>
      <c r="E23" s="62">
        <v>8</v>
      </c>
      <c r="F23" s="10"/>
    </row>
    <row r="24" spans="2:6" x14ac:dyDescent="0.35">
      <c r="B24" s="27"/>
      <c r="C24" s="60">
        <v>9</v>
      </c>
      <c r="D24" s="61">
        <v>178</v>
      </c>
      <c r="E24" s="62">
        <v>6</v>
      </c>
      <c r="F24" s="10"/>
    </row>
    <row r="25" spans="2:6" x14ac:dyDescent="0.35">
      <c r="B25" s="27"/>
      <c r="C25" s="63">
        <v>10</v>
      </c>
      <c r="D25" s="64">
        <v>201</v>
      </c>
      <c r="E25" s="65">
        <v>24</v>
      </c>
      <c r="F25" s="10"/>
    </row>
    <row r="26" spans="2:6" x14ac:dyDescent="0.35">
      <c r="B26" s="27"/>
      <c r="C26" s="10"/>
      <c r="D26" s="10"/>
      <c r="E26" s="10"/>
      <c r="F26" s="10"/>
    </row>
    <row r="27" spans="2:6" x14ac:dyDescent="0.35">
      <c r="B27" s="66" t="s">
        <v>88</v>
      </c>
      <c r="C27" s="67"/>
      <c r="D27" s="67"/>
      <c r="E27" s="67"/>
      <c r="F27" s="67"/>
    </row>
    <row r="28" spans="2:6" x14ac:dyDescent="0.35">
      <c r="B28" s="32"/>
      <c r="C28" s="10" t="s">
        <v>19</v>
      </c>
      <c r="D28" s="10"/>
      <c r="E28" s="10"/>
      <c r="F28" s="10"/>
    </row>
    <row r="29" spans="2:6" x14ac:dyDescent="0.35">
      <c r="B29" s="32"/>
      <c r="C29" s="10"/>
      <c r="D29" s="10"/>
      <c r="E29" s="52">
        <f>SUMIF(E16:E25,"&gt;7")</f>
        <v>41</v>
      </c>
      <c r="F29" s="10" t="s">
        <v>92</v>
      </c>
    </row>
    <row r="30" spans="2:6" x14ac:dyDescent="0.35">
      <c r="B30" s="32"/>
      <c r="C30" s="10"/>
      <c r="D30" s="10"/>
      <c r="E30" s="10"/>
      <c r="F30" s="10"/>
    </row>
    <row r="31" spans="2:6" x14ac:dyDescent="0.35">
      <c r="B31" s="32"/>
      <c r="C31" s="10" t="s">
        <v>91</v>
      </c>
      <c r="D31" s="10"/>
      <c r="E31" s="10"/>
      <c r="F31" s="10"/>
    </row>
    <row r="32" spans="2:6" x14ac:dyDescent="0.35">
      <c r="B32" s="32"/>
      <c r="C32" s="10"/>
      <c r="D32" s="10"/>
      <c r="E32" s="52">
        <f>SUMIF(D16:D25,"&gt;200",E16:E25)</f>
        <v>30</v>
      </c>
      <c r="F32" s="10" t="s">
        <v>92</v>
      </c>
    </row>
    <row r="34" spans="2:5" x14ac:dyDescent="0.35">
      <c r="B34" s="66" t="s">
        <v>89</v>
      </c>
      <c r="C34" s="67"/>
      <c r="D34" s="67"/>
      <c r="E34" s="67"/>
    </row>
    <row r="35" spans="2:5" x14ac:dyDescent="0.35">
      <c r="B35" s="27"/>
      <c r="C35" s="10" t="s">
        <v>90</v>
      </c>
      <c r="D35" s="10"/>
      <c r="E35" s="10"/>
    </row>
    <row r="36" spans="2:5" x14ac:dyDescent="0.35">
      <c r="B36" s="27"/>
      <c r="C36" s="10"/>
      <c r="D36" s="10"/>
      <c r="E36" s="52">
        <f>COUNTIF(D16:D25,"&gt;200")</f>
        <v>2</v>
      </c>
    </row>
    <row r="37" spans="2:5" x14ac:dyDescent="0.35">
      <c r="B37" s="27"/>
      <c r="C37" s="10"/>
      <c r="D37" s="10"/>
      <c r="E37" s="10"/>
    </row>
    <row r="38" spans="2:5" x14ac:dyDescent="0.35">
      <c r="B38" s="27"/>
      <c r="C38" s="10" t="s">
        <v>20</v>
      </c>
      <c r="D38" s="10"/>
      <c r="E38" s="10"/>
    </row>
    <row r="39" spans="2:5" x14ac:dyDescent="0.35">
      <c r="B39" s="27"/>
      <c r="C39" s="10"/>
      <c r="D39" s="10"/>
      <c r="E39" s="52">
        <f>COUNTIF(E16:E25,"&gt;7")</f>
        <v>3</v>
      </c>
    </row>
    <row r="40" spans="2:5" ht="16" thickBot="1" x14ac:dyDescent="0.4">
      <c r="B40" s="29"/>
      <c r="C40" s="30"/>
      <c r="D40" s="30"/>
      <c r="E40" s="30"/>
    </row>
    <row r="43" spans="2:5" ht="18.5" thickBot="1" x14ac:dyDescent="0.45">
      <c r="B43" s="20" t="s">
        <v>81</v>
      </c>
      <c r="C43" s="25"/>
    </row>
    <row r="44" spans="2:5" x14ac:dyDescent="0.35">
      <c r="B44" s="77" t="s">
        <v>94</v>
      </c>
      <c r="C44" s="78"/>
      <c r="D44" s="78"/>
      <c r="E44" s="78"/>
    </row>
    <row r="45" spans="2:5" x14ac:dyDescent="0.35">
      <c r="B45" s="43"/>
    </row>
    <row r="46" spans="2:5" x14ac:dyDescent="0.35">
      <c r="B46" s="105" t="s">
        <v>18</v>
      </c>
      <c r="C46" s="92" t="s">
        <v>101</v>
      </c>
      <c r="D46" s="93" t="s">
        <v>17</v>
      </c>
      <c r="E46" s="94" t="s">
        <v>16</v>
      </c>
    </row>
    <row r="47" spans="2:5" x14ac:dyDescent="0.35">
      <c r="B47" s="106" t="s">
        <v>15</v>
      </c>
      <c r="C47" s="85">
        <v>8</v>
      </c>
      <c r="D47" s="75">
        <v>5</v>
      </c>
      <c r="E47" s="76" t="s">
        <v>11</v>
      </c>
    </row>
    <row r="48" spans="2:5" x14ac:dyDescent="0.35">
      <c r="B48" s="106" t="s">
        <v>9</v>
      </c>
      <c r="C48" s="86">
        <v>9</v>
      </c>
      <c r="D48" s="47">
        <v>2</v>
      </c>
      <c r="E48" s="48" t="s">
        <v>8</v>
      </c>
    </row>
    <row r="49" spans="2:10" x14ac:dyDescent="0.35">
      <c r="B49" s="106" t="s">
        <v>9</v>
      </c>
      <c r="C49" s="86">
        <v>9</v>
      </c>
      <c r="D49" s="47">
        <v>3</v>
      </c>
      <c r="E49" s="48" t="s">
        <v>8</v>
      </c>
      <c r="J49" s="44"/>
    </row>
    <row r="50" spans="2:10" x14ac:dyDescent="0.35">
      <c r="B50" s="106" t="s">
        <v>14</v>
      </c>
      <c r="C50" s="86">
        <v>6.5</v>
      </c>
      <c r="D50" s="47">
        <v>4</v>
      </c>
      <c r="E50" s="48" t="s">
        <v>11</v>
      </c>
      <c r="G50" s="49"/>
      <c r="H50" s="49"/>
      <c r="I50" s="49"/>
      <c r="J50" s="122"/>
    </row>
    <row r="51" spans="2:10" x14ac:dyDescent="0.35">
      <c r="B51" s="106" t="s">
        <v>12</v>
      </c>
      <c r="C51" s="86">
        <v>8</v>
      </c>
      <c r="D51" s="47">
        <v>3</v>
      </c>
      <c r="E51" s="48" t="s">
        <v>11</v>
      </c>
      <c r="G51" s="49"/>
      <c r="H51" s="49"/>
      <c r="I51" s="49"/>
      <c r="J51" s="122"/>
    </row>
    <row r="52" spans="2:10" x14ac:dyDescent="0.35">
      <c r="B52" s="106" t="s">
        <v>10</v>
      </c>
      <c r="C52" s="86">
        <v>7</v>
      </c>
      <c r="D52" s="47">
        <v>2</v>
      </c>
      <c r="E52" s="48" t="s">
        <v>8</v>
      </c>
      <c r="G52" s="49"/>
      <c r="H52" s="49"/>
      <c r="I52" s="49"/>
      <c r="J52" s="122"/>
    </row>
    <row r="53" spans="2:10" x14ac:dyDescent="0.35">
      <c r="B53" s="106" t="s">
        <v>9</v>
      </c>
      <c r="C53" s="87">
        <v>9</v>
      </c>
      <c r="D53" s="81">
        <v>2.5</v>
      </c>
      <c r="E53" s="82" t="s">
        <v>8</v>
      </c>
      <c r="F53" s="72"/>
      <c r="J53" s="44"/>
    </row>
    <row r="54" spans="2:10" x14ac:dyDescent="0.35">
      <c r="B54" s="43"/>
      <c r="J54" s="44"/>
    </row>
    <row r="55" spans="2:10" x14ac:dyDescent="0.35">
      <c r="B55" s="66" t="s">
        <v>96</v>
      </c>
      <c r="C55" s="67"/>
      <c r="D55" s="67"/>
      <c r="E55" s="67"/>
      <c r="F55" s="67"/>
      <c r="G55" s="67"/>
      <c r="H55" s="67"/>
      <c r="I55" s="67"/>
      <c r="J55" s="68"/>
    </row>
    <row r="56" spans="2:10" x14ac:dyDescent="0.35">
      <c r="B56" s="43" t="s">
        <v>97</v>
      </c>
      <c r="J56" s="44"/>
    </row>
    <row r="57" spans="2:10" x14ac:dyDescent="0.35">
      <c r="B57" s="43"/>
      <c r="D57" s="52">
        <f>SUMIF(E47:E53,"ja",D47:D53)</f>
        <v>12</v>
      </c>
      <c r="J57" s="44"/>
    </row>
    <row r="58" spans="2:10" x14ac:dyDescent="0.35">
      <c r="B58" s="43" t="s">
        <v>98</v>
      </c>
      <c r="J58" s="44"/>
    </row>
    <row r="59" spans="2:10" x14ac:dyDescent="0.35">
      <c r="B59" s="43"/>
      <c r="D59" s="52">
        <f>SUMIFS(C47:C53,B47:B53,B53)</f>
        <v>27</v>
      </c>
      <c r="J59" s="44"/>
    </row>
    <row r="60" spans="2:10" ht="30.65" customHeight="1" x14ac:dyDescent="0.35">
      <c r="B60" s="230" t="s">
        <v>13</v>
      </c>
      <c r="C60" s="231"/>
      <c r="D60" s="231"/>
      <c r="E60" s="231"/>
      <c r="F60" s="231"/>
      <c r="G60" s="231"/>
      <c r="H60" s="231"/>
      <c r="I60" s="231"/>
      <c r="J60" s="232"/>
    </row>
    <row r="61" spans="2:10" x14ac:dyDescent="0.35">
      <c r="B61" s="43"/>
      <c r="J61" s="44"/>
    </row>
    <row r="62" spans="2:10" x14ac:dyDescent="0.35">
      <c r="B62" s="43"/>
      <c r="C62" s="1" t="s">
        <v>99</v>
      </c>
      <c r="D62" s="52">
        <f>SUMIFS(knie,schmerz,"ja")</f>
        <v>12</v>
      </c>
      <c r="J62" s="44"/>
    </row>
    <row r="63" spans="2:10" x14ac:dyDescent="0.35">
      <c r="B63" s="43"/>
      <c r="C63" s="1" t="s">
        <v>100</v>
      </c>
      <c r="D63" s="52">
        <f>SUMIFS(C47:C53,tag,"Donnerstag")</f>
        <v>27</v>
      </c>
      <c r="J63" s="44"/>
    </row>
    <row r="65" spans="2:4" x14ac:dyDescent="0.35">
      <c r="B65" s="69" t="s">
        <v>95</v>
      </c>
      <c r="C65" s="74"/>
      <c r="D65" s="74"/>
    </row>
    <row r="66" spans="2:4" ht="16" thickBot="1" x14ac:dyDescent="0.4">
      <c r="B66" s="43"/>
      <c r="C66" s="40"/>
      <c r="D66" s="40"/>
    </row>
    <row r="67" spans="2:4" x14ac:dyDescent="0.35">
      <c r="B67" s="101" t="s">
        <v>7</v>
      </c>
      <c r="C67" s="99" t="s">
        <v>102</v>
      </c>
      <c r="D67" s="95" t="s">
        <v>6</v>
      </c>
    </row>
    <row r="68" spans="2:4" x14ac:dyDescent="0.35">
      <c r="B68" s="102" t="s">
        <v>2</v>
      </c>
      <c r="C68" s="85">
        <v>190</v>
      </c>
      <c r="D68" s="96">
        <v>3600</v>
      </c>
    </row>
    <row r="69" spans="2:4" x14ac:dyDescent="0.35">
      <c r="B69" s="103" t="s">
        <v>5</v>
      </c>
      <c r="C69" s="86">
        <v>220</v>
      </c>
      <c r="D69" s="97">
        <v>200</v>
      </c>
    </row>
    <row r="70" spans="2:4" x14ac:dyDescent="0.35">
      <c r="B70" s="103" t="s">
        <v>5</v>
      </c>
      <c r="C70" s="86">
        <v>167</v>
      </c>
      <c r="D70" s="97">
        <v>150</v>
      </c>
    </row>
    <row r="71" spans="2:4" x14ac:dyDescent="0.35">
      <c r="B71" s="103" t="s">
        <v>5</v>
      </c>
      <c r="C71" s="86">
        <v>250</v>
      </c>
      <c r="D71" s="97">
        <v>380</v>
      </c>
    </row>
    <row r="72" spans="2:4" ht="31" x14ac:dyDescent="0.35">
      <c r="B72" s="107" t="s">
        <v>103</v>
      </c>
      <c r="C72" s="86">
        <v>36</v>
      </c>
      <c r="D72" s="97">
        <v>170</v>
      </c>
    </row>
    <row r="73" spans="2:4" ht="31" x14ac:dyDescent="0.35">
      <c r="B73" s="107" t="s">
        <v>104</v>
      </c>
      <c r="C73" s="86">
        <v>54</v>
      </c>
      <c r="D73" s="97">
        <v>650</v>
      </c>
    </row>
    <row r="74" spans="2:4" x14ac:dyDescent="0.35">
      <c r="B74" s="103" t="s">
        <v>2</v>
      </c>
      <c r="C74" s="86">
        <v>175</v>
      </c>
      <c r="D74" s="97">
        <v>2800</v>
      </c>
    </row>
    <row r="75" spans="2:4" ht="16" thickBot="1" x14ac:dyDescent="0.4">
      <c r="B75" s="104" t="s">
        <v>2</v>
      </c>
      <c r="C75" s="100">
        <v>160</v>
      </c>
      <c r="D75" s="98">
        <v>5400</v>
      </c>
    </row>
    <row r="76" spans="2:4" x14ac:dyDescent="0.35">
      <c r="B76" s="43"/>
    </row>
    <row r="77" spans="2:4" x14ac:dyDescent="0.35">
      <c r="B77" s="66" t="s">
        <v>96</v>
      </c>
      <c r="C77" s="67"/>
      <c r="D77" s="67"/>
    </row>
    <row r="78" spans="2:4" x14ac:dyDescent="0.35">
      <c r="B78" s="43" t="s">
        <v>105</v>
      </c>
    </row>
    <row r="79" spans="2:4" x14ac:dyDescent="0.35">
      <c r="B79" s="43"/>
      <c r="D79" s="52">
        <f>SUMIF(C68:C75,"&gt;180",C68:C75)</f>
        <v>660</v>
      </c>
    </row>
    <row r="80" spans="2:4" x14ac:dyDescent="0.35">
      <c r="B80" s="43" t="s">
        <v>4</v>
      </c>
    </row>
    <row r="81" spans="2:4" x14ac:dyDescent="0.35">
      <c r="D81" s="1">
        <f>AVERAGEIF(C68:C75,"&gt;180",C68:C75)</f>
        <v>220</v>
      </c>
    </row>
    <row r="82" spans="2:4" x14ac:dyDescent="0.35">
      <c r="B82" s="43" t="s">
        <v>3</v>
      </c>
    </row>
    <row r="83" spans="2:4" x14ac:dyDescent="0.35">
      <c r="D83" s="1">
        <f>SUMIF(D68:D75,"&gt;180",C68:C75)</f>
        <v>1049</v>
      </c>
    </row>
  </sheetData>
  <mergeCells count="5">
    <mergeCell ref="B60:J60"/>
    <mergeCell ref="B7:J7"/>
    <mergeCell ref="B8:J8"/>
    <mergeCell ref="B11:J11"/>
    <mergeCell ref="B12:J12"/>
  </mergeCells>
  <pageMargins left="0.78740157499999996" right="0.78740157499999996" top="0.984251969" bottom="0.984251969" header="0.4921259845" footer="0.492125984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4"/>
  <sheetViews>
    <sheetView topLeftCell="A42" zoomScale="80" zoomScaleNormal="80" workbookViewId="0">
      <selection activeCell="L87" sqref="L87"/>
    </sheetView>
  </sheetViews>
  <sheetFormatPr baseColWidth="10" defaultColWidth="11.54296875" defaultRowHeight="15.5" x14ac:dyDescent="0.35"/>
  <cols>
    <col min="1" max="1" width="0.7265625" style="1" customWidth="1"/>
    <col min="2" max="2" width="11.54296875" style="1"/>
    <col min="3" max="3" width="13.7265625" style="1" customWidth="1"/>
    <col min="4" max="4" width="16" style="1" customWidth="1"/>
    <col min="5" max="5" width="16.26953125" style="1" bestFit="1" customWidth="1"/>
    <col min="6" max="6" width="13.26953125" style="1" bestFit="1" customWidth="1"/>
    <col min="7" max="7" width="11.54296875" style="1"/>
    <col min="8" max="8" width="18.54296875" style="1" customWidth="1"/>
    <col min="9" max="9" width="11.54296875" style="1"/>
    <col min="10" max="10" width="4.453125" style="1" customWidth="1"/>
    <col min="11" max="16384" width="11.54296875" style="1"/>
  </cols>
  <sheetData>
    <row r="2" spans="2:2" ht="20" x14ac:dyDescent="0.4">
      <c r="B2" s="123" t="s">
        <v>74</v>
      </c>
    </row>
    <row r="4" spans="2:2" ht="18.5" thickBot="1" x14ac:dyDescent="0.45">
      <c r="B4" s="20" t="s">
        <v>78</v>
      </c>
    </row>
    <row r="5" spans="2:2" x14ac:dyDescent="0.35">
      <c r="B5" s="124"/>
    </row>
    <row r="6" spans="2:2" x14ac:dyDescent="0.35">
      <c r="B6" s="32" t="s">
        <v>108</v>
      </c>
    </row>
    <row r="7" spans="2:2" x14ac:dyDescent="0.35">
      <c r="B7" s="27" t="s">
        <v>115</v>
      </c>
    </row>
    <row r="8" spans="2:2" x14ac:dyDescent="0.35">
      <c r="B8" s="32" t="s">
        <v>109</v>
      </c>
    </row>
    <row r="9" spans="2:2" x14ac:dyDescent="0.35">
      <c r="B9" s="27" t="s">
        <v>117</v>
      </c>
    </row>
    <row r="10" spans="2:2" x14ac:dyDescent="0.35">
      <c r="B10" s="32" t="s">
        <v>118</v>
      </c>
    </row>
    <row r="11" spans="2:2" x14ac:dyDescent="0.35">
      <c r="B11" s="27" t="s">
        <v>119</v>
      </c>
    </row>
    <row r="12" spans="2:2" x14ac:dyDescent="0.35">
      <c r="B12" s="32" t="s">
        <v>120</v>
      </c>
    </row>
    <row r="13" spans="2:2" x14ac:dyDescent="0.35">
      <c r="B13" s="27" t="s">
        <v>121</v>
      </c>
    </row>
    <row r="14" spans="2:2" x14ac:dyDescent="0.35">
      <c r="B14" s="32" t="s">
        <v>110</v>
      </c>
    </row>
    <row r="15" spans="2:2" x14ac:dyDescent="0.35">
      <c r="B15" s="27" t="s">
        <v>122</v>
      </c>
    </row>
    <row r="16" spans="2:2" x14ac:dyDescent="0.35">
      <c r="B16" s="32" t="s">
        <v>111</v>
      </c>
    </row>
    <row r="17" spans="2:9" x14ac:dyDescent="0.35">
      <c r="B17" s="27" t="s">
        <v>123</v>
      </c>
      <c r="C17" s="10"/>
      <c r="D17" s="10"/>
      <c r="E17" s="10"/>
      <c r="F17" s="10"/>
      <c r="G17" s="10"/>
      <c r="H17" s="10"/>
      <c r="I17" s="28"/>
    </row>
    <row r="18" spans="2:9" x14ac:dyDescent="0.35">
      <c r="B18" s="32" t="s">
        <v>112</v>
      </c>
      <c r="C18" s="10"/>
      <c r="D18" s="10"/>
      <c r="E18" s="10"/>
      <c r="F18" s="10"/>
      <c r="G18" s="10"/>
      <c r="H18" s="10"/>
      <c r="I18" s="28"/>
    </row>
    <row r="19" spans="2:9" x14ac:dyDescent="0.35">
      <c r="B19" s="27" t="s">
        <v>124</v>
      </c>
      <c r="C19" s="10"/>
      <c r="D19" s="10"/>
      <c r="E19" s="10"/>
      <c r="F19" s="10"/>
      <c r="G19" s="10"/>
      <c r="H19" s="10"/>
      <c r="I19" s="28"/>
    </row>
    <row r="20" spans="2:9" x14ac:dyDescent="0.35">
      <c r="B20" s="32" t="s">
        <v>113</v>
      </c>
      <c r="C20" s="10"/>
      <c r="D20" s="10"/>
      <c r="E20" s="10"/>
      <c r="F20" s="10"/>
      <c r="G20" s="10"/>
      <c r="H20" s="10"/>
      <c r="I20" s="28"/>
    </row>
    <row r="21" spans="2:9" x14ac:dyDescent="0.35">
      <c r="B21" s="27" t="s">
        <v>125</v>
      </c>
      <c r="C21" s="10"/>
      <c r="D21" s="10"/>
      <c r="E21" s="10"/>
      <c r="F21" s="10"/>
      <c r="G21" s="10"/>
      <c r="H21" s="10"/>
      <c r="I21" s="28"/>
    </row>
    <row r="22" spans="2:9" x14ac:dyDescent="0.35">
      <c r="B22" s="32" t="s">
        <v>114</v>
      </c>
      <c r="C22" s="10"/>
      <c r="D22" s="10"/>
      <c r="E22" s="10"/>
      <c r="F22" s="10"/>
      <c r="G22" s="10"/>
      <c r="H22" s="10"/>
      <c r="I22" s="28"/>
    </row>
    <row r="23" spans="2:9" x14ac:dyDescent="0.35">
      <c r="B23" s="27" t="s">
        <v>126</v>
      </c>
      <c r="C23" s="10"/>
      <c r="D23" s="10"/>
      <c r="E23" s="10"/>
      <c r="F23" s="10"/>
      <c r="G23" s="10"/>
      <c r="H23" s="10"/>
      <c r="I23" s="28"/>
    </row>
    <row r="24" spans="2:9" ht="16" thickBot="1" x14ac:dyDescent="0.4">
      <c r="B24" s="29"/>
      <c r="C24" s="30"/>
      <c r="D24" s="30"/>
      <c r="E24" s="30"/>
      <c r="F24" s="30"/>
      <c r="G24" s="30"/>
      <c r="H24" s="30"/>
      <c r="I24" s="31"/>
    </row>
    <row r="27" spans="2:9" ht="18.5" thickBot="1" x14ac:dyDescent="0.45">
      <c r="B27" s="20" t="s">
        <v>81</v>
      </c>
      <c r="C27" s="25"/>
      <c r="D27" s="25"/>
    </row>
    <row r="28" spans="2:9" x14ac:dyDescent="0.35">
      <c r="B28" s="137"/>
      <c r="C28" s="41"/>
      <c r="D28" s="41"/>
      <c r="E28" s="41"/>
      <c r="F28" s="41"/>
      <c r="G28" s="41"/>
      <c r="H28" s="41"/>
      <c r="I28" s="42"/>
    </row>
    <row r="29" spans="2:9" x14ac:dyDescent="0.35">
      <c r="B29" s="69" t="s">
        <v>128</v>
      </c>
      <c r="C29" s="74"/>
      <c r="D29" s="74"/>
      <c r="E29" s="74"/>
      <c r="F29" s="74"/>
      <c r="G29" s="74"/>
      <c r="H29" s="74"/>
      <c r="I29" s="80"/>
    </row>
    <row r="30" spans="2:9" x14ac:dyDescent="0.35">
      <c r="B30" s="43"/>
      <c r="I30" s="44"/>
    </row>
    <row r="31" spans="2:9" ht="16" thickBot="1" x14ac:dyDescent="0.4">
      <c r="B31" s="43" t="s">
        <v>26</v>
      </c>
      <c r="I31" s="44"/>
    </row>
    <row r="32" spans="2:9" ht="16.899999999999999" customHeight="1" x14ac:dyDescent="0.4">
      <c r="B32" s="108" t="s">
        <v>25</v>
      </c>
      <c r="C32" s="109" t="s">
        <v>106</v>
      </c>
      <c r="E32" s="113" t="s">
        <v>24</v>
      </c>
      <c r="F32" s="125">
        <f>COUNT(C33:C38)</f>
        <v>6</v>
      </c>
      <c r="H32" s="113" t="s">
        <v>32</v>
      </c>
      <c r="I32" s="138">
        <f>AVERAGE(C33:C38)</f>
        <v>18.166666666666668</v>
      </c>
    </row>
    <row r="33" spans="2:9" x14ac:dyDescent="0.35">
      <c r="B33" s="110">
        <v>1</v>
      </c>
      <c r="C33" s="84">
        <v>30</v>
      </c>
      <c r="I33" s="44"/>
    </row>
    <row r="34" spans="2:9" x14ac:dyDescent="0.35">
      <c r="B34" s="110">
        <v>2</v>
      </c>
      <c r="C34" s="84">
        <v>20</v>
      </c>
      <c r="E34" s="114" t="s">
        <v>40</v>
      </c>
      <c r="F34" s="126">
        <f>COUNTIF(C33:C38,"&gt;28")</f>
        <v>2</v>
      </c>
      <c r="H34" s="113" t="s">
        <v>31</v>
      </c>
      <c r="I34" s="138">
        <f>MIN(C33:C38)</f>
        <v>0</v>
      </c>
    </row>
    <row r="35" spans="2:9" x14ac:dyDescent="0.35">
      <c r="B35" s="110">
        <v>3</v>
      </c>
      <c r="C35" s="84">
        <v>10</v>
      </c>
      <c r="E35" s="116" t="s">
        <v>39</v>
      </c>
      <c r="F35" s="117" t="s">
        <v>38</v>
      </c>
      <c r="I35" s="44"/>
    </row>
    <row r="36" spans="2:9" x14ac:dyDescent="0.35">
      <c r="B36" s="110">
        <v>4</v>
      </c>
      <c r="C36" s="84">
        <v>0</v>
      </c>
      <c r="H36" s="113" t="s">
        <v>30</v>
      </c>
      <c r="I36" s="138">
        <f>MAX(C33:C38)</f>
        <v>30</v>
      </c>
    </row>
    <row r="37" spans="2:9" x14ac:dyDescent="0.35">
      <c r="B37" s="110">
        <v>5</v>
      </c>
      <c r="C37" s="84">
        <v>20</v>
      </c>
      <c r="E37" s="114" t="s">
        <v>34</v>
      </c>
      <c r="F37" s="115"/>
      <c r="I37" s="44"/>
    </row>
    <row r="38" spans="2:9" ht="16" thickBot="1" x14ac:dyDescent="0.4">
      <c r="B38" s="111">
        <v>6</v>
      </c>
      <c r="C38" s="112">
        <v>29</v>
      </c>
      <c r="E38" s="90" t="s">
        <v>22</v>
      </c>
      <c r="F38" s="91" t="s">
        <v>33</v>
      </c>
      <c r="H38" s="113" t="s">
        <v>135</v>
      </c>
      <c r="I38" s="138">
        <f>LARGE(C33:C38,2)</f>
        <v>29</v>
      </c>
    </row>
    <row r="39" spans="2:9" x14ac:dyDescent="0.35">
      <c r="B39" s="43"/>
      <c r="E39" s="88">
        <v>10</v>
      </c>
      <c r="F39" s="127">
        <f t="array" ref="F39:F42">FREQUENCY(C33:C38,E39:E41)</f>
        <v>2</v>
      </c>
      <c r="I39" s="44"/>
    </row>
    <row r="40" spans="2:9" x14ac:dyDescent="0.35">
      <c r="B40" s="43"/>
      <c r="E40" s="88">
        <v>20</v>
      </c>
      <c r="F40" s="127">
        <v>2</v>
      </c>
      <c r="H40" s="113" t="s">
        <v>134</v>
      </c>
      <c r="I40" s="138">
        <f>SMALL(C33:C38,3)</f>
        <v>20</v>
      </c>
    </row>
    <row r="41" spans="2:9" x14ac:dyDescent="0.35">
      <c r="B41" s="43"/>
      <c r="E41" s="88">
        <v>29</v>
      </c>
      <c r="F41" s="127">
        <v>1</v>
      </c>
      <c r="I41" s="44"/>
    </row>
    <row r="42" spans="2:9" x14ac:dyDescent="0.35">
      <c r="B42" s="43"/>
      <c r="E42" s="89"/>
      <c r="F42" s="128">
        <v>1</v>
      </c>
      <c r="I42" s="44"/>
    </row>
    <row r="43" spans="2:9" x14ac:dyDescent="0.35">
      <c r="B43" s="43"/>
      <c r="I43" s="44"/>
    </row>
    <row r="44" spans="2:9" ht="46.5" x14ac:dyDescent="0.35">
      <c r="B44" s="43"/>
      <c r="E44" s="129" t="s">
        <v>127</v>
      </c>
      <c r="F44" s="130">
        <f>_xlfn.STDEV.S(C33:C38)</f>
        <v>11.496376240653689</v>
      </c>
      <c r="I44" s="44"/>
    </row>
    <row r="45" spans="2:9" x14ac:dyDescent="0.35">
      <c r="B45" s="43"/>
      <c r="I45" s="44"/>
    </row>
    <row r="46" spans="2:9" x14ac:dyDescent="0.35">
      <c r="B46" s="69" t="s">
        <v>129</v>
      </c>
      <c r="C46" s="70"/>
      <c r="D46" s="70"/>
      <c r="E46" s="70"/>
      <c r="F46" s="70"/>
      <c r="G46" s="70"/>
      <c r="H46" s="70"/>
      <c r="I46" s="71"/>
    </row>
    <row r="47" spans="2:9" ht="17.5" x14ac:dyDescent="0.45">
      <c r="B47" s="66" t="s">
        <v>130</v>
      </c>
      <c r="C47" s="132"/>
      <c r="D47" s="132"/>
      <c r="E47" s="132"/>
      <c r="F47" s="132"/>
      <c r="G47" s="132"/>
      <c r="H47" s="132"/>
      <c r="I47" s="139"/>
    </row>
    <row r="49" spans="2:9" ht="16" thickBot="1" x14ac:dyDescent="0.4">
      <c r="B49" s="43" t="s">
        <v>26</v>
      </c>
    </row>
    <row r="50" spans="2:9" ht="16.5" x14ac:dyDescent="0.4">
      <c r="B50" s="108" t="s">
        <v>25</v>
      </c>
      <c r="C50" s="109" t="s">
        <v>106</v>
      </c>
      <c r="D50" s="120" t="s">
        <v>107</v>
      </c>
    </row>
    <row r="51" spans="2:9" x14ac:dyDescent="0.35">
      <c r="B51" s="110">
        <v>1</v>
      </c>
      <c r="C51" s="84">
        <v>-20</v>
      </c>
      <c r="D51" s="131">
        <f>ABS(C51)</f>
        <v>20</v>
      </c>
    </row>
    <row r="52" spans="2:9" x14ac:dyDescent="0.35">
      <c r="B52" s="110">
        <v>2</v>
      </c>
      <c r="C52" s="84">
        <v>-5</v>
      </c>
      <c r="D52" s="131">
        <f t="shared" ref="D52:D56" si="0">ABS(C52)</f>
        <v>5</v>
      </c>
    </row>
    <row r="53" spans="2:9" x14ac:dyDescent="0.35">
      <c r="B53" s="110">
        <v>3</v>
      </c>
      <c r="C53" s="84">
        <v>-6</v>
      </c>
      <c r="D53" s="131">
        <f t="shared" si="0"/>
        <v>6</v>
      </c>
    </row>
    <row r="54" spans="2:9" x14ac:dyDescent="0.35">
      <c r="B54" s="110">
        <v>4</v>
      </c>
      <c r="C54" s="84">
        <v>4</v>
      </c>
      <c r="D54" s="131">
        <f t="shared" si="0"/>
        <v>4</v>
      </c>
    </row>
    <row r="55" spans="2:9" x14ac:dyDescent="0.35">
      <c r="B55" s="110">
        <v>5</v>
      </c>
      <c r="C55" s="84">
        <v>13</v>
      </c>
      <c r="D55" s="131">
        <f t="shared" si="0"/>
        <v>13</v>
      </c>
    </row>
    <row r="56" spans="2:9" ht="16" thickBot="1" x14ac:dyDescent="0.4">
      <c r="B56" s="111">
        <v>6</v>
      </c>
      <c r="C56" s="112">
        <v>99</v>
      </c>
      <c r="D56" s="131">
        <f t="shared" si="0"/>
        <v>99</v>
      </c>
    </row>
    <row r="57" spans="2:9" x14ac:dyDescent="0.35">
      <c r="B57" s="43"/>
      <c r="C57" s="40"/>
    </row>
    <row r="58" spans="2:9" x14ac:dyDescent="0.35">
      <c r="B58" s="43"/>
    </row>
    <row r="59" spans="2:9" x14ac:dyDescent="0.35">
      <c r="B59" s="69" t="s">
        <v>131</v>
      </c>
      <c r="C59" s="74"/>
      <c r="D59" s="74"/>
      <c r="E59" s="74"/>
      <c r="F59" s="74"/>
      <c r="G59" s="74"/>
      <c r="H59" s="74"/>
    </row>
    <row r="60" spans="2:9" x14ac:dyDescent="0.35">
      <c r="B60" s="66" t="s">
        <v>132</v>
      </c>
      <c r="C60" s="132"/>
      <c r="D60" s="132"/>
      <c r="E60" s="132"/>
      <c r="F60" s="132"/>
      <c r="G60" s="132"/>
      <c r="H60" s="132"/>
    </row>
    <row r="61" spans="2:9" x14ac:dyDescent="0.35">
      <c r="B61" s="43"/>
    </row>
    <row r="62" spans="2:9" ht="16" thickBot="1" x14ac:dyDescent="0.4">
      <c r="B62" s="43" t="s">
        <v>133</v>
      </c>
    </row>
    <row r="63" spans="2:9" ht="16.5" x14ac:dyDescent="0.4">
      <c r="B63" s="108" t="s">
        <v>25</v>
      </c>
      <c r="C63" s="109" t="s">
        <v>106</v>
      </c>
      <c r="E63" s="113" t="s">
        <v>24</v>
      </c>
      <c r="F63" s="125">
        <f>COUNT(C64:C69)</f>
        <v>6</v>
      </c>
      <c r="H63" s="113" t="s">
        <v>32</v>
      </c>
      <c r="I63" s="1">
        <f>AVERAGE(C64:C69)</f>
        <v>14.366666666666667</v>
      </c>
    </row>
    <row r="64" spans="2:9" x14ac:dyDescent="0.35">
      <c r="B64" s="110">
        <v>1</v>
      </c>
      <c r="C64" s="84">
        <v>11</v>
      </c>
    </row>
    <row r="65" spans="2:9" x14ac:dyDescent="0.35">
      <c r="B65" s="110">
        <v>2</v>
      </c>
      <c r="C65" s="84">
        <v>11.2</v>
      </c>
      <c r="E65" s="114" t="s">
        <v>40</v>
      </c>
      <c r="F65" s="126">
        <f>COUNTIF(C64:C69,"17")</f>
        <v>2</v>
      </c>
      <c r="H65" s="113" t="s">
        <v>31</v>
      </c>
      <c r="I65" s="1">
        <f>MIN(C64:C69)</f>
        <v>11</v>
      </c>
    </row>
    <row r="66" spans="2:9" x14ac:dyDescent="0.35">
      <c r="B66" s="110">
        <v>3</v>
      </c>
      <c r="C66" s="84">
        <v>12</v>
      </c>
      <c r="E66" s="116" t="s">
        <v>39</v>
      </c>
      <c r="F66" s="117" t="s">
        <v>37</v>
      </c>
    </row>
    <row r="67" spans="2:9" x14ac:dyDescent="0.35">
      <c r="B67" s="110">
        <v>4</v>
      </c>
      <c r="C67" s="84">
        <v>17</v>
      </c>
      <c r="H67" s="113" t="s">
        <v>30</v>
      </c>
      <c r="I67" s="1">
        <f>MAX(C64:C69)</f>
        <v>18</v>
      </c>
    </row>
    <row r="68" spans="2:9" x14ac:dyDescent="0.35">
      <c r="B68" s="110">
        <v>5</v>
      </c>
      <c r="C68" s="84">
        <v>17</v>
      </c>
      <c r="E68" s="114" t="s">
        <v>34</v>
      </c>
      <c r="F68" s="115"/>
    </row>
    <row r="69" spans="2:9" ht="16" thickBot="1" x14ac:dyDescent="0.4">
      <c r="B69" s="111">
        <v>6</v>
      </c>
      <c r="C69" s="112">
        <v>18</v>
      </c>
      <c r="E69" s="90" t="s">
        <v>22</v>
      </c>
      <c r="F69" s="91" t="s">
        <v>33</v>
      </c>
      <c r="H69" s="113" t="s">
        <v>29</v>
      </c>
      <c r="I69" s="1">
        <f>LARGE(C64:C69,4)</f>
        <v>12</v>
      </c>
    </row>
    <row r="70" spans="2:9" x14ac:dyDescent="0.35">
      <c r="B70" s="43"/>
      <c r="E70" s="88">
        <v>11</v>
      </c>
      <c r="F70" s="127" cm="1">
        <f t="array" ref="F70:F73">FREQUENCY(C64:C69,E70:E73)</f>
        <v>1</v>
      </c>
    </row>
    <row r="71" spans="2:9" x14ac:dyDescent="0.35">
      <c r="B71" s="43"/>
      <c r="E71" s="88">
        <v>13</v>
      </c>
      <c r="F71" s="127">
        <v>2</v>
      </c>
      <c r="H71" s="113" t="s">
        <v>27</v>
      </c>
      <c r="I71" s="1">
        <f>SMALL(C64:C69,2)</f>
        <v>11.2</v>
      </c>
    </row>
    <row r="72" spans="2:9" x14ac:dyDescent="0.35">
      <c r="B72" s="43"/>
      <c r="E72" s="88">
        <v>18</v>
      </c>
      <c r="F72" s="127">
        <v>3</v>
      </c>
    </row>
    <row r="73" spans="2:9" x14ac:dyDescent="0.35">
      <c r="B73" s="43"/>
      <c r="E73" s="89"/>
      <c r="F73" s="128">
        <v>0</v>
      </c>
    </row>
    <row r="74" spans="2:9" x14ac:dyDescent="0.35">
      <c r="B74" s="43"/>
    </row>
    <row r="75" spans="2:9" ht="46.5" x14ac:dyDescent="0.35">
      <c r="B75" s="43"/>
      <c r="E75" s="129" t="s">
        <v>127</v>
      </c>
      <c r="F75" s="130">
        <f>_xlfn.STDEV.S(C64:C69)</f>
        <v>3.287349489583768</v>
      </c>
    </row>
    <row r="76" spans="2:9" x14ac:dyDescent="0.35">
      <c r="B76" s="43"/>
    </row>
    <row r="77" spans="2:9" x14ac:dyDescent="0.35">
      <c r="B77" s="43"/>
    </row>
    <row r="78" spans="2:9" x14ac:dyDescent="0.35">
      <c r="B78" s="69" t="s">
        <v>136</v>
      </c>
      <c r="C78" s="74"/>
      <c r="D78" s="74"/>
      <c r="E78" s="74"/>
      <c r="F78" s="74"/>
      <c r="G78" s="74"/>
      <c r="H78" s="74"/>
    </row>
    <row r="79" spans="2:9" x14ac:dyDescent="0.35">
      <c r="B79" s="66" t="s">
        <v>132</v>
      </c>
      <c r="C79" s="132"/>
      <c r="D79" s="132"/>
      <c r="E79" s="132"/>
      <c r="F79" s="132"/>
      <c r="G79" s="132"/>
      <c r="H79" s="132"/>
    </row>
    <row r="81" spans="2:9" ht="31.15" customHeight="1" thickBot="1" x14ac:dyDescent="0.4">
      <c r="B81" s="223" t="s">
        <v>137</v>
      </c>
      <c r="C81" s="224"/>
      <c r="I81" s="44"/>
    </row>
    <row r="82" spans="2:9" ht="16.5" x14ac:dyDescent="0.4">
      <c r="B82" s="108" t="s">
        <v>25</v>
      </c>
      <c r="C82" s="109" t="s">
        <v>106</v>
      </c>
      <c r="D82" s="50"/>
      <c r="E82" s="113" t="s">
        <v>24</v>
      </c>
      <c r="F82" s="125"/>
      <c r="H82" s="113" t="s">
        <v>32</v>
      </c>
      <c r="I82" s="138"/>
    </row>
    <row r="83" spans="2:9" x14ac:dyDescent="0.35">
      <c r="B83" s="110">
        <v>1</v>
      </c>
      <c r="C83" s="84">
        <v>4</v>
      </c>
      <c r="D83" s="50"/>
      <c r="I83" s="44"/>
    </row>
    <row r="84" spans="2:9" x14ac:dyDescent="0.35">
      <c r="B84" s="110">
        <v>2</v>
      </c>
      <c r="C84" s="84">
        <v>5</v>
      </c>
      <c r="D84" s="50"/>
      <c r="E84" s="114" t="s">
        <v>40</v>
      </c>
      <c r="F84" s="126"/>
      <c r="H84" s="113" t="s">
        <v>31</v>
      </c>
      <c r="I84" s="138"/>
    </row>
    <row r="85" spans="2:9" x14ac:dyDescent="0.35">
      <c r="B85" s="110">
        <v>3</v>
      </c>
      <c r="C85" s="84">
        <v>5</v>
      </c>
      <c r="D85" s="50"/>
      <c r="E85" s="116" t="s">
        <v>39</v>
      </c>
      <c r="F85" s="117" t="s">
        <v>36</v>
      </c>
      <c r="I85" s="44"/>
    </row>
    <row r="86" spans="2:9" x14ac:dyDescent="0.35">
      <c r="B86" s="110">
        <v>4</v>
      </c>
      <c r="C86" s="84">
        <v>9</v>
      </c>
      <c r="D86" s="50"/>
      <c r="H86" s="113" t="s">
        <v>30</v>
      </c>
      <c r="I86" s="138"/>
    </row>
    <row r="87" spans="2:9" x14ac:dyDescent="0.35">
      <c r="B87" s="110">
        <v>5</v>
      </c>
      <c r="C87" s="84">
        <v>9</v>
      </c>
      <c r="D87" s="50"/>
      <c r="E87" s="114" t="s">
        <v>34</v>
      </c>
      <c r="F87" s="115"/>
      <c r="I87" s="44"/>
    </row>
    <row r="88" spans="2:9" x14ac:dyDescent="0.35">
      <c r="B88" s="110">
        <v>6</v>
      </c>
      <c r="C88" s="84" t="s">
        <v>41</v>
      </c>
      <c r="D88" s="50"/>
      <c r="E88" s="90" t="s">
        <v>22</v>
      </c>
      <c r="F88" s="91" t="s">
        <v>33</v>
      </c>
      <c r="H88" s="113" t="s">
        <v>28</v>
      </c>
      <c r="I88" s="138"/>
    </row>
    <row r="89" spans="2:9" ht="16" thickBot="1" x14ac:dyDescent="0.4">
      <c r="B89" s="111">
        <v>7</v>
      </c>
      <c r="C89" s="112" t="s">
        <v>41</v>
      </c>
      <c r="D89" s="50"/>
      <c r="E89" s="88">
        <v>4</v>
      </c>
      <c r="F89" s="127"/>
      <c r="I89" s="44"/>
    </row>
    <row r="90" spans="2:9" x14ac:dyDescent="0.35">
      <c r="B90" s="43"/>
      <c r="E90" s="88">
        <v>5</v>
      </c>
      <c r="F90" s="127"/>
      <c r="H90" s="113" t="s">
        <v>27</v>
      </c>
      <c r="I90" s="138"/>
    </row>
    <row r="91" spans="2:9" x14ac:dyDescent="0.35">
      <c r="B91" s="43"/>
      <c r="E91" s="88">
        <v>9</v>
      </c>
      <c r="F91" s="127"/>
      <c r="I91" s="44"/>
    </row>
    <row r="92" spans="2:9" x14ac:dyDescent="0.35">
      <c r="B92" s="43"/>
      <c r="E92" s="89"/>
      <c r="F92" s="128"/>
      <c r="H92" s="114" t="s">
        <v>40</v>
      </c>
      <c r="I92" s="140">
        <f>COUNTIF(C83:C89,"&lt;&gt;9")</f>
        <v>5</v>
      </c>
    </row>
    <row r="93" spans="2:9" x14ac:dyDescent="0.35">
      <c r="B93" s="43"/>
      <c r="H93" s="116" t="s">
        <v>39</v>
      </c>
      <c r="I93" s="141" t="s">
        <v>35</v>
      </c>
    </row>
    <row r="94" spans="2:9" ht="46.5" x14ac:dyDescent="0.35">
      <c r="B94" s="43"/>
      <c r="E94" s="129" t="s">
        <v>127</v>
      </c>
      <c r="F94" s="130"/>
      <c r="I94" s="44"/>
    </row>
  </sheetData>
  <mergeCells count="1">
    <mergeCell ref="B81:C81"/>
  </mergeCells>
  <pageMargins left="0.78740157499999996" right="0.78740157499999996" top="0.984251969" bottom="0.984251969" header="0.4921259845" footer="0.4921259845"/>
  <pageSetup paperSize="9" orientation="portrait"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66"/>
  <sheetViews>
    <sheetView topLeftCell="A36" zoomScale="80" zoomScaleNormal="80" workbookViewId="0">
      <selection activeCell="B68" sqref="B68"/>
    </sheetView>
  </sheetViews>
  <sheetFormatPr baseColWidth="10" defaultColWidth="11.54296875" defaultRowHeight="15.5" x14ac:dyDescent="0.35"/>
  <cols>
    <col min="1" max="1" width="1" style="1" customWidth="1"/>
    <col min="2" max="3" width="11.453125" style="1" customWidth="1"/>
    <col min="4" max="4" width="11.453125" style="50" customWidth="1"/>
    <col min="5" max="14" width="11.453125" style="1" customWidth="1"/>
    <col min="15" max="16384" width="11.54296875" style="1"/>
  </cols>
  <sheetData>
    <row r="2" spans="2:11" ht="20" x14ac:dyDescent="0.4">
      <c r="B2" s="123" t="s">
        <v>75</v>
      </c>
      <c r="C2" s="25"/>
      <c r="D2" s="144"/>
    </row>
    <row r="3" spans="2:11" ht="16" thickBot="1" x14ac:dyDescent="0.4"/>
    <row r="4" spans="2:11" x14ac:dyDescent="0.35">
      <c r="B4" s="77" t="s">
        <v>144</v>
      </c>
      <c r="C4" s="78"/>
      <c r="D4" s="158"/>
      <c r="E4" s="78"/>
      <c r="F4" s="78"/>
      <c r="G4" s="78"/>
      <c r="H4" s="78"/>
      <c r="I4" s="78"/>
      <c r="J4" s="78"/>
      <c r="K4" s="79"/>
    </row>
    <row r="5" spans="2:11" x14ac:dyDescent="0.35">
      <c r="B5" s="227" t="s">
        <v>142</v>
      </c>
      <c r="C5" s="228"/>
      <c r="D5" s="228"/>
      <c r="E5" s="228"/>
      <c r="F5" s="228"/>
      <c r="G5" s="228"/>
      <c r="H5" s="228"/>
      <c r="I5" s="228"/>
      <c r="J5" s="228"/>
      <c r="K5" s="229"/>
    </row>
    <row r="6" spans="2:11" ht="16" thickBot="1" x14ac:dyDescent="0.4">
      <c r="B6" s="43"/>
      <c r="K6" s="44"/>
    </row>
    <row r="7" spans="2:11" x14ac:dyDescent="0.35">
      <c r="B7" s="153" t="s">
        <v>43</v>
      </c>
      <c r="C7" s="134">
        <v>1</v>
      </c>
      <c r="D7" s="149">
        <v>2</v>
      </c>
      <c r="E7" s="149">
        <v>3</v>
      </c>
      <c r="F7" s="149">
        <v>4</v>
      </c>
      <c r="G7" s="149">
        <v>5</v>
      </c>
      <c r="H7" s="149">
        <v>6</v>
      </c>
      <c r="I7" s="149">
        <v>7</v>
      </c>
      <c r="J7" s="109">
        <v>8</v>
      </c>
      <c r="K7" s="44"/>
    </row>
    <row r="8" spans="2:11" x14ac:dyDescent="0.35">
      <c r="B8" s="154" t="s">
        <v>24</v>
      </c>
      <c r="C8" s="135">
        <v>5</v>
      </c>
      <c r="D8" s="50">
        <v>2</v>
      </c>
      <c r="E8" s="50">
        <v>3</v>
      </c>
      <c r="F8" s="50">
        <v>0</v>
      </c>
      <c r="G8" s="50">
        <v>0</v>
      </c>
      <c r="H8" s="50">
        <v>1</v>
      </c>
      <c r="I8" s="50">
        <v>3</v>
      </c>
      <c r="J8" s="84">
        <v>6</v>
      </c>
      <c r="K8" s="44"/>
    </row>
    <row r="9" spans="2:11" x14ac:dyDescent="0.35">
      <c r="B9" s="51"/>
      <c r="J9" s="44"/>
      <c r="K9" s="44"/>
    </row>
    <row r="10" spans="2:11" x14ac:dyDescent="0.35">
      <c r="B10" s="51" t="s">
        <v>43</v>
      </c>
      <c r="C10" s="150">
        <v>9</v>
      </c>
      <c r="D10" s="151">
        <v>10</v>
      </c>
      <c r="E10" s="151">
        <v>11</v>
      </c>
      <c r="F10" s="151">
        <v>12</v>
      </c>
      <c r="G10" s="151">
        <v>13</v>
      </c>
      <c r="H10" s="151">
        <v>14</v>
      </c>
      <c r="I10" s="151">
        <v>15</v>
      </c>
      <c r="J10" s="152">
        <v>16</v>
      </c>
      <c r="K10" s="44"/>
    </row>
    <row r="11" spans="2:11" x14ac:dyDescent="0.35">
      <c r="B11" s="154" t="s">
        <v>24</v>
      </c>
      <c r="C11" s="135">
        <v>0</v>
      </c>
      <c r="D11" s="50">
        <v>2</v>
      </c>
      <c r="E11" s="50">
        <v>1</v>
      </c>
      <c r="F11" s="50">
        <v>0</v>
      </c>
      <c r="G11" s="50">
        <v>1</v>
      </c>
      <c r="H11" s="50">
        <v>0</v>
      </c>
      <c r="I11" s="50">
        <v>2</v>
      </c>
      <c r="J11" s="84">
        <v>3</v>
      </c>
      <c r="K11" s="44"/>
    </row>
    <row r="12" spans="2:11" x14ac:dyDescent="0.35">
      <c r="B12" s="51"/>
      <c r="J12" s="44"/>
      <c r="K12" s="44"/>
    </row>
    <row r="13" spans="2:11" x14ac:dyDescent="0.35">
      <c r="B13" s="155" t="s">
        <v>43</v>
      </c>
      <c r="C13" s="150">
        <v>17</v>
      </c>
      <c r="D13" s="151">
        <v>18</v>
      </c>
      <c r="E13" s="151">
        <v>19</v>
      </c>
      <c r="F13" s="151">
        <v>20</v>
      </c>
      <c r="G13" s="151">
        <v>21</v>
      </c>
      <c r="H13" s="151">
        <v>22</v>
      </c>
      <c r="I13" s="151">
        <v>23</v>
      </c>
      <c r="J13" s="152">
        <v>24</v>
      </c>
      <c r="K13" s="44"/>
    </row>
    <row r="14" spans="2:11" x14ac:dyDescent="0.35">
      <c r="B14" s="51" t="s">
        <v>24</v>
      </c>
      <c r="C14" s="135">
        <v>5</v>
      </c>
      <c r="D14" s="50">
        <v>1</v>
      </c>
      <c r="E14" s="50">
        <v>0</v>
      </c>
      <c r="F14" s="50">
        <v>0</v>
      </c>
      <c r="G14" s="50">
        <v>3</v>
      </c>
      <c r="H14" s="50">
        <v>5</v>
      </c>
      <c r="I14" s="50">
        <v>3</v>
      </c>
      <c r="J14" s="84">
        <v>1</v>
      </c>
      <c r="K14" s="44"/>
    </row>
    <row r="15" spans="2:11" x14ac:dyDescent="0.35">
      <c r="B15" s="51"/>
      <c r="J15" s="44"/>
      <c r="K15" s="44"/>
    </row>
    <row r="16" spans="2:11" x14ac:dyDescent="0.35">
      <c r="B16" s="51" t="s">
        <v>43</v>
      </c>
      <c r="C16" s="150">
        <v>25</v>
      </c>
      <c r="D16" s="151">
        <v>26</v>
      </c>
      <c r="E16" s="151">
        <v>27</v>
      </c>
      <c r="F16" s="151">
        <v>28</v>
      </c>
      <c r="G16" s="151">
        <v>29</v>
      </c>
      <c r="H16" s="151">
        <v>30</v>
      </c>
      <c r="J16" s="44"/>
      <c r="K16" s="44"/>
    </row>
    <row r="17" spans="2:11" ht="16" thickBot="1" x14ac:dyDescent="0.4">
      <c r="B17" s="156" t="s">
        <v>24</v>
      </c>
      <c r="C17" s="145">
        <v>0</v>
      </c>
      <c r="D17" s="145">
        <v>0</v>
      </c>
      <c r="E17" s="145">
        <v>0</v>
      </c>
      <c r="F17" s="145">
        <v>6</v>
      </c>
      <c r="G17" s="145">
        <v>3</v>
      </c>
      <c r="H17" s="145">
        <v>1</v>
      </c>
      <c r="I17" s="45"/>
      <c r="J17" s="46"/>
      <c r="K17" s="44"/>
    </row>
    <row r="18" spans="2:11" x14ac:dyDescent="0.35">
      <c r="B18" s="43"/>
      <c r="K18" s="44"/>
    </row>
    <row r="19" spans="2:11" x14ac:dyDescent="0.35">
      <c r="B19" s="43"/>
      <c r="K19" s="44"/>
    </row>
    <row r="20" spans="2:11" x14ac:dyDescent="0.35">
      <c r="B20" s="66" t="s">
        <v>96</v>
      </c>
      <c r="C20" s="132"/>
      <c r="D20" s="157"/>
      <c r="E20" s="132"/>
      <c r="F20" s="132"/>
      <c r="G20" s="132"/>
      <c r="H20" s="132"/>
      <c r="I20" s="132"/>
      <c r="J20" s="132"/>
      <c r="K20" s="139"/>
    </row>
    <row r="21" spans="2:11" ht="15" customHeight="1" x14ac:dyDescent="0.35">
      <c r="B21" s="227" t="s">
        <v>147</v>
      </c>
      <c r="C21" s="228"/>
      <c r="D21" s="228"/>
      <c r="E21" s="228"/>
      <c r="F21" s="228"/>
      <c r="G21" s="228"/>
      <c r="H21" s="228"/>
      <c r="I21" s="228"/>
      <c r="J21" s="228"/>
      <c r="K21" s="229"/>
    </row>
    <row r="22" spans="2:11" ht="30" customHeight="1" x14ac:dyDescent="0.35">
      <c r="B22" s="230" t="s">
        <v>145</v>
      </c>
      <c r="C22" s="231"/>
      <c r="D22" s="231"/>
      <c r="E22" s="231"/>
      <c r="F22" s="231"/>
      <c r="G22" s="231"/>
      <c r="H22" s="231"/>
      <c r="I22" s="231"/>
      <c r="J22" s="231"/>
      <c r="K22" s="232"/>
    </row>
    <row r="23" spans="2:11" ht="45" customHeight="1" x14ac:dyDescent="0.35">
      <c r="B23" s="233" t="s">
        <v>146</v>
      </c>
      <c r="C23" s="234"/>
      <c r="D23" s="234"/>
      <c r="E23" s="234"/>
      <c r="F23" s="234"/>
      <c r="G23" s="234"/>
      <c r="H23" s="234"/>
      <c r="I23" s="234"/>
      <c r="J23" s="234"/>
      <c r="K23" s="235"/>
    </row>
    <row r="24" spans="2:11" ht="46.15" customHeight="1" thickBot="1" x14ac:dyDescent="0.4">
      <c r="B24" s="223" t="s">
        <v>143</v>
      </c>
      <c r="C24" s="224"/>
      <c r="D24" s="224"/>
      <c r="E24" s="224"/>
      <c r="F24" s="224"/>
      <c r="G24" s="224"/>
      <c r="H24" s="224"/>
      <c r="I24" s="224"/>
      <c r="J24" s="224"/>
      <c r="K24" s="225"/>
    </row>
    <row r="25" spans="2:11" ht="15" customHeight="1" x14ac:dyDescent="0.35"/>
    <row r="26" spans="2:11" ht="15" customHeight="1" x14ac:dyDescent="0.35"/>
    <row r="27" spans="2:11" ht="15" customHeight="1" x14ac:dyDescent="0.35"/>
    <row r="28" spans="2:11" ht="15" customHeight="1" x14ac:dyDescent="0.35"/>
    <row r="29" spans="2:11" x14ac:dyDescent="0.35">
      <c r="B29" s="236" t="s">
        <v>46</v>
      </c>
      <c r="C29" s="237"/>
      <c r="D29" s="172">
        <v>3</v>
      </c>
    </row>
    <row r="31" spans="2:11" x14ac:dyDescent="0.35">
      <c r="B31" s="113" t="s">
        <v>45</v>
      </c>
      <c r="C31" s="91"/>
      <c r="D31" s="163" t="s">
        <v>44</v>
      </c>
      <c r="F31" s="226" t="s">
        <v>148</v>
      </c>
      <c r="G31" s="226"/>
      <c r="H31" s="226"/>
      <c r="I31" s="226"/>
      <c r="J31" s="226"/>
      <c r="K31" s="226"/>
    </row>
    <row r="32" spans="2:11" ht="15.65" customHeight="1" x14ac:dyDescent="0.35">
      <c r="B32" s="164" t="s">
        <v>43</v>
      </c>
      <c r="C32" s="165" t="s">
        <v>24</v>
      </c>
      <c r="D32" s="166" t="s">
        <v>42</v>
      </c>
      <c r="G32" s="159"/>
    </row>
    <row r="33" spans="2:11" x14ac:dyDescent="0.35">
      <c r="B33" s="135">
        <v>1</v>
      </c>
      <c r="C33" s="161">
        <v>5</v>
      </c>
      <c r="D33" s="160">
        <f>C33*$D$29</f>
        <v>15</v>
      </c>
      <c r="G33" s="121"/>
    </row>
    <row r="34" spans="2:11" ht="33" x14ac:dyDescent="0.45">
      <c r="B34" s="135">
        <v>2</v>
      </c>
      <c r="C34" s="161">
        <v>2</v>
      </c>
      <c r="D34" s="160">
        <f t="shared" ref="D34:D62" si="0">C34*$D$29</f>
        <v>6</v>
      </c>
      <c r="F34" s="169" t="s">
        <v>149</v>
      </c>
      <c r="G34" s="170" t="s">
        <v>150</v>
      </c>
      <c r="H34" s="171" t="s">
        <v>151</v>
      </c>
    </row>
    <row r="35" spans="2:11" x14ac:dyDescent="0.35">
      <c r="B35" s="135">
        <v>3</v>
      </c>
      <c r="C35" s="161">
        <v>3</v>
      </c>
      <c r="D35" s="160">
        <f t="shared" si="0"/>
        <v>9</v>
      </c>
      <c r="F35" s="146">
        <v>0</v>
      </c>
      <c r="G35">
        <f>COUNTIF($C$33:$C$62,F35)</f>
        <v>10</v>
      </c>
      <c r="H35" s="146">
        <f>G35/$G$42</f>
        <v>0.33333333333333331</v>
      </c>
    </row>
    <row r="36" spans="2:11" x14ac:dyDescent="0.35">
      <c r="B36" s="135">
        <v>4</v>
      </c>
      <c r="C36" s="161">
        <v>0</v>
      </c>
      <c r="D36" s="160">
        <f t="shared" si="0"/>
        <v>0</v>
      </c>
      <c r="F36" s="88">
        <v>1</v>
      </c>
      <c r="G36">
        <f t="shared" ref="G36:G41" si="1">COUNTIF($C$33:$C$62,F36)</f>
        <v>6</v>
      </c>
      <c r="H36" s="146">
        <f t="shared" ref="H36:H41" si="2">G36/$G$42</f>
        <v>0.2</v>
      </c>
    </row>
    <row r="37" spans="2:11" x14ac:dyDescent="0.35">
      <c r="B37" s="135">
        <v>5</v>
      </c>
      <c r="C37" s="161">
        <v>0</v>
      </c>
      <c r="D37" s="160">
        <f t="shared" si="0"/>
        <v>0</v>
      </c>
      <c r="F37" s="88">
        <v>2</v>
      </c>
      <c r="G37">
        <f t="shared" si="1"/>
        <v>3</v>
      </c>
      <c r="H37" s="146">
        <f t="shared" si="2"/>
        <v>0.1</v>
      </c>
    </row>
    <row r="38" spans="2:11" x14ac:dyDescent="0.35">
      <c r="B38" s="135">
        <v>6</v>
      </c>
      <c r="C38" s="161">
        <v>1</v>
      </c>
      <c r="D38" s="160">
        <f t="shared" si="0"/>
        <v>3</v>
      </c>
      <c r="F38" s="88">
        <v>3</v>
      </c>
      <c r="G38">
        <f t="shared" si="1"/>
        <v>6</v>
      </c>
      <c r="H38" s="146">
        <f t="shared" si="2"/>
        <v>0.2</v>
      </c>
    </row>
    <row r="39" spans="2:11" x14ac:dyDescent="0.35">
      <c r="B39" s="135">
        <v>7</v>
      </c>
      <c r="C39" s="161">
        <v>3</v>
      </c>
      <c r="D39" s="160">
        <f t="shared" si="0"/>
        <v>9</v>
      </c>
      <c r="F39" s="88">
        <v>4</v>
      </c>
      <c r="G39">
        <f t="shared" si="1"/>
        <v>0</v>
      </c>
      <c r="H39" s="146">
        <f t="shared" si="2"/>
        <v>0</v>
      </c>
    </row>
    <row r="40" spans="2:11" x14ac:dyDescent="0.35">
      <c r="B40" s="135">
        <v>8</v>
      </c>
      <c r="C40" s="161">
        <v>6</v>
      </c>
      <c r="D40" s="160">
        <f t="shared" si="0"/>
        <v>18</v>
      </c>
      <c r="F40" s="88">
        <v>5</v>
      </c>
      <c r="G40">
        <f t="shared" si="1"/>
        <v>3</v>
      </c>
      <c r="H40" s="146">
        <f t="shared" si="2"/>
        <v>0.1</v>
      </c>
    </row>
    <row r="41" spans="2:11" x14ac:dyDescent="0.35">
      <c r="B41" s="135">
        <v>9</v>
      </c>
      <c r="C41" s="161">
        <v>0</v>
      </c>
      <c r="D41" s="160">
        <f t="shared" si="0"/>
        <v>0</v>
      </c>
      <c r="F41" s="88">
        <v>6</v>
      </c>
      <c r="G41">
        <f t="shared" si="1"/>
        <v>2</v>
      </c>
      <c r="H41" s="146">
        <f t="shared" si="2"/>
        <v>6.6666666666666666E-2</v>
      </c>
    </row>
    <row r="42" spans="2:11" x14ac:dyDescent="0.35">
      <c r="B42" s="135">
        <v>10</v>
      </c>
      <c r="C42" s="161">
        <v>2</v>
      </c>
      <c r="D42" s="160">
        <f t="shared" si="0"/>
        <v>6</v>
      </c>
      <c r="F42" s="168" t="s">
        <v>0</v>
      </c>
      <c r="G42">
        <f>SUM(G35:G41)</f>
        <v>30</v>
      </c>
      <c r="H42">
        <f>SUM(H35:H41)</f>
        <v>0.99999999999999989</v>
      </c>
    </row>
    <row r="43" spans="2:11" x14ac:dyDescent="0.35">
      <c r="B43" s="135">
        <v>11</v>
      </c>
      <c r="C43" s="161">
        <v>1</v>
      </c>
      <c r="D43" s="160">
        <f t="shared" si="0"/>
        <v>3</v>
      </c>
    </row>
    <row r="44" spans="2:11" x14ac:dyDescent="0.35">
      <c r="B44" s="135">
        <v>12</v>
      </c>
      <c r="C44" s="161">
        <v>0</v>
      </c>
      <c r="D44" s="160">
        <f t="shared" si="0"/>
        <v>0</v>
      </c>
    </row>
    <row r="45" spans="2:11" x14ac:dyDescent="0.35">
      <c r="B45" s="135">
        <v>13</v>
      </c>
      <c r="C45" s="161">
        <v>1</v>
      </c>
      <c r="D45" s="160">
        <f t="shared" si="0"/>
        <v>3</v>
      </c>
    </row>
    <row r="46" spans="2:11" x14ac:dyDescent="0.35">
      <c r="B46" s="135">
        <v>14</v>
      </c>
      <c r="C46" s="161">
        <v>0</v>
      </c>
      <c r="D46" s="160">
        <f t="shared" si="0"/>
        <v>0</v>
      </c>
      <c r="F46" s="226" t="s">
        <v>152</v>
      </c>
      <c r="G46" s="226"/>
      <c r="H46" s="226"/>
      <c r="I46" s="226"/>
      <c r="J46" s="226"/>
      <c r="K46" s="226"/>
    </row>
    <row r="47" spans="2:11" x14ac:dyDescent="0.35">
      <c r="B47" s="135">
        <v>15</v>
      </c>
      <c r="C47" s="161">
        <v>2</v>
      </c>
      <c r="D47" s="160">
        <f t="shared" si="0"/>
        <v>6</v>
      </c>
      <c r="G47" s="159"/>
    </row>
    <row r="48" spans="2:11" x14ac:dyDescent="0.35">
      <c r="B48" s="135">
        <v>16</v>
      </c>
      <c r="C48" s="161">
        <v>3</v>
      </c>
      <c r="D48" s="160">
        <f t="shared" si="0"/>
        <v>9</v>
      </c>
      <c r="G48" s="121"/>
    </row>
    <row r="49" spans="2:8" ht="33" x14ac:dyDescent="0.45">
      <c r="B49" s="135">
        <v>17</v>
      </c>
      <c r="C49" s="161">
        <v>5</v>
      </c>
      <c r="D49" s="160">
        <f t="shared" si="0"/>
        <v>15</v>
      </c>
      <c r="F49" s="169" t="s">
        <v>149</v>
      </c>
      <c r="G49" s="170" t="s">
        <v>153</v>
      </c>
      <c r="H49" s="171" t="s">
        <v>154</v>
      </c>
    </row>
    <row r="50" spans="2:8" x14ac:dyDescent="0.35">
      <c r="B50" s="135">
        <v>18</v>
      </c>
      <c r="C50" s="161">
        <v>1</v>
      </c>
      <c r="D50" s="160">
        <f t="shared" si="0"/>
        <v>3</v>
      </c>
      <c r="F50" s="146">
        <v>0</v>
      </c>
      <c r="G50" s="73">
        <f>SUM($G$35:G35)</f>
        <v>10</v>
      </c>
      <c r="H50" s="146">
        <f>G50/$G$42</f>
        <v>0.33333333333333331</v>
      </c>
    </row>
    <row r="51" spans="2:8" x14ac:dyDescent="0.35">
      <c r="B51" s="135">
        <v>19</v>
      </c>
      <c r="C51" s="161">
        <v>0</v>
      </c>
      <c r="D51" s="160">
        <f t="shared" si="0"/>
        <v>0</v>
      </c>
      <c r="F51" s="88">
        <v>1</v>
      </c>
      <c r="G51" s="73">
        <f>SUM($G$35:G36)</f>
        <v>16</v>
      </c>
      <c r="H51" s="146">
        <f t="shared" ref="H51:H56" si="3">G51/$G$42</f>
        <v>0.53333333333333333</v>
      </c>
    </row>
    <row r="52" spans="2:8" x14ac:dyDescent="0.35">
      <c r="B52" s="135">
        <v>20</v>
      </c>
      <c r="C52" s="161">
        <v>0</v>
      </c>
      <c r="D52" s="160">
        <f t="shared" si="0"/>
        <v>0</v>
      </c>
      <c r="F52" s="88">
        <v>2</v>
      </c>
      <c r="G52" s="73">
        <f>SUM($G$35:G37)</f>
        <v>19</v>
      </c>
      <c r="H52" s="146">
        <f t="shared" si="3"/>
        <v>0.6333333333333333</v>
      </c>
    </row>
    <row r="53" spans="2:8" x14ac:dyDescent="0.35">
      <c r="B53" s="135">
        <v>21</v>
      </c>
      <c r="C53" s="161">
        <v>3</v>
      </c>
      <c r="D53" s="160">
        <f t="shared" si="0"/>
        <v>9</v>
      </c>
      <c r="F53" s="88">
        <v>3</v>
      </c>
      <c r="G53" s="73">
        <f>SUM($G$35:G38)</f>
        <v>25</v>
      </c>
      <c r="H53" s="146">
        <f t="shared" si="3"/>
        <v>0.83333333333333337</v>
      </c>
    </row>
    <row r="54" spans="2:8" x14ac:dyDescent="0.35">
      <c r="B54" s="135">
        <v>22</v>
      </c>
      <c r="C54" s="161">
        <v>5</v>
      </c>
      <c r="D54" s="160">
        <f t="shared" si="0"/>
        <v>15</v>
      </c>
      <c r="F54" s="88">
        <v>4</v>
      </c>
      <c r="G54" s="73">
        <f>SUM($G$35:G39)</f>
        <v>25</v>
      </c>
      <c r="H54" s="146">
        <f t="shared" si="3"/>
        <v>0.83333333333333337</v>
      </c>
    </row>
    <row r="55" spans="2:8" x14ac:dyDescent="0.35">
      <c r="B55" s="135">
        <v>23</v>
      </c>
      <c r="C55" s="161">
        <v>3</v>
      </c>
      <c r="D55" s="160">
        <f t="shared" si="0"/>
        <v>9</v>
      </c>
      <c r="F55" s="88">
        <v>5</v>
      </c>
      <c r="G55" s="73">
        <f>SUM($G$35:G40)</f>
        <v>28</v>
      </c>
      <c r="H55" s="146">
        <f t="shared" si="3"/>
        <v>0.93333333333333335</v>
      </c>
    </row>
    <row r="56" spans="2:8" x14ac:dyDescent="0.35">
      <c r="B56" s="135">
        <v>24</v>
      </c>
      <c r="C56" s="161">
        <v>1</v>
      </c>
      <c r="D56" s="160">
        <f t="shared" si="0"/>
        <v>3</v>
      </c>
      <c r="F56" s="88">
        <v>6</v>
      </c>
      <c r="G56" s="73">
        <f>SUM($G$35:G41)</f>
        <v>30</v>
      </c>
      <c r="H56" s="146">
        <f t="shared" si="3"/>
        <v>1</v>
      </c>
    </row>
    <row r="57" spans="2:8" x14ac:dyDescent="0.35">
      <c r="B57" s="135">
        <v>25</v>
      </c>
      <c r="C57" s="161">
        <v>0</v>
      </c>
      <c r="D57" s="160">
        <f t="shared" si="0"/>
        <v>0</v>
      </c>
      <c r="F57" s="168" t="s">
        <v>0</v>
      </c>
      <c r="G57"/>
      <c r="H57" s="89"/>
    </row>
    <row r="58" spans="2:8" x14ac:dyDescent="0.35">
      <c r="B58" s="135">
        <v>26</v>
      </c>
      <c r="C58" s="161">
        <v>0</v>
      </c>
      <c r="D58" s="160">
        <f t="shared" si="0"/>
        <v>0</v>
      </c>
    </row>
    <row r="59" spans="2:8" x14ac:dyDescent="0.35">
      <c r="B59" s="135">
        <v>27</v>
      </c>
      <c r="C59" s="161">
        <v>0</v>
      </c>
      <c r="D59" s="160">
        <f t="shared" si="0"/>
        <v>0</v>
      </c>
    </row>
    <row r="60" spans="2:8" x14ac:dyDescent="0.35">
      <c r="B60" s="135">
        <v>28</v>
      </c>
      <c r="C60" s="161">
        <v>6</v>
      </c>
      <c r="D60" s="160">
        <f t="shared" si="0"/>
        <v>18</v>
      </c>
    </row>
    <row r="61" spans="2:8" x14ac:dyDescent="0.35">
      <c r="B61" s="135">
        <v>29</v>
      </c>
      <c r="C61" s="161">
        <v>3</v>
      </c>
      <c r="D61" s="160">
        <f t="shared" si="0"/>
        <v>9</v>
      </c>
    </row>
    <row r="62" spans="2:8" x14ac:dyDescent="0.35">
      <c r="B62" s="150">
        <v>30</v>
      </c>
      <c r="C62" s="162">
        <v>1</v>
      </c>
      <c r="D62" s="160">
        <f t="shared" si="0"/>
        <v>3</v>
      </c>
    </row>
    <row r="66" spans="2:11" x14ac:dyDescent="0.35">
      <c r="B66" s="222" t="s">
        <v>155</v>
      </c>
      <c r="C66" s="222"/>
      <c r="D66" s="222"/>
      <c r="E66" s="222"/>
      <c r="F66" s="222"/>
      <c r="G66" s="222"/>
      <c r="H66" s="222"/>
      <c r="I66" s="222"/>
      <c r="J66" s="222"/>
      <c r="K66" s="222"/>
    </row>
  </sheetData>
  <mergeCells count="9">
    <mergeCell ref="B66:K66"/>
    <mergeCell ref="B24:K24"/>
    <mergeCell ref="F31:K31"/>
    <mergeCell ref="B5:K5"/>
    <mergeCell ref="B21:K21"/>
    <mergeCell ref="B22:K22"/>
    <mergeCell ref="B23:K23"/>
    <mergeCell ref="B29:C29"/>
    <mergeCell ref="F46:K46"/>
  </mergeCells>
  <pageMargins left="0.78740157499999996" right="0.78740157499999996" top="0.984251969" bottom="0.984251969" header="0.4921259845" footer="0.492125984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O39"/>
  <sheetViews>
    <sheetView zoomScale="80" zoomScaleNormal="80" workbookViewId="0">
      <selection activeCell="E40" sqref="E40"/>
    </sheetView>
  </sheetViews>
  <sheetFormatPr baseColWidth="10" defaultColWidth="11.54296875" defaultRowHeight="15.5" x14ac:dyDescent="0.35"/>
  <cols>
    <col min="1" max="1" width="1.1796875" style="1" customWidth="1"/>
    <col min="2" max="3" width="11.453125" style="1" customWidth="1"/>
    <col min="4" max="4" width="14.26953125" style="1" customWidth="1"/>
    <col min="5" max="7" width="11.453125" style="1" customWidth="1"/>
    <col min="8" max="15" width="11.453125" style="50" customWidth="1"/>
    <col min="16" max="16" width="11.453125" style="1" customWidth="1"/>
    <col min="17" max="18" width="11.54296875" style="1"/>
    <col min="19" max="19" width="13.7265625" style="1" customWidth="1"/>
    <col min="20" max="16384" width="11.54296875" style="1"/>
  </cols>
  <sheetData>
    <row r="2" spans="2:10" ht="19.149999999999999" customHeight="1" x14ac:dyDescent="0.4">
      <c r="B2" s="123" t="s">
        <v>157</v>
      </c>
      <c r="C2" s="25"/>
      <c r="D2" s="144"/>
    </row>
    <row r="3" spans="2:10" ht="14.5" customHeight="1" thickBot="1" x14ac:dyDescent="0.45">
      <c r="B3" s="177"/>
      <c r="D3" s="50"/>
    </row>
    <row r="4" spans="2:10" ht="14.5" customHeight="1" x14ac:dyDescent="0.35">
      <c r="B4" s="77" t="s">
        <v>144</v>
      </c>
      <c r="C4" s="179"/>
      <c r="D4" s="180"/>
      <c r="E4" s="179"/>
      <c r="F4" s="179"/>
      <c r="G4" s="179"/>
      <c r="H4" s="180"/>
      <c r="I4" s="180"/>
      <c r="J4" s="181"/>
    </row>
    <row r="5" spans="2:10" ht="31.15" customHeight="1" x14ac:dyDescent="0.35">
      <c r="B5" s="248" t="s">
        <v>49</v>
      </c>
      <c r="C5" s="249"/>
      <c r="D5" s="249"/>
      <c r="E5" s="249"/>
      <c r="F5" s="249"/>
      <c r="G5" s="249"/>
      <c r="H5" s="249"/>
      <c r="I5" s="249"/>
      <c r="J5" s="250"/>
    </row>
    <row r="6" spans="2:10" ht="15.65" customHeight="1" x14ac:dyDescent="0.35">
      <c r="B6" s="43"/>
      <c r="J6" s="84"/>
    </row>
    <row r="7" spans="2:10" ht="15.65" customHeight="1" thickBot="1" x14ac:dyDescent="0.4">
      <c r="B7" s="43"/>
      <c r="C7" s="1" t="s">
        <v>26</v>
      </c>
      <c r="F7" s="1" t="s">
        <v>48</v>
      </c>
      <c r="J7" s="84"/>
    </row>
    <row r="8" spans="2:10" ht="15.65" customHeight="1" x14ac:dyDescent="0.4">
      <c r="B8" s="43"/>
      <c r="C8" s="108" t="s">
        <v>47</v>
      </c>
      <c r="D8" s="109" t="s">
        <v>156</v>
      </c>
      <c r="F8" s="108" t="s">
        <v>25</v>
      </c>
      <c r="G8" s="109" t="s">
        <v>106</v>
      </c>
      <c r="J8" s="84"/>
    </row>
    <row r="9" spans="2:10" ht="15.65" customHeight="1" x14ac:dyDescent="0.35">
      <c r="B9" s="43"/>
      <c r="C9" s="142">
        <v>1</v>
      </c>
      <c r="D9" s="174">
        <v>3</v>
      </c>
      <c r="F9" s="110">
        <v>1</v>
      </c>
      <c r="G9" s="84">
        <v>0</v>
      </c>
      <c r="J9" s="84"/>
    </row>
    <row r="10" spans="2:10" ht="15.65" customHeight="1" x14ac:dyDescent="0.35">
      <c r="B10" s="43"/>
      <c r="C10" s="142">
        <v>2</v>
      </c>
      <c r="D10" s="174">
        <v>10</v>
      </c>
      <c r="F10" s="110">
        <v>2</v>
      </c>
      <c r="G10" s="84">
        <v>0</v>
      </c>
      <c r="J10" s="84"/>
    </row>
    <row r="11" spans="2:10" ht="15.65" customHeight="1" x14ac:dyDescent="0.35">
      <c r="B11" s="43"/>
      <c r="C11" s="142">
        <v>3</v>
      </c>
      <c r="D11" s="174">
        <v>1</v>
      </c>
      <c r="F11" s="110">
        <v>3</v>
      </c>
      <c r="G11" s="84">
        <v>1</v>
      </c>
      <c r="J11" s="84"/>
    </row>
    <row r="12" spans="2:10" ht="15.65" customHeight="1" x14ac:dyDescent="0.35">
      <c r="B12" s="43"/>
      <c r="C12" s="142">
        <v>4</v>
      </c>
      <c r="D12" s="174">
        <v>2</v>
      </c>
      <c r="F12" s="110">
        <v>4</v>
      </c>
      <c r="G12" s="84">
        <v>1</v>
      </c>
      <c r="J12" s="84"/>
    </row>
    <row r="13" spans="2:10" ht="15.65" customHeight="1" x14ac:dyDescent="0.35">
      <c r="B13" s="43"/>
      <c r="C13" s="142">
        <v>5</v>
      </c>
      <c r="D13" s="174">
        <v>3</v>
      </c>
      <c r="F13" s="110">
        <v>5</v>
      </c>
      <c r="G13" s="84">
        <v>2</v>
      </c>
      <c r="J13" s="84"/>
    </row>
    <row r="14" spans="2:10" ht="15.65" customHeight="1" x14ac:dyDescent="0.35">
      <c r="B14" s="43"/>
      <c r="C14" s="142">
        <v>6</v>
      </c>
      <c r="D14" s="174">
        <v>0</v>
      </c>
      <c r="F14" s="110">
        <v>6</v>
      </c>
      <c r="G14" s="84">
        <v>2</v>
      </c>
      <c r="J14" s="84"/>
    </row>
    <row r="15" spans="2:10" ht="15.65" customHeight="1" x14ac:dyDescent="0.35">
      <c r="B15" s="43"/>
      <c r="C15" s="142">
        <v>7</v>
      </c>
      <c r="D15" s="174">
        <v>2</v>
      </c>
      <c r="F15" s="110">
        <v>7</v>
      </c>
      <c r="G15" s="84">
        <v>3</v>
      </c>
      <c r="J15" s="84"/>
    </row>
    <row r="16" spans="2:10" ht="15.65" customHeight="1" x14ac:dyDescent="0.35">
      <c r="B16" s="43"/>
      <c r="C16" s="142">
        <v>8</v>
      </c>
      <c r="D16" s="174">
        <v>1</v>
      </c>
      <c r="F16" s="110">
        <v>8</v>
      </c>
      <c r="G16" s="84">
        <v>3</v>
      </c>
      <c r="J16" s="84"/>
    </row>
    <row r="17" spans="2:10" ht="15.65" customHeight="1" x14ac:dyDescent="0.35">
      <c r="B17" s="43"/>
      <c r="C17" s="142">
        <v>9</v>
      </c>
      <c r="D17" s="174">
        <v>0</v>
      </c>
      <c r="F17" s="110">
        <v>9</v>
      </c>
      <c r="G17" s="84">
        <v>3</v>
      </c>
      <c r="J17" s="84"/>
    </row>
    <row r="18" spans="2:10" ht="15.65" customHeight="1" thickBot="1" x14ac:dyDescent="0.4">
      <c r="B18" s="43"/>
      <c r="C18" s="175">
        <v>10</v>
      </c>
      <c r="D18" s="176">
        <v>3</v>
      </c>
      <c r="F18" s="111">
        <v>10</v>
      </c>
      <c r="G18" s="112">
        <v>10</v>
      </c>
      <c r="J18" s="84"/>
    </row>
    <row r="19" spans="2:10" ht="15.65" customHeight="1" x14ac:dyDescent="0.35">
      <c r="B19" s="43"/>
      <c r="C19" s="2"/>
      <c r="D19" s="2"/>
      <c r="F19" s="50"/>
      <c r="G19" s="50"/>
      <c r="J19" s="84"/>
    </row>
    <row r="20" spans="2:10" ht="15.65" customHeight="1" x14ac:dyDescent="0.35">
      <c r="B20" s="66" t="s">
        <v>96</v>
      </c>
      <c r="C20" s="178"/>
      <c r="D20" s="178"/>
      <c r="E20" s="132"/>
      <c r="F20" s="157"/>
      <c r="G20" s="157"/>
      <c r="H20" s="157"/>
      <c r="I20" s="157"/>
      <c r="J20" s="182"/>
    </row>
    <row r="21" spans="2:10" ht="15.65" customHeight="1" x14ac:dyDescent="0.35">
      <c r="B21" s="227" t="s">
        <v>158</v>
      </c>
      <c r="C21" s="228"/>
      <c r="D21" s="228"/>
      <c r="E21" s="228"/>
      <c r="F21" s="228"/>
      <c r="G21" s="228"/>
      <c r="H21" s="228"/>
      <c r="I21" s="228"/>
      <c r="J21" s="229"/>
    </row>
    <row r="22" spans="2:10" ht="30.65" customHeight="1" thickBot="1" x14ac:dyDescent="0.4">
      <c r="B22" s="251" t="s">
        <v>160</v>
      </c>
      <c r="C22" s="252"/>
      <c r="D22" s="252"/>
      <c r="E22" s="252"/>
      <c r="F22" s="252"/>
      <c r="G22" s="252"/>
      <c r="H22" s="252"/>
      <c r="I22" s="252"/>
      <c r="J22" s="253"/>
    </row>
    <row r="23" spans="2:10" ht="15.65" customHeight="1" x14ac:dyDescent="0.35"/>
    <row r="24" spans="2:10" ht="15.65" customHeight="1" x14ac:dyDescent="0.35">
      <c r="F24" s="2"/>
      <c r="G24" s="2"/>
    </row>
    <row r="25" spans="2:10" ht="15.65" customHeight="1" x14ac:dyDescent="0.35">
      <c r="C25" s="133" t="s">
        <v>44</v>
      </c>
      <c r="D25" s="73" t="s">
        <v>167</v>
      </c>
      <c r="E25" s="184">
        <f>SUM(G9:G18)</f>
        <v>25</v>
      </c>
      <c r="G25" s="50"/>
    </row>
    <row r="26" spans="2:10" ht="15.65" customHeight="1" x14ac:dyDescent="0.35">
      <c r="C26" s="72"/>
      <c r="E26" s="185"/>
      <c r="G26" s="50"/>
    </row>
    <row r="27" spans="2:10" ht="15.65" customHeight="1" x14ac:dyDescent="0.35">
      <c r="C27" s="119"/>
      <c r="D27" s="136" t="s">
        <v>159</v>
      </c>
      <c r="E27" s="128">
        <f>COUNT(C9:C18)</f>
        <v>10</v>
      </c>
      <c r="G27" s="50"/>
      <c r="H27" s="173"/>
    </row>
    <row r="28" spans="2:10" ht="15.65" customHeight="1" x14ac:dyDescent="0.35">
      <c r="D28" s="183"/>
      <c r="G28" s="50"/>
    </row>
    <row r="29" spans="2:10" ht="15.65" customHeight="1" x14ac:dyDescent="0.35">
      <c r="C29" s="133" t="s">
        <v>1</v>
      </c>
      <c r="D29" s="186" t="s">
        <v>161</v>
      </c>
      <c r="E29" s="126">
        <f>AVERAGE(D9:D18)</f>
        <v>2.5</v>
      </c>
      <c r="G29" s="50"/>
    </row>
    <row r="30" spans="2:10" ht="15.65" customHeight="1" x14ac:dyDescent="0.35">
      <c r="C30" s="72"/>
      <c r="D30" s="143"/>
      <c r="E30" s="118"/>
      <c r="G30" s="50"/>
    </row>
    <row r="31" spans="2:10" ht="15.65" customHeight="1" x14ac:dyDescent="0.4">
      <c r="C31" s="72"/>
      <c r="D31" s="143" t="s">
        <v>162</v>
      </c>
      <c r="E31" s="127">
        <f>_xlfn.MODE.SNGL(D9:D18)</f>
        <v>3</v>
      </c>
      <c r="G31" s="50"/>
    </row>
    <row r="33" spans="4:5" ht="15.65" customHeight="1" x14ac:dyDescent="0.4">
      <c r="D33" s="143" t="s">
        <v>163</v>
      </c>
      <c r="E33" s="1">
        <f>MEDIAN(D9:D18)</f>
        <v>2</v>
      </c>
    </row>
    <row r="34" spans="4:5" ht="15.65" customHeight="1" x14ac:dyDescent="0.35">
      <c r="D34" s="143"/>
    </row>
    <row r="35" spans="4:5" ht="15.65" customHeight="1" x14ac:dyDescent="0.35">
      <c r="D35" s="143" t="s">
        <v>164</v>
      </c>
      <c r="E35" s="1">
        <f>MIN(D9:D18)</f>
        <v>0</v>
      </c>
    </row>
    <row r="36" spans="4:5" ht="15.65" customHeight="1" x14ac:dyDescent="0.35">
      <c r="D36" s="143"/>
    </row>
    <row r="37" spans="4:5" ht="15.65" customHeight="1" x14ac:dyDescent="0.35">
      <c r="D37" s="143" t="s">
        <v>165</v>
      </c>
      <c r="E37" s="1">
        <f>MAX(D9:D18)</f>
        <v>10</v>
      </c>
    </row>
    <row r="38" spans="4:5" ht="15.65" customHeight="1" x14ac:dyDescent="0.35">
      <c r="D38" s="143"/>
    </row>
    <row r="39" spans="4:5" ht="15.65" customHeight="1" x14ac:dyDescent="0.35">
      <c r="D39" s="187" t="s">
        <v>166</v>
      </c>
      <c r="E39" s="1">
        <f>E37-E35</f>
        <v>10</v>
      </c>
    </row>
  </sheetData>
  <mergeCells count="3">
    <mergeCell ref="B5:J5"/>
    <mergeCell ref="B21:J21"/>
    <mergeCell ref="B22:J22"/>
  </mergeCells>
  <pageMargins left="0.78740157499999996" right="0.78740157499999996" top="0.984251969" bottom="0.984251969" header="0.4921259845" footer="0.492125984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55"/>
  <sheetViews>
    <sheetView topLeftCell="A12" zoomScale="80" zoomScaleNormal="80" workbookViewId="0">
      <selection activeCell="G56" sqref="G56"/>
    </sheetView>
  </sheetViews>
  <sheetFormatPr baseColWidth="10" defaultColWidth="11.453125" defaultRowHeight="15.5" x14ac:dyDescent="0.35"/>
  <cols>
    <col min="1" max="1" width="1" style="1" customWidth="1"/>
    <col min="2" max="3" width="18.1796875" style="1" customWidth="1"/>
    <col min="4" max="5" width="12.7265625" style="1" bestFit="1" customWidth="1"/>
    <col min="6" max="6" width="14.54296875" style="1" bestFit="1" customWidth="1"/>
    <col min="7" max="7" width="12.7265625" style="1" bestFit="1" customWidth="1"/>
    <col min="8" max="16384" width="11.453125" style="1"/>
  </cols>
  <sheetData>
    <row r="2" spans="2:9" ht="20" x14ac:dyDescent="0.4">
      <c r="B2" s="123" t="s">
        <v>77</v>
      </c>
    </row>
    <row r="3" spans="2:9" ht="16" thickBot="1" x14ac:dyDescent="0.4"/>
    <row r="4" spans="2:9" x14ac:dyDescent="0.35">
      <c r="B4" s="77" t="s">
        <v>144</v>
      </c>
      <c r="C4" s="179"/>
      <c r="D4" s="180"/>
      <c r="E4" s="179"/>
      <c r="F4" s="179"/>
      <c r="G4" s="179"/>
      <c r="H4" s="180"/>
      <c r="I4" s="181"/>
    </row>
    <row r="5" spans="2:9" ht="45" customHeight="1" x14ac:dyDescent="0.35">
      <c r="B5" s="230" t="s">
        <v>168</v>
      </c>
      <c r="C5" s="231"/>
      <c r="D5" s="231"/>
      <c r="E5" s="231"/>
      <c r="F5" s="231"/>
      <c r="G5" s="231"/>
      <c r="H5" s="231"/>
      <c r="I5" s="232"/>
    </row>
    <row r="6" spans="2:9" x14ac:dyDescent="0.35">
      <c r="B6" s="83"/>
      <c r="C6" s="167"/>
      <c r="D6" s="167"/>
      <c r="E6" s="167"/>
      <c r="F6" s="167"/>
      <c r="G6" s="167"/>
      <c r="H6" s="167"/>
      <c r="I6" s="193"/>
    </row>
    <row r="7" spans="2:9" x14ac:dyDescent="0.35">
      <c r="B7" s="194" t="s">
        <v>58</v>
      </c>
      <c r="C7" s="188" t="s">
        <v>57</v>
      </c>
      <c r="D7" s="1" t="s">
        <v>186</v>
      </c>
      <c r="I7" s="44"/>
    </row>
    <row r="8" spans="2:9" x14ac:dyDescent="0.35">
      <c r="B8" s="195">
        <v>1</v>
      </c>
      <c r="C8" s="189">
        <v>19616.74874028665</v>
      </c>
      <c r="D8" s="279">
        <f ca="1">DATEDIF(C8,TODAY(),"y")</f>
        <v>72</v>
      </c>
      <c r="E8" s="196"/>
      <c r="I8" s="44"/>
    </row>
    <row r="9" spans="2:9" x14ac:dyDescent="0.35">
      <c r="B9" s="195">
        <v>2</v>
      </c>
      <c r="C9" s="189">
        <v>22664.623194444444</v>
      </c>
      <c r="D9" s="279">
        <f t="shared" ref="D9:D40" ca="1" si="0">DATEDIF(C9,TODAY(),"y")</f>
        <v>64</v>
      </c>
      <c r="I9" s="44"/>
    </row>
    <row r="10" spans="2:9" x14ac:dyDescent="0.35">
      <c r="B10" s="195">
        <v>3</v>
      </c>
      <c r="C10" s="189">
        <v>23092.160667044594</v>
      </c>
      <c r="D10" s="279">
        <f t="shared" ca="1" si="0"/>
        <v>63</v>
      </c>
      <c r="E10" s="196"/>
      <c r="I10" s="44"/>
    </row>
    <row r="11" spans="2:9" x14ac:dyDescent="0.35">
      <c r="B11" s="195">
        <v>4</v>
      </c>
      <c r="C11" s="189">
        <v>30152.74354239738</v>
      </c>
      <c r="D11" s="279">
        <f t="shared" ca="1" si="0"/>
        <v>43</v>
      </c>
      <c r="E11" s="196"/>
      <c r="I11" s="44"/>
    </row>
    <row r="12" spans="2:9" x14ac:dyDescent="0.35">
      <c r="B12" s="195">
        <v>5</v>
      </c>
      <c r="C12" s="189">
        <v>20541.737014774626</v>
      </c>
      <c r="D12" s="279">
        <f t="shared" ca="1" si="0"/>
        <v>70</v>
      </c>
      <c r="E12" s="196"/>
      <c r="I12" s="44"/>
    </row>
    <row r="13" spans="2:9" x14ac:dyDescent="0.35">
      <c r="B13" s="195">
        <v>6</v>
      </c>
      <c r="C13" s="189">
        <v>17215.537398570261</v>
      </c>
      <c r="D13" s="279">
        <f t="shared" ca="1" si="0"/>
        <v>79</v>
      </c>
      <c r="E13" s="196"/>
      <c r="I13" s="44"/>
    </row>
    <row r="14" spans="2:9" x14ac:dyDescent="0.35">
      <c r="B14" s="195">
        <v>7</v>
      </c>
      <c r="C14" s="189">
        <v>19358.444090272504</v>
      </c>
      <c r="D14" s="279">
        <f t="shared" ca="1" si="0"/>
        <v>73</v>
      </c>
      <c r="E14" s="196"/>
      <c r="I14" s="44"/>
    </row>
    <row r="15" spans="2:9" x14ac:dyDescent="0.35">
      <c r="B15" s="195">
        <v>8</v>
      </c>
      <c r="C15" s="189">
        <v>22202.708571201059</v>
      </c>
      <c r="D15" s="279">
        <f t="shared" ca="1" si="0"/>
        <v>65</v>
      </c>
      <c r="E15" s="196"/>
      <c r="I15" s="44"/>
    </row>
    <row r="16" spans="2:9" x14ac:dyDescent="0.35">
      <c r="B16" s="195">
        <v>9</v>
      </c>
      <c r="C16" s="189">
        <v>30387.280127314814</v>
      </c>
      <c r="D16" s="279">
        <f t="shared" ca="1" si="0"/>
        <v>43</v>
      </c>
      <c r="E16" s="196"/>
      <c r="I16" s="44"/>
    </row>
    <row r="17" spans="2:4" x14ac:dyDescent="0.35">
      <c r="B17" s="195">
        <v>10</v>
      </c>
      <c r="C17" s="189">
        <v>15489.329245601459</v>
      </c>
      <c r="D17" s="279">
        <f t="shared" ca="1" si="0"/>
        <v>83</v>
      </c>
    </row>
    <row r="18" spans="2:4" x14ac:dyDescent="0.35">
      <c r="B18" s="195">
        <v>11</v>
      </c>
      <c r="C18" s="189">
        <v>28445.882647881939</v>
      </c>
      <c r="D18" s="279">
        <f t="shared" ca="1" si="0"/>
        <v>48</v>
      </c>
    </row>
    <row r="19" spans="2:4" x14ac:dyDescent="0.35">
      <c r="B19" s="195">
        <v>12</v>
      </c>
      <c r="C19" s="189">
        <v>21037.96193287037</v>
      </c>
      <c r="D19" s="279">
        <f t="shared" ca="1" si="0"/>
        <v>68</v>
      </c>
    </row>
    <row r="20" spans="2:4" x14ac:dyDescent="0.35">
      <c r="B20" s="195">
        <v>13</v>
      </c>
      <c r="C20" s="189">
        <v>21314.662577553547</v>
      </c>
      <c r="D20" s="279">
        <f t="shared" ca="1" si="0"/>
        <v>68</v>
      </c>
    </row>
    <row r="21" spans="2:4" x14ac:dyDescent="0.35">
      <c r="B21" s="195">
        <v>14</v>
      </c>
      <c r="C21" s="189">
        <v>18512.888543982361</v>
      </c>
      <c r="D21" s="279">
        <f t="shared" ca="1" si="0"/>
        <v>75</v>
      </c>
    </row>
    <row r="22" spans="2:4" x14ac:dyDescent="0.35">
      <c r="B22" s="195">
        <v>15</v>
      </c>
      <c r="C22" s="189">
        <v>31834.75325024749</v>
      </c>
      <c r="D22" s="279">
        <f t="shared" ca="1" si="0"/>
        <v>39</v>
      </c>
    </row>
    <row r="23" spans="2:4" x14ac:dyDescent="0.35">
      <c r="B23" s="195">
        <v>16</v>
      </c>
      <c r="C23" s="189">
        <v>18725.062918104493</v>
      </c>
      <c r="D23" s="279">
        <f t="shared" ca="1" si="0"/>
        <v>75</v>
      </c>
    </row>
    <row r="24" spans="2:4" x14ac:dyDescent="0.35">
      <c r="B24" s="195">
        <v>17</v>
      </c>
      <c r="C24" s="189">
        <v>27182.777359072421</v>
      </c>
      <c r="D24" s="279">
        <f t="shared" ca="1" si="0"/>
        <v>51</v>
      </c>
    </row>
    <row r="25" spans="2:4" x14ac:dyDescent="0.35">
      <c r="B25" s="195">
        <v>18</v>
      </c>
      <c r="C25" s="189">
        <v>22764.910949074074</v>
      </c>
      <c r="D25" s="279">
        <f t="shared" ca="1" si="0"/>
        <v>64</v>
      </c>
    </row>
    <row r="26" spans="2:4" x14ac:dyDescent="0.35">
      <c r="B26" s="195">
        <v>19</v>
      </c>
      <c r="C26" s="189">
        <v>30244.89804398148</v>
      </c>
      <c r="D26" s="279">
        <f t="shared" ca="1" si="0"/>
        <v>43</v>
      </c>
    </row>
    <row r="27" spans="2:4" x14ac:dyDescent="0.35">
      <c r="B27" s="195">
        <v>20</v>
      </c>
      <c r="C27" s="189">
        <v>28413.544798525545</v>
      </c>
      <c r="D27" s="279">
        <f t="shared" ca="1" si="0"/>
        <v>48</v>
      </c>
    </row>
    <row r="28" spans="2:4" x14ac:dyDescent="0.35">
      <c r="B28" s="195">
        <v>21</v>
      </c>
      <c r="C28" s="189">
        <v>33227.848507341652</v>
      </c>
      <c r="D28" s="279">
        <f t="shared" ca="1" si="0"/>
        <v>35</v>
      </c>
    </row>
    <row r="29" spans="2:4" x14ac:dyDescent="0.35">
      <c r="B29" s="195">
        <v>22</v>
      </c>
      <c r="C29" s="189">
        <v>24731.067187500001</v>
      </c>
      <c r="D29" s="279">
        <f t="shared" ca="1" si="0"/>
        <v>58</v>
      </c>
    </row>
    <row r="30" spans="2:4" x14ac:dyDescent="0.35">
      <c r="B30" s="195">
        <v>23</v>
      </c>
      <c r="C30" s="189">
        <v>16049.931784416593</v>
      </c>
      <c r="D30" s="279">
        <f t="shared" ca="1" si="0"/>
        <v>82</v>
      </c>
    </row>
    <row r="31" spans="2:4" x14ac:dyDescent="0.35">
      <c r="B31" s="195">
        <v>24</v>
      </c>
      <c r="C31" s="189">
        <v>30137.711875000001</v>
      </c>
      <c r="D31" s="279">
        <f t="shared" ca="1" si="0"/>
        <v>43</v>
      </c>
    </row>
    <row r="32" spans="2:4" x14ac:dyDescent="0.35">
      <c r="B32" s="195">
        <v>25</v>
      </c>
      <c r="C32" s="189">
        <v>20890.136390419804</v>
      </c>
      <c r="D32" s="279">
        <f t="shared" ca="1" si="0"/>
        <v>69</v>
      </c>
    </row>
    <row r="33" spans="2:9" x14ac:dyDescent="0.35">
      <c r="B33" s="195">
        <v>26</v>
      </c>
      <c r="C33" s="189">
        <v>30141.626863425925</v>
      </c>
      <c r="D33" s="279">
        <f t="shared" ca="1" si="0"/>
        <v>43</v>
      </c>
      <c r="I33" s="44"/>
    </row>
    <row r="34" spans="2:9" x14ac:dyDescent="0.35">
      <c r="B34" s="195">
        <v>27</v>
      </c>
      <c r="C34" s="189">
        <v>32595.52306712963</v>
      </c>
      <c r="D34" s="279">
        <f t="shared" ca="1" si="0"/>
        <v>37</v>
      </c>
      <c r="I34" s="44"/>
    </row>
    <row r="35" spans="2:9" x14ac:dyDescent="0.35">
      <c r="B35" s="195">
        <v>28</v>
      </c>
      <c r="C35" s="189">
        <v>25590.223090640618</v>
      </c>
      <c r="D35" s="279">
        <f t="shared" ca="1" si="0"/>
        <v>56</v>
      </c>
      <c r="I35" s="44"/>
    </row>
    <row r="36" spans="2:9" x14ac:dyDescent="0.35">
      <c r="B36" s="195">
        <v>29</v>
      </c>
      <c r="C36" s="189">
        <v>27791.729814814815</v>
      </c>
      <c r="D36" s="279">
        <f t="shared" ca="1" si="0"/>
        <v>50</v>
      </c>
      <c r="I36" s="44"/>
    </row>
    <row r="37" spans="2:9" x14ac:dyDescent="0.35">
      <c r="B37" s="195">
        <v>30</v>
      </c>
      <c r="C37" s="189">
        <v>26809.999604827375</v>
      </c>
      <c r="D37" s="279">
        <f t="shared" ca="1" si="0"/>
        <v>52</v>
      </c>
      <c r="I37" s="44"/>
    </row>
    <row r="38" spans="2:9" x14ac:dyDescent="0.35">
      <c r="B38" s="195">
        <v>31</v>
      </c>
      <c r="C38" s="189">
        <v>31925.743346667565</v>
      </c>
      <c r="D38" s="279">
        <f t="shared" ca="1" si="0"/>
        <v>38</v>
      </c>
      <c r="I38" s="44"/>
    </row>
    <row r="39" spans="2:9" x14ac:dyDescent="0.35">
      <c r="B39" s="195">
        <v>32</v>
      </c>
      <c r="C39" s="189">
        <v>33051.11078703704</v>
      </c>
      <c r="D39" s="279">
        <f t="shared" ca="1" si="0"/>
        <v>35</v>
      </c>
      <c r="I39" s="44"/>
    </row>
    <row r="40" spans="2:9" x14ac:dyDescent="0.35">
      <c r="B40" s="197">
        <v>33</v>
      </c>
      <c r="C40" s="190">
        <v>22896.211003555487</v>
      </c>
      <c r="D40" s="279">
        <f t="shared" ca="1" si="0"/>
        <v>63</v>
      </c>
      <c r="I40" s="44"/>
    </row>
    <row r="41" spans="2:9" x14ac:dyDescent="0.35">
      <c r="B41" s="195"/>
      <c r="I41" s="44"/>
    </row>
    <row r="42" spans="2:9" x14ac:dyDescent="0.35">
      <c r="B42" s="195"/>
      <c r="I42" s="44"/>
    </row>
    <row r="43" spans="2:9" x14ac:dyDescent="0.35">
      <c r="B43" s="254" t="s">
        <v>169</v>
      </c>
      <c r="C43" s="255"/>
      <c r="D43" s="255"/>
      <c r="E43" s="255"/>
      <c r="F43" s="255"/>
      <c r="G43" s="255"/>
      <c r="H43" s="255"/>
      <c r="I43" s="256"/>
    </row>
    <row r="44" spans="2:9" x14ac:dyDescent="0.35">
      <c r="B44" s="198"/>
      <c r="I44" s="44"/>
    </row>
    <row r="45" spans="2:9" x14ac:dyDescent="0.35">
      <c r="B45" s="147" t="s">
        <v>59</v>
      </c>
      <c r="C45" s="73"/>
      <c r="D45" s="73"/>
      <c r="E45" s="73"/>
      <c r="F45" s="191">
        <f ca="1">COUNTIF(D8:D40,"27")</f>
        <v>0</v>
      </c>
      <c r="I45" s="44"/>
    </row>
    <row r="46" spans="2:9" x14ac:dyDescent="0.35">
      <c r="B46" s="43" t="s">
        <v>56</v>
      </c>
      <c r="F46" s="192">
        <f ca="1">COUNTIF(D8:D40,"&lt;40")</f>
        <v>5</v>
      </c>
      <c r="I46" s="44"/>
    </row>
    <row r="47" spans="2:9" x14ac:dyDescent="0.35">
      <c r="B47" s="43" t="s">
        <v>55</v>
      </c>
      <c r="F47" s="192">
        <f ca="1">COUNTIF(D8:D40,"&gt;50")</f>
        <v>20</v>
      </c>
      <c r="I47" s="44"/>
    </row>
    <row r="48" spans="2:9" x14ac:dyDescent="0.35">
      <c r="B48" s="43" t="s">
        <v>54</v>
      </c>
      <c r="F48" s="192">
        <f ca="1">MAX(D8:D40)</f>
        <v>83</v>
      </c>
      <c r="I48" s="44"/>
    </row>
    <row r="49" spans="2:7" x14ac:dyDescent="0.35">
      <c r="B49" s="148" t="s">
        <v>60</v>
      </c>
      <c r="F49" s="280">
        <f ca="1">AVERAGE(D8:D40)</f>
        <v>57.424242424242422</v>
      </c>
    </row>
    <row r="50" spans="2:7" x14ac:dyDescent="0.35">
      <c r="B50" s="43"/>
    </row>
    <row r="51" spans="2:7" x14ac:dyDescent="0.35">
      <c r="B51" s="147" t="s">
        <v>170</v>
      </c>
    </row>
    <row r="52" spans="2:7" x14ac:dyDescent="0.35">
      <c r="B52" s="43" t="s">
        <v>53</v>
      </c>
      <c r="E52" s="1">
        <v>17</v>
      </c>
      <c r="F52" s="1" cm="1">
        <f t="array" aca="1" ref="F52:F55" ca="1">FREQUENCY(D8:D40,E52:E54)</f>
        <v>0</v>
      </c>
    </row>
    <row r="53" spans="2:7" x14ac:dyDescent="0.35">
      <c r="B53" s="43" t="s">
        <v>52</v>
      </c>
      <c r="E53" s="1">
        <v>35</v>
      </c>
      <c r="F53" s="1">
        <f ca="1"/>
        <v>2</v>
      </c>
    </row>
    <row r="54" spans="2:7" x14ac:dyDescent="0.35">
      <c r="B54" s="43" t="s">
        <v>51</v>
      </c>
      <c r="E54" s="1">
        <v>49</v>
      </c>
      <c r="F54" s="1">
        <f ca="1"/>
        <v>10</v>
      </c>
    </row>
    <row r="55" spans="2:7" x14ac:dyDescent="0.35">
      <c r="B55" s="148" t="s">
        <v>50</v>
      </c>
      <c r="F55" s="1">
        <f ca="1"/>
        <v>21</v>
      </c>
      <c r="G55" s="1">
        <f>COUNTIF(C8:C40,"&gt;=50")</f>
        <v>33</v>
      </c>
    </row>
  </sheetData>
  <mergeCells count="2">
    <mergeCell ref="B5:I5"/>
    <mergeCell ref="B43:I43"/>
  </mergeCells>
  <pageMargins left="0.78740157499999996" right="0.78740157499999996" top="0.984251969" bottom="0.984251969" header="0.4921259845" footer="0.492125984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4955"/>
  <sheetViews>
    <sheetView tabSelected="1" topLeftCell="A42" zoomScale="80" zoomScaleNormal="80" workbookViewId="0">
      <selection activeCell="B1" sqref="B1"/>
    </sheetView>
  </sheetViews>
  <sheetFormatPr baseColWidth="10" defaultColWidth="11.453125" defaultRowHeight="15.5" x14ac:dyDescent="0.35"/>
  <cols>
    <col min="1" max="1" width="1.1796875" style="34" customWidth="1"/>
    <col min="2" max="2" width="13.81640625" style="34" customWidth="1"/>
    <col min="3" max="3" width="12.81640625" style="34" bestFit="1" customWidth="1"/>
    <col min="4" max="4" width="15.453125" style="34" customWidth="1"/>
    <col min="5" max="5" width="13.7265625" style="34" customWidth="1"/>
    <col min="6" max="8" width="11.453125" style="34"/>
    <col min="9" max="9" width="13.1796875" style="34" bestFit="1" customWidth="1"/>
    <col min="10" max="16384" width="11.453125" style="34"/>
  </cols>
  <sheetData>
    <row r="2" spans="2:10" ht="20" x14ac:dyDescent="0.4">
      <c r="B2" s="123" t="s">
        <v>76</v>
      </c>
      <c r="C2" s="25"/>
      <c r="D2" s="25"/>
    </row>
    <row r="3" spans="2:10" x14ac:dyDescent="0.35">
      <c r="B3" s="36"/>
    </row>
    <row r="4" spans="2:10" ht="18.5" thickBot="1" x14ac:dyDescent="0.45">
      <c r="B4" s="20" t="s">
        <v>178</v>
      </c>
      <c r="C4" s="19"/>
      <c r="D4" s="19"/>
      <c r="E4" s="19"/>
    </row>
    <row r="5" spans="2:10" ht="16.5" x14ac:dyDescent="0.4">
      <c r="B5" s="207" t="s">
        <v>61</v>
      </c>
      <c r="C5" s="208"/>
      <c r="D5" s="208" t="s">
        <v>171</v>
      </c>
      <c r="E5" s="208"/>
      <c r="F5" s="208"/>
      <c r="G5" s="208"/>
      <c r="H5" s="208"/>
      <c r="I5" s="208"/>
      <c r="J5" s="209"/>
    </row>
    <row r="6" spans="2:10" ht="51" customHeight="1" x14ac:dyDescent="0.35">
      <c r="B6" s="260" t="s">
        <v>172</v>
      </c>
      <c r="C6" s="261"/>
      <c r="D6" s="261"/>
      <c r="E6" s="261"/>
      <c r="F6" s="261"/>
      <c r="G6" s="261"/>
      <c r="H6" s="261"/>
      <c r="I6" s="261"/>
      <c r="J6" s="262"/>
    </row>
    <row r="7" spans="2:10" x14ac:dyDescent="0.35">
      <c r="B7" s="204"/>
      <c r="C7" s="205"/>
      <c r="D7" s="205"/>
      <c r="E7" s="205"/>
      <c r="F7" s="205"/>
      <c r="G7" s="205"/>
      <c r="H7" s="205"/>
      <c r="I7" s="205"/>
      <c r="J7" s="206"/>
    </row>
    <row r="8" spans="2:10" ht="16.5" x14ac:dyDescent="0.4">
      <c r="B8" s="210" t="s">
        <v>62</v>
      </c>
      <c r="C8" s="19"/>
      <c r="D8" s="19" t="s">
        <v>173</v>
      </c>
      <c r="E8" s="19"/>
      <c r="F8" s="19"/>
      <c r="G8" s="19"/>
      <c r="H8" s="19"/>
      <c r="I8" s="19"/>
      <c r="J8" s="211"/>
    </row>
    <row r="9" spans="2:10" ht="47.5" customHeight="1" x14ac:dyDescent="0.35">
      <c r="B9" s="260" t="s">
        <v>63</v>
      </c>
      <c r="C9" s="261"/>
      <c r="D9" s="261"/>
      <c r="E9" s="261"/>
      <c r="F9" s="261"/>
      <c r="G9" s="261"/>
      <c r="H9" s="261"/>
      <c r="I9" s="261"/>
      <c r="J9" s="262"/>
    </row>
    <row r="10" spans="2:10" ht="48.65" customHeight="1" thickBot="1" x14ac:dyDescent="0.4">
      <c r="B10" s="263" t="s">
        <v>179</v>
      </c>
      <c r="C10" s="264"/>
      <c r="D10" s="264"/>
      <c r="E10" s="264"/>
      <c r="F10" s="264"/>
      <c r="G10" s="264"/>
      <c r="H10" s="264"/>
      <c r="I10" s="264"/>
      <c r="J10" s="265"/>
    </row>
    <row r="12" spans="2:10" x14ac:dyDescent="0.35">
      <c r="B12" s="36"/>
    </row>
    <row r="13" spans="2:10" ht="18.5" thickBot="1" x14ac:dyDescent="0.45">
      <c r="B13" s="20" t="s">
        <v>180</v>
      </c>
      <c r="C13" s="19"/>
      <c r="D13" s="19"/>
      <c r="E13" s="19"/>
    </row>
    <row r="14" spans="2:10" ht="77.5" customHeight="1" x14ac:dyDescent="0.35">
      <c r="B14" s="266" t="s">
        <v>174</v>
      </c>
      <c r="C14" s="267"/>
      <c r="D14" s="267"/>
      <c r="E14" s="267"/>
      <c r="F14" s="267"/>
      <c r="G14" s="267"/>
      <c r="H14" s="267"/>
      <c r="I14" s="267"/>
      <c r="J14" s="268"/>
    </row>
    <row r="15" spans="2:10" ht="15" customHeight="1" x14ac:dyDescent="0.35">
      <c r="B15" s="38"/>
      <c r="C15" s="37"/>
      <c r="D15" s="37"/>
      <c r="E15" s="37"/>
      <c r="F15" s="37"/>
      <c r="G15" s="37"/>
      <c r="H15" s="37"/>
      <c r="I15" s="37"/>
      <c r="J15" s="39"/>
    </row>
    <row r="16" spans="2:10" ht="30.65" customHeight="1" x14ac:dyDescent="0.35">
      <c r="B16" s="269" t="s">
        <v>175</v>
      </c>
      <c r="C16" s="270"/>
      <c r="D16" s="270"/>
      <c r="E16" s="270"/>
      <c r="F16" s="270"/>
      <c r="G16" s="270"/>
      <c r="H16" s="270"/>
      <c r="I16" s="270"/>
      <c r="J16" s="271"/>
    </row>
    <row r="18" spans="2:10" ht="31.9" customHeight="1" thickBot="1" x14ac:dyDescent="0.4">
      <c r="B18" s="272" t="s">
        <v>176</v>
      </c>
      <c r="C18" s="273"/>
      <c r="D18" s="273"/>
      <c r="E18" s="273"/>
      <c r="F18" s="273"/>
      <c r="G18" s="273"/>
      <c r="H18" s="273"/>
      <c r="I18" s="273"/>
      <c r="J18" s="274"/>
    </row>
    <row r="19" spans="2:10" ht="16.5" customHeight="1" x14ac:dyDescent="0.35">
      <c r="B19" s="37"/>
      <c r="C19" s="37"/>
      <c r="D19" s="37"/>
      <c r="E19" s="37"/>
      <c r="F19" s="37"/>
      <c r="G19" s="37"/>
      <c r="H19" s="37"/>
      <c r="I19" s="37"/>
    </row>
    <row r="20" spans="2:10" ht="16.5" customHeight="1" thickBot="1" x14ac:dyDescent="0.4">
      <c r="B20" s="37"/>
      <c r="C20" s="37"/>
      <c r="D20" s="37"/>
      <c r="E20" s="37"/>
      <c r="F20" s="37"/>
      <c r="G20" s="37"/>
      <c r="H20" s="37"/>
      <c r="I20" s="37"/>
    </row>
    <row r="21" spans="2:10" ht="16.5" customHeight="1" thickBot="1" x14ac:dyDescent="0.4">
      <c r="B21" s="37"/>
      <c r="C21" s="257" t="s">
        <v>64</v>
      </c>
      <c r="D21" s="258"/>
      <c r="E21" s="217" t="s">
        <v>23</v>
      </c>
      <c r="F21" s="217" t="s">
        <v>65</v>
      </c>
      <c r="G21" s="218" t="s">
        <v>32</v>
      </c>
      <c r="H21" s="37"/>
      <c r="I21" s="37"/>
    </row>
    <row r="22" spans="2:10" ht="16.5" customHeight="1" thickBot="1" x14ac:dyDescent="0.4">
      <c r="B22" s="37"/>
      <c r="C22" s="275" t="s">
        <v>181</v>
      </c>
      <c r="D22" s="276"/>
      <c r="E22" s="212"/>
      <c r="F22" s="212"/>
      <c r="G22" s="213"/>
      <c r="H22" s="37"/>
      <c r="I22" s="37"/>
    </row>
    <row r="23" spans="2:10" ht="16.5" customHeight="1" thickBot="1" x14ac:dyDescent="0.4">
      <c r="B23" s="37"/>
      <c r="C23" s="257" t="s">
        <v>182</v>
      </c>
      <c r="D23" s="258"/>
      <c r="E23" s="219"/>
      <c r="F23" s="220"/>
      <c r="G23" s="221"/>
      <c r="H23" s="37"/>
      <c r="I23" s="37"/>
    </row>
    <row r="24" spans="2:10" ht="16.5" customHeight="1" thickBot="1" x14ac:dyDescent="0.4">
      <c r="B24" s="37"/>
      <c r="C24" s="277" t="s">
        <v>183</v>
      </c>
      <c r="D24" s="278"/>
      <c r="E24" s="214"/>
      <c r="F24" s="215"/>
      <c r="G24" s="216"/>
      <c r="H24" s="37"/>
      <c r="I24" s="37"/>
    </row>
    <row r="25" spans="2:10" ht="16.5" customHeight="1" x14ac:dyDescent="0.35">
      <c r="B25" s="37"/>
      <c r="C25" s="37"/>
      <c r="D25" s="37"/>
      <c r="E25" s="37"/>
      <c r="F25" s="37"/>
      <c r="G25" s="37"/>
      <c r="H25" s="37"/>
      <c r="I25" s="37"/>
    </row>
    <row r="26" spans="2:10" ht="16.5" customHeight="1" x14ac:dyDescent="0.35">
      <c r="B26" s="37"/>
      <c r="C26" s="37"/>
      <c r="D26" s="37"/>
      <c r="E26" s="37"/>
      <c r="F26" s="37"/>
      <c r="G26" s="37"/>
      <c r="H26" s="37"/>
      <c r="I26" s="37"/>
    </row>
    <row r="27" spans="2:10" ht="15" customHeight="1" x14ac:dyDescent="0.35">
      <c r="C27" s="259" t="s">
        <v>184</v>
      </c>
      <c r="D27" s="259"/>
      <c r="E27" s="259"/>
      <c r="G27" s="37"/>
      <c r="H27" s="37"/>
      <c r="I27" s="37"/>
    </row>
    <row r="28" spans="2:10" x14ac:dyDescent="0.35">
      <c r="C28" s="33" t="s">
        <v>66</v>
      </c>
      <c r="D28" s="33" t="s">
        <v>67</v>
      </c>
      <c r="E28" s="33" t="s">
        <v>68</v>
      </c>
      <c r="G28" s="37"/>
      <c r="H28" s="37"/>
      <c r="I28" s="37"/>
    </row>
    <row r="29" spans="2:10" ht="15" customHeight="1" x14ac:dyDescent="0.35">
      <c r="B29" s="1">
        <v>1</v>
      </c>
      <c r="C29" s="199">
        <v>-0.05</v>
      </c>
      <c r="D29" s="199">
        <v>-0.1</v>
      </c>
      <c r="E29" s="199">
        <v>-0.2</v>
      </c>
      <c r="G29" s="37"/>
      <c r="H29" s="37"/>
      <c r="I29" s="37"/>
    </row>
    <row r="30" spans="2:10" x14ac:dyDescent="0.35">
      <c r="B30" s="1">
        <v>2</v>
      </c>
      <c r="C30" s="199">
        <v>-4.4999999999999998E-2</v>
      </c>
      <c r="D30" s="199">
        <v>-0.09</v>
      </c>
      <c r="E30" s="199">
        <v>-0.18</v>
      </c>
      <c r="G30" s="37"/>
      <c r="H30" s="37"/>
      <c r="I30" s="37"/>
    </row>
    <row r="31" spans="2:10" x14ac:dyDescent="0.35">
      <c r="B31" s="1">
        <v>3</v>
      </c>
      <c r="C31" s="199">
        <v>-0.04</v>
      </c>
      <c r="D31" s="199">
        <v>-0.08</v>
      </c>
      <c r="E31" s="199">
        <v>-0.16</v>
      </c>
      <c r="G31" s="37"/>
      <c r="H31" s="37"/>
      <c r="I31" s="37"/>
    </row>
    <row r="32" spans="2:10" ht="18" customHeight="1" x14ac:dyDescent="0.35">
      <c r="B32" s="1">
        <v>4</v>
      </c>
      <c r="C32" s="199">
        <v>-3.5000000000000003E-2</v>
      </c>
      <c r="D32" s="199">
        <v>-7.0000000000000007E-2</v>
      </c>
      <c r="E32" s="199">
        <v>-0.14000000000000001</v>
      </c>
      <c r="G32" s="37"/>
      <c r="H32" s="37"/>
      <c r="I32" s="37"/>
    </row>
    <row r="33" spans="2:5" x14ac:dyDescent="0.35">
      <c r="B33" s="1">
        <v>5</v>
      </c>
      <c r="C33" s="199">
        <v>-0.03</v>
      </c>
      <c r="D33" s="199">
        <v>-0.06</v>
      </c>
      <c r="E33" s="199">
        <v>-0.12</v>
      </c>
    </row>
    <row r="34" spans="2:5" ht="15" customHeight="1" x14ac:dyDescent="0.35">
      <c r="B34" s="1">
        <v>6</v>
      </c>
      <c r="C34" s="199">
        <v>-2.5000000000000001E-2</v>
      </c>
      <c r="D34" s="199">
        <v>-0.05</v>
      </c>
      <c r="E34" s="199">
        <v>-0.1</v>
      </c>
    </row>
    <row r="35" spans="2:5" ht="15" customHeight="1" x14ac:dyDescent="0.35">
      <c r="B35" s="1">
        <v>7</v>
      </c>
      <c r="C35" s="199">
        <v>-0.02</v>
      </c>
      <c r="D35" s="199">
        <v>-3.9999999999999897E-2</v>
      </c>
      <c r="E35" s="199">
        <v>-0.08</v>
      </c>
    </row>
    <row r="36" spans="2:5" x14ac:dyDescent="0.35">
      <c r="B36" s="1">
        <v>8</v>
      </c>
      <c r="C36" s="199">
        <v>-1.4999999999999999E-2</v>
      </c>
      <c r="D36" s="199">
        <v>-2.9999999999999898E-2</v>
      </c>
      <c r="E36" s="199">
        <v>-0.06</v>
      </c>
    </row>
    <row r="37" spans="2:5" x14ac:dyDescent="0.35">
      <c r="B37" s="1">
        <v>9</v>
      </c>
      <c r="C37" s="199">
        <v>-0.01</v>
      </c>
      <c r="D37" s="199">
        <v>-1.99999999999999E-2</v>
      </c>
      <c r="E37" s="199">
        <v>-0.04</v>
      </c>
    </row>
    <row r="38" spans="2:5" x14ac:dyDescent="0.35">
      <c r="B38" s="1">
        <v>10</v>
      </c>
      <c r="C38" s="199">
        <v>-5.0000000000000001E-3</v>
      </c>
      <c r="D38" s="199">
        <v>-9.99999999999991E-3</v>
      </c>
      <c r="E38" s="199">
        <v>-0.02</v>
      </c>
    </row>
    <row r="39" spans="2:5" x14ac:dyDescent="0.35">
      <c r="B39" s="1">
        <v>11</v>
      </c>
      <c r="C39" s="199">
        <v>0</v>
      </c>
      <c r="D39" s="199">
        <v>0</v>
      </c>
      <c r="E39" s="199">
        <v>0</v>
      </c>
    </row>
    <row r="40" spans="2:5" x14ac:dyDescent="0.35">
      <c r="B40" s="1">
        <v>12</v>
      </c>
      <c r="C40" s="199">
        <v>5.0000000000000001E-3</v>
      </c>
      <c r="D40" s="199">
        <v>0.01</v>
      </c>
      <c r="E40" s="199">
        <v>0.02</v>
      </c>
    </row>
    <row r="41" spans="2:5" x14ac:dyDescent="0.35">
      <c r="B41" s="1">
        <v>13</v>
      </c>
      <c r="C41" s="199">
        <v>1.0000000000000101E-2</v>
      </c>
      <c r="D41" s="199">
        <v>0.02</v>
      </c>
      <c r="E41" s="199">
        <v>0.04</v>
      </c>
    </row>
    <row r="42" spans="2:5" x14ac:dyDescent="0.35">
      <c r="B42" s="1">
        <v>14</v>
      </c>
      <c r="C42" s="199">
        <v>1.50000000000001E-2</v>
      </c>
      <c r="D42" s="199">
        <v>0.03</v>
      </c>
      <c r="E42" s="199">
        <v>0.06</v>
      </c>
    </row>
    <row r="43" spans="2:5" x14ac:dyDescent="0.35">
      <c r="B43" s="1">
        <v>15</v>
      </c>
      <c r="C43" s="199">
        <v>2.0000000000000101E-2</v>
      </c>
      <c r="D43" s="199">
        <v>0.04</v>
      </c>
      <c r="E43" s="199">
        <v>0.08</v>
      </c>
    </row>
    <row r="44" spans="2:5" x14ac:dyDescent="0.35">
      <c r="B44" s="1">
        <v>16</v>
      </c>
      <c r="C44" s="199">
        <v>2.5000000000000099E-2</v>
      </c>
      <c r="D44" s="199">
        <v>0.05</v>
      </c>
      <c r="E44" s="199">
        <v>0.1</v>
      </c>
    </row>
    <row r="45" spans="2:5" x14ac:dyDescent="0.35">
      <c r="B45" s="1">
        <v>17</v>
      </c>
      <c r="C45" s="199">
        <v>3.00000000000001E-2</v>
      </c>
      <c r="D45" s="199">
        <v>0.06</v>
      </c>
      <c r="E45" s="199">
        <v>0.12</v>
      </c>
    </row>
    <row r="46" spans="2:5" x14ac:dyDescent="0.35">
      <c r="B46" s="1">
        <v>18</v>
      </c>
      <c r="C46" s="199">
        <v>3.50000000000001E-2</v>
      </c>
      <c r="D46" s="199">
        <v>7.0000000000000007E-2</v>
      </c>
      <c r="E46" s="199">
        <v>0.14000000000000001</v>
      </c>
    </row>
    <row r="47" spans="2:5" x14ac:dyDescent="0.35">
      <c r="B47" s="1">
        <v>19</v>
      </c>
      <c r="C47" s="199">
        <v>4.0000000000000098E-2</v>
      </c>
      <c r="D47" s="199">
        <v>0.08</v>
      </c>
      <c r="E47" s="199">
        <v>0.16</v>
      </c>
    </row>
    <row r="48" spans="2:5" x14ac:dyDescent="0.35">
      <c r="B48" s="1">
        <v>20</v>
      </c>
      <c r="C48" s="199">
        <v>4.5000000000000102E-2</v>
      </c>
      <c r="D48" s="199">
        <v>0.09</v>
      </c>
      <c r="E48" s="199">
        <v>0.18</v>
      </c>
    </row>
    <row r="49" spans="2:5" x14ac:dyDescent="0.35">
      <c r="B49" s="1">
        <v>21</v>
      </c>
      <c r="C49" s="199">
        <v>0.05</v>
      </c>
      <c r="D49" s="199">
        <v>0.1</v>
      </c>
      <c r="E49" s="199">
        <v>0.2</v>
      </c>
    </row>
    <row r="52" spans="2:5" ht="13.5" customHeight="1" x14ac:dyDescent="0.35">
      <c r="B52" s="37"/>
    </row>
    <row r="53" spans="2:5" s="37" customFormat="1" ht="31" x14ac:dyDescent="0.35">
      <c r="B53" s="202" t="s">
        <v>69</v>
      </c>
      <c r="C53" s="203" t="s">
        <v>177</v>
      </c>
      <c r="D53" s="201" t="s">
        <v>70</v>
      </c>
    </row>
    <row r="54" spans="2:5" x14ac:dyDescent="0.35">
      <c r="B54" s="35">
        <v>33203</v>
      </c>
      <c r="C54" s="34">
        <v>1443.2</v>
      </c>
    </row>
    <row r="55" spans="2:5" x14ac:dyDescent="0.35">
      <c r="B55" s="35">
        <v>33204</v>
      </c>
      <c r="C55" s="34">
        <v>1415.3</v>
      </c>
      <c r="D55" s="200"/>
    </row>
    <row r="56" spans="2:5" x14ac:dyDescent="0.35">
      <c r="B56" s="35">
        <v>33205</v>
      </c>
      <c r="C56" s="34">
        <v>1420.6</v>
      </c>
      <c r="D56" s="200"/>
    </row>
    <row r="57" spans="2:5" x14ac:dyDescent="0.35">
      <c r="B57" s="35">
        <v>33206</v>
      </c>
      <c r="C57" s="34">
        <v>1418.9</v>
      </c>
      <c r="D57" s="200"/>
    </row>
    <row r="58" spans="2:5" x14ac:dyDescent="0.35">
      <c r="B58" s="35">
        <v>33207</v>
      </c>
      <c r="C58" s="34">
        <v>1441.2</v>
      </c>
      <c r="D58" s="200"/>
    </row>
    <row r="59" spans="2:5" x14ac:dyDescent="0.35">
      <c r="B59" s="35">
        <v>33210</v>
      </c>
      <c r="C59" s="34">
        <v>1462.6</v>
      </c>
      <c r="D59" s="200"/>
    </row>
    <row r="60" spans="2:5" x14ac:dyDescent="0.35">
      <c r="B60" s="35">
        <v>33211</v>
      </c>
      <c r="C60" s="34">
        <v>1446.3</v>
      </c>
      <c r="D60" s="200"/>
    </row>
    <row r="61" spans="2:5" x14ac:dyDescent="0.35">
      <c r="B61" s="35">
        <v>33212</v>
      </c>
      <c r="C61" s="34">
        <v>1471</v>
      </c>
      <c r="D61" s="200"/>
    </row>
    <row r="62" spans="2:5" x14ac:dyDescent="0.35">
      <c r="B62" s="35">
        <v>33213</v>
      </c>
      <c r="C62" s="34">
        <v>1504.7</v>
      </c>
      <c r="D62" s="200"/>
    </row>
    <row r="63" spans="2:5" x14ac:dyDescent="0.35">
      <c r="B63" s="35">
        <v>33214</v>
      </c>
      <c r="C63" s="34">
        <v>1512.8</v>
      </c>
      <c r="D63" s="200"/>
    </row>
    <row r="64" spans="2:5" x14ac:dyDescent="0.35">
      <c r="B64" s="35">
        <v>33217</v>
      </c>
      <c r="C64" s="34">
        <v>1504.8</v>
      </c>
      <c r="D64" s="200"/>
    </row>
    <row r="65" spans="2:4" x14ac:dyDescent="0.35">
      <c r="B65" s="35">
        <v>33218</v>
      </c>
      <c r="C65" s="34">
        <v>1492.7</v>
      </c>
      <c r="D65" s="200"/>
    </row>
    <row r="66" spans="2:4" x14ac:dyDescent="0.35">
      <c r="B66" s="35">
        <v>33219</v>
      </c>
      <c r="C66" s="34">
        <v>1517.2</v>
      </c>
      <c r="D66" s="200"/>
    </row>
    <row r="67" spans="2:4" x14ac:dyDescent="0.35">
      <c r="B67" s="35">
        <v>33220</v>
      </c>
      <c r="C67" s="34">
        <v>1517.8</v>
      </c>
      <c r="D67" s="200"/>
    </row>
    <row r="68" spans="2:4" x14ac:dyDescent="0.35">
      <c r="B68" s="35">
        <v>33221</v>
      </c>
      <c r="C68" s="34">
        <v>1522.4</v>
      </c>
      <c r="D68" s="200"/>
    </row>
    <row r="69" spans="2:4" x14ac:dyDescent="0.35">
      <c r="B69" s="35">
        <v>33224</v>
      </c>
      <c r="C69" s="34">
        <v>1475.9</v>
      </c>
      <c r="D69" s="200"/>
    </row>
    <row r="70" spans="2:4" x14ac:dyDescent="0.35">
      <c r="B70" s="35">
        <v>33225</v>
      </c>
      <c r="C70" s="34">
        <v>1477.4</v>
      </c>
      <c r="D70" s="200"/>
    </row>
    <row r="71" spans="2:4" x14ac:dyDescent="0.35">
      <c r="B71" s="35">
        <v>33226</v>
      </c>
      <c r="C71" s="34">
        <v>1457.2</v>
      </c>
      <c r="D71" s="200"/>
    </row>
    <row r="72" spans="2:4" x14ac:dyDescent="0.35">
      <c r="B72" s="35">
        <v>33227</v>
      </c>
      <c r="C72" s="34">
        <v>1409.3</v>
      </c>
      <c r="D72" s="200"/>
    </row>
    <row r="73" spans="2:4" x14ac:dyDescent="0.35">
      <c r="B73" s="35">
        <v>33228</v>
      </c>
      <c r="C73" s="34">
        <v>1414.9</v>
      </c>
      <c r="D73" s="200"/>
    </row>
    <row r="74" spans="2:4" x14ac:dyDescent="0.35">
      <c r="B74" s="35">
        <v>33234</v>
      </c>
      <c r="C74" s="34">
        <v>1410.9</v>
      </c>
      <c r="D74" s="200"/>
    </row>
    <row r="75" spans="2:4" x14ac:dyDescent="0.35">
      <c r="B75" s="35">
        <v>33235</v>
      </c>
      <c r="C75" s="34">
        <v>1398.2</v>
      </c>
      <c r="D75" s="200"/>
    </row>
    <row r="76" spans="2:4" x14ac:dyDescent="0.35">
      <c r="B76" s="35">
        <v>33240</v>
      </c>
      <c r="C76" s="34">
        <v>1366.1</v>
      </c>
      <c r="D76" s="200"/>
    </row>
    <row r="77" spans="2:4" x14ac:dyDescent="0.35">
      <c r="B77" s="35">
        <v>33241</v>
      </c>
      <c r="C77" s="34">
        <v>1366.7</v>
      </c>
      <c r="D77" s="200"/>
    </row>
    <row r="78" spans="2:4" x14ac:dyDescent="0.35">
      <c r="B78" s="35">
        <v>33242</v>
      </c>
      <c r="C78" s="34">
        <v>1396.1</v>
      </c>
      <c r="D78" s="200"/>
    </row>
    <row r="79" spans="2:4" x14ac:dyDescent="0.35">
      <c r="B79" s="35">
        <v>33245</v>
      </c>
      <c r="C79" s="34">
        <v>1358.2</v>
      </c>
      <c r="D79" s="200"/>
    </row>
    <row r="80" spans="2:4" x14ac:dyDescent="0.35">
      <c r="B80" s="35">
        <v>33246</v>
      </c>
      <c r="C80" s="34">
        <v>1354</v>
      </c>
      <c r="D80" s="200"/>
    </row>
    <row r="81" spans="2:4" x14ac:dyDescent="0.35">
      <c r="B81" s="35">
        <v>33247</v>
      </c>
      <c r="C81" s="34">
        <v>1375.2</v>
      </c>
      <c r="D81" s="200"/>
    </row>
    <row r="82" spans="2:4" x14ac:dyDescent="0.35">
      <c r="B82" s="35">
        <v>33248</v>
      </c>
      <c r="C82" s="34">
        <v>1383.4</v>
      </c>
      <c r="D82" s="200"/>
    </row>
    <row r="83" spans="2:4" x14ac:dyDescent="0.35">
      <c r="B83" s="35">
        <v>33249</v>
      </c>
      <c r="C83" s="34">
        <v>1382.3</v>
      </c>
      <c r="D83" s="200"/>
    </row>
    <row r="84" spans="2:4" x14ac:dyDescent="0.35">
      <c r="B84" s="35">
        <v>33252</v>
      </c>
      <c r="C84" s="34">
        <v>1327.8</v>
      </c>
      <c r="D84" s="200"/>
    </row>
    <row r="85" spans="2:4" x14ac:dyDescent="0.35">
      <c r="B85" s="35">
        <v>33253</v>
      </c>
      <c r="C85" s="34">
        <v>1325.6</v>
      </c>
      <c r="D85" s="200"/>
    </row>
    <row r="86" spans="2:4" x14ac:dyDescent="0.35">
      <c r="B86" s="35">
        <v>33254</v>
      </c>
      <c r="C86" s="34">
        <v>1322.7</v>
      </c>
      <c r="D86" s="200"/>
    </row>
    <row r="87" spans="2:4" x14ac:dyDescent="0.35">
      <c r="B87" s="35">
        <v>33255</v>
      </c>
      <c r="C87" s="34">
        <v>1422.7</v>
      </c>
      <c r="D87" s="200"/>
    </row>
    <row r="88" spans="2:4" x14ac:dyDescent="0.35">
      <c r="B88" s="35">
        <v>33256</v>
      </c>
      <c r="C88" s="34">
        <v>1405.1</v>
      </c>
      <c r="D88" s="200"/>
    </row>
    <row r="89" spans="2:4" x14ac:dyDescent="0.35">
      <c r="B89" s="35">
        <v>33259</v>
      </c>
      <c r="C89" s="34">
        <v>1390.2</v>
      </c>
      <c r="D89" s="200"/>
    </row>
    <row r="90" spans="2:4" x14ac:dyDescent="0.35">
      <c r="B90" s="35">
        <v>33260</v>
      </c>
      <c r="C90" s="34">
        <v>1375.1</v>
      </c>
      <c r="D90" s="200"/>
    </row>
    <row r="91" spans="2:4" x14ac:dyDescent="0.35">
      <c r="B91" s="35">
        <v>33261</v>
      </c>
      <c r="C91" s="34">
        <v>1358.8</v>
      </c>
      <c r="D91" s="200"/>
    </row>
    <row r="92" spans="2:4" x14ac:dyDescent="0.35">
      <c r="B92" s="35">
        <v>33262</v>
      </c>
      <c r="C92" s="34">
        <v>1375.2</v>
      </c>
      <c r="D92" s="200"/>
    </row>
    <row r="93" spans="2:4" x14ac:dyDescent="0.35">
      <c r="B93" s="35">
        <v>33263</v>
      </c>
      <c r="C93" s="34">
        <v>1382.1</v>
      </c>
      <c r="D93" s="200"/>
    </row>
    <row r="94" spans="2:4" x14ac:dyDescent="0.35">
      <c r="B94" s="35">
        <v>33266</v>
      </c>
      <c r="C94" s="34">
        <v>1382.7</v>
      </c>
      <c r="D94" s="200"/>
    </row>
    <row r="95" spans="2:4" x14ac:dyDescent="0.35">
      <c r="B95" s="35">
        <v>33267</v>
      </c>
      <c r="C95" s="34">
        <v>1380.3</v>
      </c>
      <c r="D95" s="200"/>
    </row>
    <row r="96" spans="2:4" x14ac:dyDescent="0.35">
      <c r="B96" s="35">
        <v>33268</v>
      </c>
      <c r="C96" s="34">
        <v>1400.7</v>
      </c>
      <c r="D96" s="200"/>
    </row>
    <row r="97" spans="2:4" x14ac:dyDescent="0.35">
      <c r="B97" s="35">
        <v>33269</v>
      </c>
      <c r="C97" s="34">
        <v>1420.1</v>
      </c>
      <c r="D97" s="200"/>
    </row>
    <row r="98" spans="2:4" x14ac:dyDescent="0.35">
      <c r="B98" s="35">
        <v>33270</v>
      </c>
      <c r="C98" s="34">
        <v>1426.5</v>
      </c>
      <c r="D98" s="200"/>
    </row>
    <row r="99" spans="2:4" x14ac:dyDescent="0.35">
      <c r="B99" s="35">
        <v>33273</v>
      </c>
      <c r="C99" s="34">
        <v>1435</v>
      </c>
      <c r="D99" s="200"/>
    </row>
    <row r="100" spans="2:4" x14ac:dyDescent="0.35">
      <c r="B100" s="35">
        <v>33274</v>
      </c>
      <c r="C100" s="34">
        <v>1438.9</v>
      </c>
      <c r="D100" s="200"/>
    </row>
    <row r="101" spans="2:4" x14ac:dyDescent="0.35">
      <c r="B101" s="35">
        <v>33275</v>
      </c>
      <c r="C101" s="34">
        <v>1428.7</v>
      </c>
      <c r="D101" s="200"/>
    </row>
    <row r="102" spans="2:4" x14ac:dyDescent="0.35">
      <c r="B102" s="35">
        <v>33276</v>
      </c>
      <c r="C102" s="34">
        <v>1436.3</v>
      </c>
      <c r="D102" s="200"/>
    </row>
    <row r="103" spans="2:4" x14ac:dyDescent="0.35">
      <c r="B103" s="35">
        <v>33277</v>
      </c>
      <c r="C103" s="34">
        <v>1467.8</v>
      </c>
      <c r="D103" s="200"/>
    </row>
    <row r="104" spans="2:4" x14ac:dyDescent="0.35">
      <c r="B104" s="35">
        <v>33280</v>
      </c>
      <c r="C104" s="34">
        <v>1488.7</v>
      </c>
      <c r="D104" s="200"/>
    </row>
    <row r="105" spans="2:4" x14ac:dyDescent="0.35">
      <c r="B105" s="35">
        <v>33281</v>
      </c>
      <c r="C105" s="34">
        <v>1468.9</v>
      </c>
      <c r="D105" s="200"/>
    </row>
    <row r="106" spans="2:4" x14ac:dyDescent="0.35">
      <c r="B106" s="35">
        <v>33282</v>
      </c>
      <c r="C106" s="34">
        <v>1489.4</v>
      </c>
      <c r="D106" s="200"/>
    </row>
    <row r="107" spans="2:4" x14ac:dyDescent="0.35">
      <c r="B107" s="35">
        <v>33283</v>
      </c>
      <c r="C107" s="34">
        <v>1486.5</v>
      </c>
      <c r="D107" s="200"/>
    </row>
    <row r="108" spans="2:4" x14ac:dyDescent="0.35">
      <c r="B108" s="35">
        <v>33284</v>
      </c>
      <c r="C108" s="34">
        <v>1531.2</v>
      </c>
      <c r="D108" s="200"/>
    </row>
    <row r="109" spans="2:4" x14ac:dyDescent="0.35">
      <c r="B109" s="35">
        <v>33287</v>
      </c>
      <c r="C109" s="34">
        <v>1572.6</v>
      </c>
      <c r="D109" s="200"/>
    </row>
    <row r="110" spans="2:4" x14ac:dyDescent="0.35">
      <c r="B110" s="35">
        <v>33288</v>
      </c>
      <c r="C110" s="34">
        <v>1587.1</v>
      </c>
      <c r="D110" s="200"/>
    </row>
    <row r="111" spans="2:4" x14ac:dyDescent="0.35">
      <c r="B111" s="35">
        <v>33289</v>
      </c>
      <c r="C111" s="34">
        <v>1567.3</v>
      </c>
      <c r="D111" s="200"/>
    </row>
    <row r="112" spans="2:4" x14ac:dyDescent="0.35">
      <c r="B112" s="35">
        <v>33290</v>
      </c>
      <c r="C112" s="34">
        <v>1566.3</v>
      </c>
      <c r="D112" s="200"/>
    </row>
    <row r="113" spans="2:4" x14ac:dyDescent="0.35">
      <c r="B113" s="35">
        <v>33291</v>
      </c>
      <c r="C113" s="34">
        <v>1582.5</v>
      </c>
      <c r="D113" s="200"/>
    </row>
    <row r="114" spans="2:4" x14ac:dyDescent="0.35">
      <c r="B114" s="35">
        <v>33294</v>
      </c>
      <c r="C114" s="34">
        <v>1601.2</v>
      </c>
      <c r="D114" s="200"/>
    </row>
    <row r="115" spans="2:4" x14ac:dyDescent="0.35">
      <c r="B115" s="35">
        <v>33295</v>
      </c>
      <c r="C115" s="34">
        <v>1558.2</v>
      </c>
      <c r="D115" s="200"/>
    </row>
    <row r="116" spans="2:4" x14ac:dyDescent="0.35">
      <c r="B116" s="35">
        <v>33296</v>
      </c>
      <c r="C116" s="34">
        <v>1565.5</v>
      </c>
      <c r="D116" s="200"/>
    </row>
    <row r="117" spans="2:4" x14ac:dyDescent="0.35">
      <c r="B117" s="35">
        <v>33297</v>
      </c>
      <c r="C117" s="34">
        <v>1542.1</v>
      </c>
      <c r="D117" s="200"/>
    </row>
    <row r="118" spans="2:4" x14ac:dyDescent="0.35">
      <c r="B118" s="35">
        <v>33298</v>
      </c>
      <c r="C118" s="34">
        <v>1516.7</v>
      </c>
      <c r="D118" s="200"/>
    </row>
    <row r="119" spans="2:4" x14ac:dyDescent="0.35">
      <c r="B119" s="35">
        <v>33301</v>
      </c>
      <c r="C119" s="34">
        <v>1530.9</v>
      </c>
      <c r="D119" s="200"/>
    </row>
    <row r="120" spans="2:4" x14ac:dyDescent="0.35">
      <c r="B120" s="35">
        <v>33302</v>
      </c>
      <c r="C120" s="34">
        <v>1540.3</v>
      </c>
      <c r="D120" s="200"/>
    </row>
    <row r="121" spans="2:4" x14ac:dyDescent="0.35">
      <c r="B121" s="35">
        <v>33303</v>
      </c>
      <c r="C121" s="34">
        <v>1594.3</v>
      </c>
      <c r="D121" s="200"/>
    </row>
    <row r="122" spans="2:4" x14ac:dyDescent="0.35">
      <c r="B122" s="35">
        <v>33304</v>
      </c>
      <c r="C122" s="34">
        <v>1580.5</v>
      </c>
      <c r="D122" s="200"/>
    </row>
    <row r="123" spans="2:4" x14ac:dyDescent="0.35">
      <c r="B123" s="35">
        <v>33305</v>
      </c>
      <c r="C123" s="34">
        <v>1580.5</v>
      </c>
      <c r="D123" s="200"/>
    </row>
    <row r="124" spans="2:4" x14ac:dyDescent="0.35">
      <c r="B124" s="35">
        <v>33308</v>
      </c>
      <c r="C124" s="34">
        <v>1565.8</v>
      </c>
      <c r="D124" s="200"/>
    </row>
    <row r="125" spans="2:4" x14ac:dyDescent="0.35">
      <c r="B125" s="35">
        <v>33309</v>
      </c>
      <c r="C125" s="34">
        <v>1571.6</v>
      </c>
      <c r="D125" s="200"/>
    </row>
    <row r="126" spans="2:4" x14ac:dyDescent="0.35">
      <c r="B126" s="35">
        <v>33310</v>
      </c>
      <c r="C126" s="34">
        <v>1542.2</v>
      </c>
      <c r="D126" s="200"/>
    </row>
    <row r="127" spans="2:4" x14ac:dyDescent="0.35">
      <c r="B127" s="35">
        <v>33311</v>
      </c>
      <c r="C127" s="34">
        <v>1576.6</v>
      </c>
      <c r="D127" s="200"/>
    </row>
    <row r="128" spans="2:4" x14ac:dyDescent="0.35">
      <c r="B128" s="35">
        <v>33312</v>
      </c>
      <c r="C128" s="34">
        <v>1570.6</v>
      </c>
      <c r="D128" s="200"/>
    </row>
    <row r="129" spans="2:4" x14ac:dyDescent="0.35">
      <c r="B129" s="35">
        <v>33315</v>
      </c>
      <c r="C129" s="34">
        <v>1552.9</v>
      </c>
      <c r="D129" s="200"/>
    </row>
    <row r="130" spans="2:4" x14ac:dyDescent="0.35">
      <c r="B130" s="35">
        <v>33316</v>
      </c>
      <c r="C130" s="34">
        <v>1546.5</v>
      </c>
      <c r="D130" s="200"/>
    </row>
    <row r="131" spans="2:4" x14ac:dyDescent="0.35">
      <c r="B131" s="35">
        <v>33317</v>
      </c>
      <c r="C131" s="34">
        <v>1517.9</v>
      </c>
      <c r="D131" s="200"/>
    </row>
    <row r="132" spans="2:4" x14ac:dyDescent="0.35">
      <c r="B132" s="35">
        <v>33318</v>
      </c>
      <c r="C132" s="34">
        <v>1519.6</v>
      </c>
      <c r="D132" s="200"/>
    </row>
    <row r="133" spans="2:4" x14ac:dyDescent="0.35">
      <c r="B133" s="35">
        <v>33319</v>
      </c>
      <c r="C133" s="34">
        <v>1520.3</v>
      </c>
      <c r="D133" s="200"/>
    </row>
    <row r="134" spans="2:4" x14ac:dyDescent="0.35">
      <c r="B134" s="35">
        <v>33322</v>
      </c>
      <c r="C134" s="34">
        <v>1515.5</v>
      </c>
      <c r="D134" s="200"/>
    </row>
    <row r="135" spans="2:4" x14ac:dyDescent="0.35">
      <c r="B135" s="35">
        <v>33323</v>
      </c>
      <c r="C135" s="34">
        <v>1498.4</v>
      </c>
      <c r="D135" s="200"/>
    </row>
    <row r="136" spans="2:4" x14ac:dyDescent="0.35">
      <c r="B136" s="35">
        <v>33324</v>
      </c>
      <c r="C136" s="34">
        <v>1508.8</v>
      </c>
      <c r="D136" s="200"/>
    </row>
    <row r="137" spans="2:4" x14ac:dyDescent="0.35">
      <c r="B137" s="35">
        <v>33325</v>
      </c>
      <c r="C137" s="34">
        <v>1522.8</v>
      </c>
      <c r="D137" s="200"/>
    </row>
    <row r="138" spans="2:4" x14ac:dyDescent="0.35">
      <c r="B138" s="35">
        <v>33330</v>
      </c>
      <c r="C138" s="34">
        <v>1538.6</v>
      </c>
      <c r="D138" s="200"/>
    </row>
    <row r="139" spans="2:4" x14ac:dyDescent="0.35">
      <c r="B139" s="35">
        <v>33331</v>
      </c>
      <c r="C139" s="34">
        <v>1577.5</v>
      </c>
      <c r="D139" s="200"/>
    </row>
    <row r="140" spans="2:4" x14ac:dyDescent="0.35">
      <c r="B140" s="35">
        <v>33332</v>
      </c>
      <c r="C140" s="34">
        <v>1572</v>
      </c>
      <c r="D140" s="200"/>
    </row>
    <row r="141" spans="2:4" x14ac:dyDescent="0.35">
      <c r="B141" s="35">
        <v>33333</v>
      </c>
      <c r="C141" s="34">
        <v>1586.9</v>
      </c>
      <c r="D141" s="200"/>
    </row>
    <row r="142" spans="2:4" x14ac:dyDescent="0.35">
      <c r="B142" s="35">
        <v>33336</v>
      </c>
      <c r="C142" s="34">
        <v>1580</v>
      </c>
      <c r="D142" s="200"/>
    </row>
    <row r="143" spans="2:4" x14ac:dyDescent="0.35">
      <c r="B143" s="35">
        <v>33337</v>
      </c>
      <c r="C143" s="34">
        <v>1582.1</v>
      </c>
      <c r="D143" s="200"/>
    </row>
    <row r="144" spans="2:4" x14ac:dyDescent="0.35">
      <c r="B144" s="35">
        <v>33338</v>
      </c>
      <c r="C144" s="34">
        <v>1561.9</v>
      </c>
      <c r="D144" s="200"/>
    </row>
    <row r="145" spans="2:4" x14ac:dyDescent="0.35">
      <c r="B145" s="35">
        <v>33339</v>
      </c>
      <c r="C145" s="34">
        <v>1565.4</v>
      </c>
      <c r="D145" s="200"/>
    </row>
    <row r="146" spans="2:4" x14ac:dyDescent="0.35">
      <c r="B146" s="35">
        <v>33340</v>
      </c>
      <c r="C146" s="34">
        <v>1583.1</v>
      </c>
      <c r="D146" s="200"/>
    </row>
    <row r="147" spans="2:4" x14ac:dyDescent="0.35">
      <c r="B147" s="35">
        <v>33343</v>
      </c>
      <c r="C147" s="34">
        <v>1601.4</v>
      </c>
      <c r="D147" s="200"/>
    </row>
    <row r="148" spans="2:4" x14ac:dyDescent="0.35">
      <c r="B148" s="35">
        <v>33344</v>
      </c>
      <c r="C148" s="34">
        <v>1603.4</v>
      </c>
      <c r="D148" s="200"/>
    </row>
    <row r="149" spans="2:4" x14ac:dyDescent="0.35">
      <c r="B149" s="35">
        <v>33345</v>
      </c>
      <c r="C149" s="34">
        <v>1623.8</v>
      </c>
      <c r="D149" s="200"/>
    </row>
    <row r="150" spans="2:4" x14ac:dyDescent="0.35">
      <c r="B150" s="35">
        <v>33346</v>
      </c>
      <c r="C150" s="34">
        <v>1613.8</v>
      </c>
      <c r="D150" s="200"/>
    </row>
    <row r="151" spans="2:4" x14ac:dyDescent="0.35">
      <c r="B151" s="35">
        <v>33347</v>
      </c>
      <c r="C151" s="34">
        <v>1599.4</v>
      </c>
      <c r="D151" s="200"/>
    </row>
    <row r="152" spans="2:4" x14ac:dyDescent="0.35">
      <c r="B152" s="35">
        <v>33350</v>
      </c>
      <c r="C152" s="34">
        <v>1571.9</v>
      </c>
      <c r="D152" s="200"/>
    </row>
    <row r="153" spans="2:4" x14ac:dyDescent="0.35">
      <c r="B153" s="35">
        <v>33351</v>
      </c>
      <c r="C153" s="34">
        <v>1597.1</v>
      </c>
      <c r="D153" s="200"/>
    </row>
    <row r="154" spans="2:4" x14ac:dyDescent="0.35">
      <c r="B154" s="35">
        <v>33352</v>
      </c>
      <c r="C154" s="34">
        <v>1603.7</v>
      </c>
      <c r="D154" s="200"/>
    </row>
    <row r="155" spans="2:4" x14ac:dyDescent="0.35">
      <c r="B155" s="35">
        <v>33353</v>
      </c>
      <c r="C155" s="34">
        <v>1620.5</v>
      </c>
      <c r="D155" s="200"/>
    </row>
    <row r="156" spans="2:4" x14ac:dyDescent="0.35">
      <c r="B156" s="35">
        <v>33354</v>
      </c>
      <c r="C156" s="34">
        <v>1623.8</v>
      </c>
      <c r="D156" s="200"/>
    </row>
    <row r="157" spans="2:4" x14ac:dyDescent="0.35">
      <c r="B157" s="35">
        <v>33357</v>
      </c>
      <c r="C157" s="34">
        <v>1620.3</v>
      </c>
      <c r="D157" s="200"/>
    </row>
    <row r="158" spans="2:4" x14ac:dyDescent="0.35">
      <c r="B158" s="35">
        <v>33358</v>
      </c>
      <c r="C158" s="34">
        <v>1605.8</v>
      </c>
      <c r="D158" s="200"/>
    </row>
    <row r="159" spans="2:4" x14ac:dyDescent="0.35">
      <c r="B159" s="35">
        <v>33360</v>
      </c>
      <c r="C159" s="34">
        <v>1630</v>
      </c>
      <c r="D159" s="200"/>
    </row>
    <row r="160" spans="2:4" x14ac:dyDescent="0.35">
      <c r="B160" s="35">
        <v>33361</v>
      </c>
      <c r="C160" s="34">
        <v>1631.8</v>
      </c>
      <c r="D160" s="200"/>
    </row>
    <row r="161" spans="2:4" x14ac:dyDescent="0.35">
      <c r="B161" s="35">
        <v>33364</v>
      </c>
      <c r="C161" s="34">
        <v>1624</v>
      </c>
      <c r="D161" s="200"/>
    </row>
    <row r="162" spans="2:4" x14ac:dyDescent="0.35">
      <c r="B162" s="35">
        <v>33365</v>
      </c>
      <c r="C162" s="34">
        <v>1627.5</v>
      </c>
      <c r="D162" s="200"/>
    </row>
    <row r="163" spans="2:4" x14ac:dyDescent="0.35">
      <c r="B163" s="35">
        <v>33366</v>
      </c>
      <c r="C163" s="34">
        <v>1607.3</v>
      </c>
      <c r="D163" s="200"/>
    </row>
    <row r="164" spans="2:4" x14ac:dyDescent="0.35">
      <c r="B164" s="35">
        <v>33368</v>
      </c>
      <c r="C164" s="34">
        <v>1620.6</v>
      </c>
      <c r="D164" s="200"/>
    </row>
    <row r="165" spans="2:4" x14ac:dyDescent="0.35">
      <c r="B165" s="35">
        <v>33371</v>
      </c>
      <c r="C165" s="34">
        <v>1610.9</v>
      </c>
      <c r="D165" s="200"/>
    </row>
    <row r="166" spans="2:4" x14ac:dyDescent="0.35">
      <c r="B166" s="35">
        <v>33372</v>
      </c>
      <c r="C166" s="34">
        <v>1598.5</v>
      </c>
      <c r="D166" s="200"/>
    </row>
    <row r="167" spans="2:4" x14ac:dyDescent="0.35">
      <c r="B167" s="35">
        <v>33373</v>
      </c>
      <c r="C167" s="34">
        <v>1590.4</v>
      </c>
      <c r="D167" s="200"/>
    </row>
    <row r="168" spans="2:4" x14ac:dyDescent="0.35">
      <c r="B168" s="35">
        <v>33374</v>
      </c>
      <c r="C168" s="34">
        <v>1598.1</v>
      </c>
      <c r="D168" s="200"/>
    </row>
    <row r="169" spans="2:4" x14ac:dyDescent="0.35">
      <c r="B169" s="35">
        <v>33375</v>
      </c>
      <c r="C169" s="34">
        <v>1598.9</v>
      </c>
      <c r="D169" s="200"/>
    </row>
    <row r="170" spans="2:4" x14ac:dyDescent="0.35">
      <c r="B170" s="35">
        <v>33379</v>
      </c>
      <c r="C170" s="34">
        <v>1617.4</v>
      </c>
      <c r="D170" s="200"/>
    </row>
    <row r="171" spans="2:4" x14ac:dyDescent="0.35">
      <c r="B171" s="35">
        <v>33380</v>
      </c>
      <c r="C171" s="34">
        <v>1647.7</v>
      </c>
      <c r="D171" s="200"/>
    </row>
    <row r="172" spans="2:4" x14ac:dyDescent="0.35">
      <c r="B172" s="35">
        <v>33381</v>
      </c>
      <c r="C172" s="34">
        <v>1652.7</v>
      </c>
      <c r="D172" s="200"/>
    </row>
    <row r="173" spans="2:4" x14ac:dyDescent="0.35">
      <c r="B173" s="35">
        <v>33382</v>
      </c>
      <c r="C173" s="34">
        <v>1671.9</v>
      </c>
      <c r="D173" s="200"/>
    </row>
    <row r="174" spans="2:4" x14ac:dyDescent="0.35">
      <c r="B174" s="35">
        <v>33385</v>
      </c>
      <c r="C174" s="34">
        <v>1681.5</v>
      </c>
      <c r="D174" s="200"/>
    </row>
    <row r="175" spans="2:4" x14ac:dyDescent="0.35">
      <c r="B175" s="35">
        <v>33386</v>
      </c>
      <c r="C175" s="34">
        <v>1682.1</v>
      </c>
      <c r="D175" s="200"/>
    </row>
    <row r="176" spans="2:4" x14ac:dyDescent="0.35">
      <c r="B176" s="35">
        <v>33387</v>
      </c>
      <c r="C176" s="34">
        <v>1681.5</v>
      </c>
      <c r="D176" s="200"/>
    </row>
    <row r="177" spans="2:4" x14ac:dyDescent="0.35">
      <c r="B177" s="35">
        <v>33389</v>
      </c>
      <c r="C177" s="34">
        <v>1704.1</v>
      </c>
      <c r="D177" s="200"/>
    </row>
    <row r="178" spans="2:4" x14ac:dyDescent="0.35">
      <c r="B178" s="35">
        <v>33392</v>
      </c>
      <c r="C178" s="34">
        <v>1694.1</v>
      </c>
      <c r="D178" s="200"/>
    </row>
    <row r="179" spans="2:4" x14ac:dyDescent="0.35">
      <c r="B179" s="35">
        <v>33393</v>
      </c>
      <c r="C179" s="34">
        <v>1685.4</v>
      </c>
      <c r="D179" s="200"/>
    </row>
    <row r="180" spans="2:4" x14ac:dyDescent="0.35">
      <c r="B180" s="35">
        <v>33394</v>
      </c>
      <c r="C180" s="34">
        <v>1712.8</v>
      </c>
      <c r="D180" s="200"/>
    </row>
    <row r="181" spans="2:4" x14ac:dyDescent="0.35">
      <c r="B181" s="35">
        <v>33395</v>
      </c>
      <c r="C181" s="34">
        <v>1704.2</v>
      </c>
      <c r="D181" s="200"/>
    </row>
    <row r="182" spans="2:4" x14ac:dyDescent="0.35">
      <c r="B182" s="35">
        <v>33396</v>
      </c>
      <c r="C182" s="34">
        <v>1709.6</v>
      </c>
      <c r="D182" s="200"/>
    </row>
    <row r="183" spans="2:4" x14ac:dyDescent="0.35">
      <c r="B183" s="35">
        <v>33399</v>
      </c>
      <c r="C183" s="34">
        <v>1704.9</v>
      </c>
      <c r="D183" s="200"/>
    </row>
    <row r="184" spans="2:4" x14ac:dyDescent="0.35">
      <c r="B184" s="35">
        <v>33400</v>
      </c>
      <c r="C184" s="34">
        <v>1715.2</v>
      </c>
      <c r="D184" s="200"/>
    </row>
    <row r="185" spans="2:4" x14ac:dyDescent="0.35">
      <c r="B185" s="35">
        <v>33401</v>
      </c>
      <c r="C185" s="34">
        <v>1700.8</v>
      </c>
      <c r="D185" s="200"/>
    </row>
    <row r="186" spans="2:4" x14ac:dyDescent="0.35">
      <c r="B186" s="35">
        <v>33402</v>
      </c>
      <c r="C186" s="34">
        <v>1692.6</v>
      </c>
      <c r="D186" s="200"/>
    </row>
    <row r="187" spans="2:4" x14ac:dyDescent="0.35">
      <c r="B187" s="35">
        <v>33403</v>
      </c>
      <c r="C187" s="34">
        <v>1699.8</v>
      </c>
      <c r="D187" s="200"/>
    </row>
    <row r="188" spans="2:4" x14ac:dyDescent="0.35">
      <c r="B188" s="35">
        <v>33406</v>
      </c>
      <c r="C188" s="34">
        <v>1701.1</v>
      </c>
      <c r="D188" s="200"/>
    </row>
    <row r="189" spans="2:4" x14ac:dyDescent="0.35">
      <c r="B189" s="35">
        <v>33407</v>
      </c>
      <c r="C189" s="34">
        <v>1695.4</v>
      </c>
      <c r="D189" s="200"/>
    </row>
    <row r="190" spans="2:4" x14ac:dyDescent="0.35">
      <c r="B190" s="35">
        <v>33408</v>
      </c>
      <c r="C190" s="34">
        <v>1683</v>
      </c>
      <c r="D190" s="200"/>
    </row>
    <row r="191" spans="2:4" x14ac:dyDescent="0.35">
      <c r="B191" s="35">
        <v>33409</v>
      </c>
      <c r="C191" s="34">
        <v>1687</v>
      </c>
      <c r="D191" s="200"/>
    </row>
    <row r="192" spans="2:4" x14ac:dyDescent="0.35">
      <c r="B192" s="35">
        <v>33410</v>
      </c>
      <c r="C192" s="34">
        <v>1711.9</v>
      </c>
      <c r="D192" s="200"/>
    </row>
    <row r="193" spans="2:4" x14ac:dyDescent="0.35">
      <c r="B193" s="35">
        <v>33413</v>
      </c>
      <c r="C193" s="34">
        <v>1691.6</v>
      </c>
      <c r="D193" s="200"/>
    </row>
    <row r="194" spans="2:4" x14ac:dyDescent="0.35">
      <c r="B194" s="35">
        <v>33414</v>
      </c>
      <c r="C194" s="34">
        <v>1691.5</v>
      </c>
      <c r="D194" s="200"/>
    </row>
    <row r="195" spans="2:4" x14ac:dyDescent="0.35">
      <c r="B195" s="35">
        <v>33415</v>
      </c>
      <c r="C195" s="34">
        <v>1672.1</v>
      </c>
      <c r="D195" s="200"/>
    </row>
    <row r="196" spans="2:4" x14ac:dyDescent="0.35">
      <c r="B196" s="35">
        <v>33416</v>
      </c>
      <c r="C196" s="34">
        <v>1666.1</v>
      </c>
      <c r="D196" s="200"/>
    </row>
    <row r="197" spans="2:4" x14ac:dyDescent="0.35">
      <c r="B197" s="35">
        <v>33417</v>
      </c>
      <c r="C197" s="34">
        <v>1622.2</v>
      </c>
      <c r="D197" s="200"/>
    </row>
    <row r="198" spans="2:4" x14ac:dyDescent="0.35">
      <c r="B198" s="35">
        <v>33420</v>
      </c>
      <c r="C198" s="34">
        <v>1625.2</v>
      </c>
      <c r="D198" s="200"/>
    </row>
    <row r="199" spans="2:4" x14ac:dyDescent="0.35">
      <c r="B199" s="35">
        <v>33421</v>
      </c>
      <c r="C199" s="34">
        <v>1610.5</v>
      </c>
      <c r="D199" s="200"/>
    </row>
    <row r="200" spans="2:4" x14ac:dyDescent="0.35">
      <c r="B200" s="35">
        <v>33422</v>
      </c>
      <c r="C200" s="34">
        <v>1614.4</v>
      </c>
      <c r="D200" s="200"/>
    </row>
    <row r="201" spans="2:4" x14ac:dyDescent="0.35">
      <c r="B201" s="35">
        <v>33423</v>
      </c>
      <c r="C201" s="34">
        <v>1616.1</v>
      </c>
      <c r="D201" s="200"/>
    </row>
    <row r="202" spans="2:4" x14ac:dyDescent="0.35">
      <c r="B202" s="35">
        <v>33424</v>
      </c>
      <c r="C202" s="34">
        <v>1618.9</v>
      </c>
      <c r="D202" s="200"/>
    </row>
    <row r="203" spans="2:4" x14ac:dyDescent="0.35">
      <c r="B203" s="35">
        <v>33427</v>
      </c>
      <c r="C203" s="34">
        <v>1605</v>
      </c>
      <c r="D203" s="200"/>
    </row>
    <row r="204" spans="2:4" x14ac:dyDescent="0.35">
      <c r="B204" s="35">
        <v>33428</v>
      </c>
      <c r="C204" s="34">
        <v>1627.6</v>
      </c>
      <c r="D204" s="200"/>
    </row>
    <row r="205" spans="2:4" x14ac:dyDescent="0.35">
      <c r="B205" s="35">
        <v>33429</v>
      </c>
      <c r="C205" s="34">
        <v>1634.7</v>
      </c>
      <c r="D205" s="200"/>
    </row>
    <row r="206" spans="2:4" x14ac:dyDescent="0.35">
      <c r="B206" s="35">
        <v>33430</v>
      </c>
      <c r="C206" s="34">
        <v>1637.9</v>
      </c>
      <c r="D206" s="200"/>
    </row>
    <row r="207" spans="2:4" x14ac:dyDescent="0.35">
      <c r="B207" s="35">
        <v>33431</v>
      </c>
      <c r="C207" s="34">
        <v>1644.8</v>
      </c>
      <c r="D207" s="200"/>
    </row>
    <row r="208" spans="2:4" x14ac:dyDescent="0.35">
      <c r="B208" s="35">
        <v>33434</v>
      </c>
      <c r="C208" s="34">
        <v>1646.6</v>
      </c>
      <c r="D208" s="200"/>
    </row>
    <row r="209" spans="2:4" x14ac:dyDescent="0.35">
      <c r="B209" s="35">
        <v>33435</v>
      </c>
      <c r="C209" s="34">
        <v>1643.9</v>
      </c>
      <c r="D209" s="200"/>
    </row>
    <row r="210" spans="2:4" x14ac:dyDescent="0.35">
      <c r="B210" s="35">
        <v>33436</v>
      </c>
      <c r="C210" s="34">
        <v>1625.5</v>
      </c>
      <c r="D210" s="200"/>
    </row>
    <row r="211" spans="2:4" x14ac:dyDescent="0.35">
      <c r="B211" s="35">
        <v>33437</v>
      </c>
      <c r="C211" s="34">
        <v>1618.3</v>
      </c>
      <c r="D211" s="200"/>
    </row>
    <row r="212" spans="2:4" x14ac:dyDescent="0.35">
      <c r="B212" s="35">
        <v>33438</v>
      </c>
      <c r="C212" s="34">
        <v>1624</v>
      </c>
      <c r="D212" s="200"/>
    </row>
    <row r="213" spans="2:4" x14ac:dyDescent="0.35">
      <c r="B213" s="35">
        <v>33441</v>
      </c>
      <c r="C213" s="34">
        <v>1623</v>
      </c>
      <c r="D213" s="200"/>
    </row>
    <row r="214" spans="2:4" x14ac:dyDescent="0.35">
      <c r="B214" s="35">
        <v>33442</v>
      </c>
      <c r="C214" s="34">
        <v>1632.9</v>
      </c>
      <c r="D214" s="200"/>
    </row>
    <row r="215" spans="2:4" x14ac:dyDescent="0.35">
      <c r="B215" s="35">
        <v>33443</v>
      </c>
      <c r="C215" s="34">
        <v>1621.7</v>
      </c>
      <c r="D215" s="200"/>
    </row>
    <row r="216" spans="2:4" x14ac:dyDescent="0.35">
      <c r="B216" s="35">
        <v>33444</v>
      </c>
      <c r="C216" s="34">
        <v>1615.4</v>
      </c>
      <c r="D216" s="200"/>
    </row>
    <row r="217" spans="2:4" x14ac:dyDescent="0.35">
      <c r="B217" s="35">
        <v>33445</v>
      </c>
      <c r="C217" s="34">
        <v>1605.6</v>
      </c>
      <c r="D217" s="200"/>
    </row>
    <row r="218" spans="2:4" x14ac:dyDescent="0.35">
      <c r="B218" s="35">
        <v>33448</v>
      </c>
      <c r="C218" s="34">
        <v>1605.6</v>
      </c>
      <c r="D218" s="200"/>
    </row>
    <row r="219" spans="2:4" x14ac:dyDescent="0.35">
      <c r="B219" s="35">
        <v>33449</v>
      </c>
      <c r="C219" s="34">
        <v>1614.9</v>
      </c>
      <c r="D219" s="200"/>
    </row>
    <row r="220" spans="2:4" x14ac:dyDescent="0.35">
      <c r="B220" s="35">
        <v>33450</v>
      </c>
      <c r="C220" s="34">
        <v>1622.3</v>
      </c>
      <c r="D220" s="200"/>
    </row>
    <row r="221" spans="2:4" x14ac:dyDescent="0.35">
      <c r="B221" s="35">
        <v>33451</v>
      </c>
      <c r="C221" s="34">
        <v>1622.6</v>
      </c>
      <c r="D221" s="200"/>
    </row>
    <row r="222" spans="2:4" x14ac:dyDescent="0.35">
      <c r="B222" s="35">
        <v>33452</v>
      </c>
      <c r="C222" s="34">
        <v>1615.4</v>
      </c>
      <c r="D222" s="200"/>
    </row>
    <row r="223" spans="2:4" x14ac:dyDescent="0.35">
      <c r="B223" s="35">
        <v>33455</v>
      </c>
      <c r="C223" s="34">
        <v>1622</v>
      </c>
      <c r="D223" s="200"/>
    </row>
    <row r="224" spans="2:4" x14ac:dyDescent="0.35">
      <c r="B224" s="35">
        <v>33456</v>
      </c>
      <c r="C224" s="34">
        <v>1611.9</v>
      </c>
      <c r="D224" s="200"/>
    </row>
    <row r="225" spans="2:4" x14ac:dyDescent="0.35">
      <c r="B225" s="35">
        <v>33457</v>
      </c>
      <c r="C225" s="34">
        <v>1631.4</v>
      </c>
      <c r="D225" s="200"/>
    </row>
    <row r="226" spans="2:4" x14ac:dyDescent="0.35">
      <c r="B226" s="35">
        <v>33458</v>
      </c>
      <c r="C226" s="34">
        <v>1630.2</v>
      </c>
      <c r="D226" s="200"/>
    </row>
    <row r="227" spans="2:4" x14ac:dyDescent="0.35">
      <c r="B227" s="35">
        <v>33459</v>
      </c>
      <c r="C227" s="34">
        <v>1632.2</v>
      </c>
      <c r="D227" s="200"/>
    </row>
    <row r="228" spans="2:4" x14ac:dyDescent="0.35">
      <c r="B228" s="35">
        <v>33462</v>
      </c>
      <c r="C228" s="34">
        <v>1626.1</v>
      </c>
      <c r="D228" s="200"/>
    </row>
    <row r="229" spans="2:4" x14ac:dyDescent="0.35">
      <c r="B229" s="35">
        <v>33463</v>
      </c>
      <c r="C229" s="34">
        <v>1644.7</v>
      </c>
      <c r="D229" s="200"/>
    </row>
    <row r="230" spans="2:4" x14ac:dyDescent="0.35">
      <c r="B230" s="35">
        <v>33464</v>
      </c>
      <c r="C230" s="34">
        <v>1650.2</v>
      </c>
      <c r="D230" s="200"/>
    </row>
    <row r="231" spans="2:4" x14ac:dyDescent="0.35">
      <c r="B231" s="35">
        <v>33465</v>
      </c>
      <c r="C231" s="34">
        <v>1654.3</v>
      </c>
      <c r="D231" s="200"/>
    </row>
    <row r="232" spans="2:4" x14ac:dyDescent="0.35">
      <c r="B232" s="35">
        <v>33466</v>
      </c>
      <c r="C232" s="34">
        <v>1653.3</v>
      </c>
      <c r="D232" s="200"/>
    </row>
    <row r="233" spans="2:4" x14ac:dyDescent="0.35">
      <c r="B233" s="35">
        <v>33469</v>
      </c>
      <c r="C233" s="34">
        <v>1497.9</v>
      </c>
      <c r="D233" s="200"/>
    </row>
    <row r="234" spans="2:4" x14ac:dyDescent="0.35">
      <c r="B234" s="35">
        <v>33470</v>
      </c>
      <c r="C234" s="34">
        <v>1526.9</v>
      </c>
      <c r="D234" s="200"/>
    </row>
    <row r="235" spans="2:4" x14ac:dyDescent="0.35">
      <c r="B235" s="35">
        <v>33471</v>
      </c>
      <c r="C235" s="34">
        <v>1570.8</v>
      </c>
      <c r="D235" s="200"/>
    </row>
    <row r="236" spans="2:4" x14ac:dyDescent="0.35">
      <c r="B236" s="35">
        <v>33472</v>
      </c>
      <c r="C236" s="34">
        <v>1630.8</v>
      </c>
      <c r="D236" s="200"/>
    </row>
    <row r="237" spans="2:4" x14ac:dyDescent="0.35">
      <c r="B237" s="35">
        <v>33473</v>
      </c>
      <c r="C237" s="34">
        <v>1627.2</v>
      </c>
      <c r="D237" s="200"/>
    </row>
    <row r="238" spans="2:4" x14ac:dyDescent="0.35">
      <c r="B238" s="35">
        <v>33476</v>
      </c>
      <c r="C238" s="34">
        <v>1654.2</v>
      </c>
      <c r="D238" s="200"/>
    </row>
    <row r="239" spans="2:4" x14ac:dyDescent="0.35">
      <c r="B239" s="35">
        <v>33477</v>
      </c>
      <c r="C239" s="34">
        <v>1647.1</v>
      </c>
      <c r="D239" s="200"/>
    </row>
    <row r="240" spans="2:4" x14ac:dyDescent="0.35">
      <c r="B240" s="35">
        <v>33478</v>
      </c>
      <c r="C240" s="34">
        <v>1647.5</v>
      </c>
      <c r="D240" s="200"/>
    </row>
    <row r="241" spans="2:4" x14ac:dyDescent="0.35">
      <c r="B241" s="35">
        <v>33479</v>
      </c>
      <c r="C241" s="34">
        <v>1655.5</v>
      </c>
      <c r="D241" s="200"/>
    </row>
    <row r="242" spans="2:4" x14ac:dyDescent="0.35">
      <c r="B242" s="35">
        <v>33480</v>
      </c>
      <c r="C242" s="34">
        <v>1650.5</v>
      </c>
      <c r="D242" s="200"/>
    </row>
    <row r="243" spans="2:4" x14ac:dyDescent="0.35">
      <c r="B243" s="35">
        <v>33483</v>
      </c>
      <c r="C243" s="34">
        <v>1650.5</v>
      </c>
      <c r="D243" s="200"/>
    </row>
    <row r="244" spans="2:4" x14ac:dyDescent="0.35">
      <c r="B244" s="35">
        <v>33484</v>
      </c>
      <c r="C244" s="34">
        <v>1655.6</v>
      </c>
      <c r="D244" s="200"/>
    </row>
    <row r="245" spans="2:4" x14ac:dyDescent="0.35">
      <c r="B245" s="35">
        <v>33485</v>
      </c>
      <c r="C245" s="34">
        <v>1647.9</v>
      </c>
      <c r="D245" s="200"/>
    </row>
    <row r="246" spans="2:4" x14ac:dyDescent="0.35">
      <c r="B246" s="35">
        <v>33486</v>
      </c>
      <c r="C246" s="34">
        <v>1647.2</v>
      </c>
      <c r="D246" s="200"/>
    </row>
    <row r="247" spans="2:4" x14ac:dyDescent="0.35">
      <c r="B247" s="35">
        <v>33487</v>
      </c>
      <c r="C247" s="34">
        <v>1646.2</v>
      </c>
      <c r="D247" s="200"/>
    </row>
    <row r="248" spans="2:4" x14ac:dyDescent="0.35">
      <c r="B248" s="35">
        <v>33490</v>
      </c>
      <c r="C248" s="34">
        <v>1633.1</v>
      </c>
      <c r="D248" s="200"/>
    </row>
    <row r="249" spans="2:4" x14ac:dyDescent="0.35">
      <c r="B249" s="35">
        <v>33491</v>
      </c>
      <c r="C249" s="34">
        <v>1629.1</v>
      </c>
      <c r="D249" s="200"/>
    </row>
    <row r="250" spans="2:4" x14ac:dyDescent="0.35">
      <c r="B250" s="35">
        <v>33492</v>
      </c>
      <c r="C250" s="34">
        <v>1628.2</v>
      </c>
      <c r="D250" s="200"/>
    </row>
    <row r="251" spans="2:4" x14ac:dyDescent="0.35">
      <c r="B251" s="35">
        <v>33493</v>
      </c>
      <c r="C251" s="34">
        <v>1631.3</v>
      </c>
      <c r="D251" s="200"/>
    </row>
    <row r="252" spans="2:4" x14ac:dyDescent="0.35">
      <c r="B252" s="35">
        <v>33494</v>
      </c>
      <c r="C252" s="34">
        <v>1637.6</v>
      </c>
      <c r="D252" s="200"/>
    </row>
    <row r="253" spans="2:4" x14ac:dyDescent="0.35">
      <c r="B253" s="35">
        <v>33497</v>
      </c>
      <c r="C253" s="34">
        <v>1629.8</v>
      </c>
      <c r="D253" s="200"/>
    </row>
    <row r="254" spans="2:4" x14ac:dyDescent="0.35">
      <c r="B254" s="35">
        <v>33498</v>
      </c>
      <c r="C254" s="34">
        <v>1634.6</v>
      </c>
      <c r="D254" s="200"/>
    </row>
    <row r="255" spans="2:4" x14ac:dyDescent="0.35">
      <c r="B255" s="35">
        <v>33499</v>
      </c>
      <c r="C255" s="34">
        <v>1628.1</v>
      </c>
      <c r="D255" s="200"/>
    </row>
    <row r="256" spans="2:4" x14ac:dyDescent="0.35">
      <c r="B256" s="35">
        <v>33500</v>
      </c>
      <c r="C256" s="34">
        <v>1620.7</v>
      </c>
      <c r="D256" s="200"/>
    </row>
    <row r="257" spans="2:4" x14ac:dyDescent="0.35">
      <c r="B257" s="35">
        <v>33501</v>
      </c>
      <c r="C257" s="34">
        <v>1616.1</v>
      </c>
      <c r="D257" s="200"/>
    </row>
    <row r="258" spans="2:4" x14ac:dyDescent="0.35">
      <c r="B258" s="35">
        <v>33504</v>
      </c>
      <c r="C258" s="34">
        <v>1614.2</v>
      </c>
      <c r="D258" s="200"/>
    </row>
    <row r="259" spans="2:4" x14ac:dyDescent="0.35">
      <c r="B259" s="35">
        <v>33505</v>
      </c>
      <c r="C259" s="34">
        <v>1626.6</v>
      </c>
      <c r="D259" s="200"/>
    </row>
    <row r="260" spans="2:4" x14ac:dyDescent="0.35">
      <c r="B260" s="35">
        <v>33506</v>
      </c>
      <c r="C260" s="34">
        <v>1625.4</v>
      </c>
      <c r="D260" s="200"/>
    </row>
    <row r="261" spans="2:4" x14ac:dyDescent="0.35">
      <c r="B261" s="35">
        <v>33507</v>
      </c>
      <c r="C261" s="34">
        <v>1620</v>
      </c>
      <c r="D261" s="200"/>
    </row>
    <row r="262" spans="2:4" x14ac:dyDescent="0.35">
      <c r="B262" s="35">
        <v>33508</v>
      </c>
      <c r="C262" s="34">
        <v>1608.1</v>
      </c>
      <c r="D262" s="200"/>
    </row>
    <row r="263" spans="2:4" x14ac:dyDescent="0.35">
      <c r="B263" s="35">
        <v>33511</v>
      </c>
      <c r="C263" s="34">
        <v>1607</v>
      </c>
      <c r="D263" s="200"/>
    </row>
    <row r="264" spans="2:4" x14ac:dyDescent="0.35">
      <c r="B264" s="35">
        <v>33512</v>
      </c>
      <c r="C264" s="34">
        <v>1609.6</v>
      </c>
      <c r="D264" s="200"/>
    </row>
    <row r="265" spans="2:4" x14ac:dyDescent="0.35">
      <c r="B265" s="35">
        <v>33513</v>
      </c>
      <c r="C265" s="34">
        <v>1607.3</v>
      </c>
      <c r="D265" s="200"/>
    </row>
    <row r="266" spans="2:4" x14ac:dyDescent="0.35">
      <c r="B266" s="35">
        <v>33515</v>
      </c>
      <c r="C266" s="34">
        <v>1601.7</v>
      </c>
      <c r="D266" s="200"/>
    </row>
    <row r="267" spans="2:4" x14ac:dyDescent="0.35">
      <c r="B267" s="35">
        <v>33518</v>
      </c>
      <c r="C267" s="34">
        <v>1588.7</v>
      </c>
      <c r="D267" s="200"/>
    </row>
    <row r="268" spans="2:4" x14ac:dyDescent="0.35">
      <c r="B268" s="35">
        <v>33519</v>
      </c>
      <c r="C268" s="34">
        <v>1578.7</v>
      </c>
      <c r="D268" s="200"/>
    </row>
    <row r="269" spans="2:4" x14ac:dyDescent="0.35">
      <c r="B269" s="35">
        <v>33520</v>
      </c>
      <c r="C269" s="34">
        <v>1567.2</v>
      </c>
      <c r="D269" s="200"/>
    </row>
    <row r="270" spans="2:4" x14ac:dyDescent="0.35">
      <c r="B270" s="35">
        <v>33521</v>
      </c>
      <c r="C270" s="34">
        <v>1568</v>
      </c>
      <c r="D270" s="200"/>
    </row>
    <row r="271" spans="2:4" x14ac:dyDescent="0.35">
      <c r="B271" s="35">
        <v>33522</v>
      </c>
      <c r="C271" s="34">
        <v>1568.4</v>
      </c>
      <c r="D271" s="200"/>
    </row>
    <row r="272" spans="2:4" x14ac:dyDescent="0.35">
      <c r="B272" s="35">
        <v>33525</v>
      </c>
      <c r="C272" s="34">
        <v>1571</v>
      </c>
      <c r="D272" s="200"/>
    </row>
    <row r="273" spans="2:4" x14ac:dyDescent="0.35">
      <c r="B273" s="35">
        <v>33526</v>
      </c>
      <c r="C273" s="34">
        <v>1585</v>
      </c>
      <c r="D273" s="200"/>
    </row>
    <row r="274" spans="2:4" x14ac:dyDescent="0.35">
      <c r="B274" s="35">
        <v>33527</v>
      </c>
      <c r="C274" s="34">
        <v>1570.1</v>
      </c>
      <c r="D274" s="200"/>
    </row>
    <row r="275" spans="2:4" x14ac:dyDescent="0.35">
      <c r="B275" s="35">
        <v>33528</v>
      </c>
      <c r="C275" s="34">
        <v>1564.5</v>
      </c>
      <c r="D275" s="200"/>
    </row>
    <row r="276" spans="2:4" x14ac:dyDescent="0.35">
      <c r="B276" s="35">
        <v>33529</v>
      </c>
      <c r="C276" s="34">
        <v>1563.3</v>
      </c>
      <c r="D276" s="200"/>
    </row>
    <row r="277" spans="2:4" x14ac:dyDescent="0.35">
      <c r="B277" s="35">
        <v>33532</v>
      </c>
      <c r="C277" s="34">
        <v>1572.7</v>
      </c>
      <c r="D277" s="200"/>
    </row>
    <row r="278" spans="2:4" x14ac:dyDescent="0.35">
      <c r="B278" s="35">
        <v>33533</v>
      </c>
      <c r="C278" s="34">
        <v>1580.7</v>
      </c>
      <c r="D278" s="200"/>
    </row>
    <row r="279" spans="2:4" x14ac:dyDescent="0.35">
      <c r="B279" s="35">
        <v>33534</v>
      </c>
      <c r="C279" s="34">
        <v>1587.9</v>
      </c>
      <c r="D279" s="200"/>
    </row>
    <row r="280" spans="2:4" x14ac:dyDescent="0.35">
      <c r="B280" s="35">
        <v>33535</v>
      </c>
      <c r="C280" s="34">
        <v>1579</v>
      </c>
      <c r="D280" s="200"/>
    </row>
    <row r="281" spans="2:4" x14ac:dyDescent="0.35">
      <c r="B281" s="35">
        <v>33536</v>
      </c>
      <c r="C281" s="34">
        <v>1572</v>
      </c>
      <c r="D281" s="200"/>
    </row>
    <row r="282" spans="2:4" x14ac:dyDescent="0.35">
      <c r="B282" s="35">
        <v>33539</v>
      </c>
      <c r="C282" s="34">
        <v>1576.8</v>
      </c>
      <c r="D282" s="200"/>
    </row>
    <row r="283" spans="2:4" x14ac:dyDescent="0.35">
      <c r="B283" s="35">
        <v>33540</v>
      </c>
      <c r="C283" s="34">
        <v>1590.8</v>
      </c>
      <c r="D283" s="200"/>
    </row>
    <row r="284" spans="2:4" x14ac:dyDescent="0.35">
      <c r="B284" s="35">
        <v>33541</v>
      </c>
      <c r="C284" s="34">
        <v>1582.8</v>
      </c>
      <c r="D284" s="200"/>
    </row>
    <row r="285" spans="2:4" x14ac:dyDescent="0.35">
      <c r="B285" s="35">
        <v>33542</v>
      </c>
      <c r="C285" s="34">
        <v>1582.1</v>
      </c>
      <c r="D285" s="200"/>
    </row>
    <row r="286" spans="2:4" x14ac:dyDescent="0.35">
      <c r="B286" s="35">
        <v>33543</v>
      </c>
      <c r="C286" s="34">
        <v>1573.6</v>
      </c>
      <c r="D286" s="200"/>
    </row>
    <row r="287" spans="2:4" x14ac:dyDescent="0.35">
      <c r="B287" s="35">
        <v>33546</v>
      </c>
      <c r="C287" s="34">
        <v>1573.6</v>
      </c>
      <c r="D287" s="200"/>
    </row>
    <row r="288" spans="2:4" x14ac:dyDescent="0.35">
      <c r="B288" s="35">
        <v>33547</v>
      </c>
      <c r="C288" s="34">
        <v>1576.1</v>
      </c>
      <c r="D288" s="200"/>
    </row>
    <row r="289" spans="2:4" x14ac:dyDescent="0.35">
      <c r="B289" s="35">
        <v>33548</v>
      </c>
      <c r="C289" s="34">
        <v>1574.2</v>
      </c>
      <c r="D289" s="200"/>
    </row>
    <row r="290" spans="2:4" x14ac:dyDescent="0.35">
      <c r="B290" s="35">
        <v>33549</v>
      </c>
      <c r="C290" s="34">
        <v>1578.4</v>
      </c>
      <c r="D290" s="200"/>
    </row>
    <row r="291" spans="2:4" x14ac:dyDescent="0.35">
      <c r="B291" s="35">
        <v>33550</v>
      </c>
      <c r="C291" s="34">
        <v>1606.2</v>
      </c>
      <c r="D291" s="200"/>
    </row>
    <row r="292" spans="2:4" x14ac:dyDescent="0.35">
      <c r="B292" s="35">
        <v>33553</v>
      </c>
      <c r="C292" s="34">
        <v>1609</v>
      </c>
      <c r="D292" s="200"/>
    </row>
    <row r="293" spans="2:4" x14ac:dyDescent="0.35">
      <c r="B293" s="35">
        <v>33554</v>
      </c>
      <c r="C293" s="34">
        <v>1621.2</v>
      </c>
      <c r="D293" s="200"/>
    </row>
    <row r="294" spans="2:4" x14ac:dyDescent="0.35">
      <c r="B294" s="35">
        <v>33555</v>
      </c>
      <c r="C294" s="34">
        <v>1623.2</v>
      </c>
      <c r="D294" s="200"/>
    </row>
    <row r="295" spans="2:4" x14ac:dyDescent="0.35">
      <c r="B295" s="35">
        <v>33556</v>
      </c>
      <c r="C295" s="34">
        <v>1621</v>
      </c>
      <c r="D295" s="200"/>
    </row>
    <row r="296" spans="2:4" x14ac:dyDescent="0.35">
      <c r="B296" s="35">
        <v>33557</v>
      </c>
      <c r="C296" s="34">
        <v>1629.4</v>
      </c>
      <c r="D296" s="200"/>
    </row>
    <row r="297" spans="2:4" x14ac:dyDescent="0.35">
      <c r="B297" s="35">
        <v>33560</v>
      </c>
      <c r="C297" s="34">
        <v>1611.9</v>
      </c>
      <c r="D297" s="200"/>
    </row>
    <row r="298" spans="2:4" x14ac:dyDescent="0.35">
      <c r="B298" s="35">
        <v>33561</v>
      </c>
      <c r="C298" s="34">
        <v>1599.1</v>
      </c>
      <c r="D298" s="200"/>
    </row>
    <row r="299" spans="2:4" x14ac:dyDescent="0.35">
      <c r="B299" s="35">
        <v>33563</v>
      </c>
      <c r="C299" s="34">
        <v>1598.1</v>
      </c>
      <c r="D299" s="200"/>
    </row>
    <row r="300" spans="2:4" x14ac:dyDescent="0.35">
      <c r="B300" s="35">
        <v>33564</v>
      </c>
      <c r="C300" s="34">
        <v>1600.3</v>
      </c>
      <c r="D300" s="200"/>
    </row>
    <row r="301" spans="2:4" x14ac:dyDescent="0.35">
      <c r="B301" s="35">
        <v>33567</v>
      </c>
      <c r="C301" s="34">
        <v>1589.2</v>
      </c>
      <c r="D301" s="200"/>
    </row>
    <row r="302" spans="2:4" x14ac:dyDescent="0.35">
      <c r="B302" s="35">
        <v>33568</v>
      </c>
      <c r="C302" s="34">
        <v>1602.9</v>
      </c>
      <c r="D302" s="200"/>
    </row>
    <row r="303" spans="2:4" x14ac:dyDescent="0.35">
      <c r="B303" s="35">
        <v>33569</v>
      </c>
      <c r="C303" s="34">
        <v>1586.2</v>
      </c>
      <c r="D303" s="200"/>
    </row>
    <row r="304" spans="2:4" x14ac:dyDescent="0.35">
      <c r="B304" s="35">
        <v>33570</v>
      </c>
      <c r="C304" s="34">
        <v>1588.2</v>
      </c>
      <c r="D304" s="200"/>
    </row>
    <row r="305" spans="2:4" x14ac:dyDescent="0.35">
      <c r="B305" s="35">
        <v>33571</v>
      </c>
      <c r="C305" s="34">
        <v>1566.6</v>
      </c>
      <c r="D305" s="200"/>
    </row>
    <row r="306" spans="2:4" x14ac:dyDescent="0.35">
      <c r="B306" s="35">
        <v>33574</v>
      </c>
      <c r="C306" s="34">
        <v>1545.4</v>
      </c>
      <c r="D306" s="200"/>
    </row>
    <row r="307" spans="2:4" x14ac:dyDescent="0.35">
      <c r="B307" s="35">
        <v>33575</v>
      </c>
      <c r="C307" s="34">
        <v>1546.8</v>
      </c>
      <c r="D307" s="200"/>
    </row>
    <row r="308" spans="2:4" x14ac:dyDescent="0.35">
      <c r="B308" s="35">
        <v>33576</v>
      </c>
      <c r="C308" s="34">
        <v>1561</v>
      </c>
      <c r="D308" s="200"/>
    </row>
    <row r="309" spans="2:4" x14ac:dyDescent="0.35">
      <c r="B309" s="35">
        <v>33577</v>
      </c>
      <c r="C309" s="34">
        <v>1553.4</v>
      </c>
      <c r="D309" s="200"/>
    </row>
    <row r="310" spans="2:4" x14ac:dyDescent="0.35">
      <c r="B310" s="35">
        <v>33578</v>
      </c>
      <c r="C310" s="34">
        <v>1558.2</v>
      </c>
      <c r="D310" s="200"/>
    </row>
    <row r="311" spans="2:4" x14ac:dyDescent="0.35">
      <c r="B311" s="35">
        <v>33581</v>
      </c>
      <c r="C311" s="34">
        <v>1559.1</v>
      </c>
      <c r="D311" s="200"/>
    </row>
    <row r="312" spans="2:4" x14ac:dyDescent="0.35">
      <c r="B312" s="35">
        <v>33582</v>
      </c>
      <c r="C312" s="34">
        <v>1551.1</v>
      </c>
      <c r="D312" s="200"/>
    </row>
    <row r="313" spans="2:4" x14ac:dyDescent="0.35">
      <c r="B313" s="35">
        <v>33583</v>
      </c>
      <c r="C313" s="34">
        <v>1543.6</v>
      </c>
      <c r="D313" s="200"/>
    </row>
    <row r="314" spans="2:4" x14ac:dyDescent="0.35">
      <c r="B314" s="35">
        <v>33584</v>
      </c>
      <c r="C314" s="34">
        <v>1546.4</v>
      </c>
      <c r="D314" s="200"/>
    </row>
    <row r="315" spans="2:4" x14ac:dyDescent="0.35">
      <c r="B315" s="35">
        <v>33585</v>
      </c>
      <c r="C315" s="34">
        <v>1558.3</v>
      </c>
      <c r="D315" s="200"/>
    </row>
    <row r="316" spans="2:4" x14ac:dyDescent="0.35">
      <c r="B316" s="35">
        <v>33588</v>
      </c>
      <c r="C316" s="34">
        <v>1552.9</v>
      </c>
      <c r="D316" s="200"/>
    </row>
    <row r="317" spans="2:4" x14ac:dyDescent="0.35">
      <c r="B317" s="35">
        <v>33589</v>
      </c>
      <c r="C317" s="34">
        <v>1560.9</v>
      </c>
      <c r="D317" s="200"/>
    </row>
    <row r="318" spans="2:4" x14ac:dyDescent="0.35">
      <c r="B318" s="35">
        <v>33590</v>
      </c>
      <c r="C318" s="34">
        <v>1573.8</v>
      </c>
      <c r="D318" s="200"/>
    </row>
    <row r="319" spans="2:4" x14ac:dyDescent="0.35">
      <c r="B319" s="35">
        <v>33591</v>
      </c>
      <c r="C319" s="34">
        <v>1561.8</v>
      </c>
      <c r="D319" s="200"/>
    </row>
    <row r="320" spans="2:4" x14ac:dyDescent="0.35">
      <c r="B320" s="35">
        <v>33592</v>
      </c>
      <c r="C320" s="34">
        <v>1543.2</v>
      </c>
      <c r="D320" s="200"/>
    </row>
    <row r="321" spans="2:4" x14ac:dyDescent="0.35">
      <c r="B321" s="35">
        <v>33595</v>
      </c>
      <c r="C321" s="34">
        <v>1539.6</v>
      </c>
      <c r="D321" s="200"/>
    </row>
    <row r="322" spans="2:4" x14ac:dyDescent="0.35">
      <c r="B322" s="35">
        <v>33599</v>
      </c>
      <c r="C322" s="34">
        <v>1563.6</v>
      </c>
      <c r="D322" s="200"/>
    </row>
    <row r="323" spans="2:4" x14ac:dyDescent="0.35">
      <c r="B323" s="35">
        <v>33602</v>
      </c>
      <c r="C323" s="34">
        <v>1578</v>
      </c>
      <c r="D323" s="200"/>
    </row>
    <row r="324" spans="2:4" x14ac:dyDescent="0.35">
      <c r="B324" s="35">
        <v>33605</v>
      </c>
      <c r="C324" s="34">
        <v>1601.9</v>
      </c>
      <c r="D324" s="200"/>
    </row>
    <row r="325" spans="2:4" x14ac:dyDescent="0.35">
      <c r="B325" s="35">
        <v>33606</v>
      </c>
      <c r="C325" s="34">
        <v>1603.6</v>
      </c>
      <c r="D325" s="200"/>
    </row>
    <row r="326" spans="2:4" x14ac:dyDescent="0.35">
      <c r="B326" s="35">
        <v>33609</v>
      </c>
      <c r="C326" s="34">
        <v>1603.3</v>
      </c>
      <c r="D326" s="200"/>
    </row>
    <row r="327" spans="2:4" x14ac:dyDescent="0.35">
      <c r="B327" s="35">
        <v>33610</v>
      </c>
      <c r="C327" s="34">
        <v>1592.5</v>
      </c>
      <c r="D327" s="200"/>
    </row>
    <row r="328" spans="2:4" x14ac:dyDescent="0.35">
      <c r="B328" s="35">
        <v>33611</v>
      </c>
      <c r="C328" s="34">
        <v>1578.7</v>
      </c>
      <c r="D328" s="200"/>
    </row>
    <row r="329" spans="2:4" x14ac:dyDescent="0.35">
      <c r="B329" s="35">
        <v>33612</v>
      </c>
      <c r="C329" s="34">
        <v>1589.8</v>
      </c>
      <c r="D329" s="200"/>
    </row>
    <row r="330" spans="2:4" x14ac:dyDescent="0.35">
      <c r="B330" s="35">
        <v>33613</v>
      </c>
      <c r="C330" s="34">
        <v>1615.7</v>
      </c>
      <c r="D330" s="200"/>
    </row>
    <row r="331" spans="2:4" x14ac:dyDescent="0.35">
      <c r="B331" s="35">
        <v>33616</v>
      </c>
      <c r="C331" s="34">
        <v>1622.7</v>
      </c>
      <c r="D331" s="200"/>
    </row>
    <row r="332" spans="2:4" x14ac:dyDescent="0.35">
      <c r="B332" s="35">
        <v>33617</v>
      </c>
      <c r="C332" s="34">
        <v>1628.5</v>
      </c>
      <c r="D332" s="200"/>
    </row>
    <row r="333" spans="2:4" x14ac:dyDescent="0.35">
      <c r="B333" s="35">
        <v>33618</v>
      </c>
      <c r="C333" s="34">
        <v>1667.5</v>
      </c>
      <c r="D333" s="200"/>
    </row>
    <row r="334" spans="2:4" x14ac:dyDescent="0.35">
      <c r="B334" s="35">
        <v>33619</v>
      </c>
      <c r="C334" s="34">
        <v>1666.3</v>
      </c>
      <c r="D334" s="200"/>
    </row>
    <row r="335" spans="2:4" x14ac:dyDescent="0.35">
      <c r="B335" s="35">
        <v>33620</v>
      </c>
      <c r="C335" s="34">
        <v>1671</v>
      </c>
      <c r="D335" s="200"/>
    </row>
    <row r="336" spans="2:4" x14ac:dyDescent="0.35">
      <c r="B336" s="35">
        <v>33623</v>
      </c>
      <c r="C336" s="34">
        <v>1677.2</v>
      </c>
      <c r="D336" s="200"/>
    </row>
    <row r="337" spans="2:4" x14ac:dyDescent="0.35">
      <c r="B337" s="35">
        <v>33624</v>
      </c>
      <c r="C337" s="34">
        <v>1685.3</v>
      </c>
      <c r="D337" s="200"/>
    </row>
    <row r="338" spans="2:4" x14ac:dyDescent="0.35">
      <c r="B338" s="35">
        <v>33625</v>
      </c>
      <c r="C338" s="34">
        <v>1680.1</v>
      </c>
      <c r="D338" s="200"/>
    </row>
    <row r="339" spans="2:4" x14ac:dyDescent="0.35">
      <c r="B339" s="35">
        <v>33626</v>
      </c>
      <c r="C339" s="34">
        <v>1669.6</v>
      </c>
      <c r="D339" s="200"/>
    </row>
    <row r="340" spans="2:4" x14ac:dyDescent="0.35">
      <c r="B340" s="35">
        <v>33627</v>
      </c>
      <c r="C340" s="34">
        <v>1664.8</v>
      </c>
      <c r="D340" s="200"/>
    </row>
    <row r="341" spans="2:4" x14ac:dyDescent="0.35">
      <c r="B341" s="35">
        <v>33630</v>
      </c>
      <c r="C341" s="34">
        <v>1683.6</v>
      </c>
      <c r="D341" s="200"/>
    </row>
    <row r="342" spans="2:4" x14ac:dyDescent="0.35">
      <c r="B342" s="35">
        <v>33631</v>
      </c>
      <c r="C342" s="34">
        <v>1683.1</v>
      </c>
      <c r="D342" s="200"/>
    </row>
    <row r="343" spans="2:4" x14ac:dyDescent="0.35">
      <c r="B343" s="35">
        <v>33632</v>
      </c>
      <c r="C343" s="34">
        <v>1672.4</v>
      </c>
      <c r="D343" s="200"/>
    </row>
    <row r="344" spans="2:4" x14ac:dyDescent="0.35">
      <c r="B344" s="35">
        <v>33633</v>
      </c>
      <c r="C344" s="34">
        <v>1680.9</v>
      </c>
      <c r="D344" s="200"/>
    </row>
    <row r="345" spans="2:4" x14ac:dyDescent="0.35">
      <c r="B345" s="35">
        <v>33634</v>
      </c>
      <c r="C345" s="34">
        <v>1687.5</v>
      </c>
      <c r="D345" s="200"/>
    </row>
    <row r="346" spans="2:4" x14ac:dyDescent="0.35">
      <c r="B346" s="35">
        <v>33637</v>
      </c>
      <c r="C346" s="34">
        <v>1689</v>
      </c>
      <c r="D346" s="200"/>
    </row>
    <row r="347" spans="2:4" x14ac:dyDescent="0.35">
      <c r="B347" s="35">
        <v>33638</v>
      </c>
      <c r="C347" s="34">
        <v>1674.6</v>
      </c>
      <c r="D347" s="200"/>
    </row>
    <row r="348" spans="2:4" x14ac:dyDescent="0.35">
      <c r="B348" s="35">
        <v>33639</v>
      </c>
      <c r="C348" s="34">
        <v>1686.6</v>
      </c>
      <c r="D348" s="200"/>
    </row>
    <row r="349" spans="2:4" x14ac:dyDescent="0.35">
      <c r="B349" s="35">
        <v>33640</v>
      </c>
      <c r="C349" s="34">
        <v>1681.1</v>
      </c>
      <c r="D349" s="200"/>
    </row>
    <row r="350" spans="2:4" x14ac:dyDescent="0.35">
      <c r="B350" s="35">
        <v>33641</v>
      </c>
      <c r="C350" s="34">
        <v>1685.5</v>
      </c>
      <c r="D350" s="200"/>
    </row>
    <row r="351" spans="2:4" x14ac:dyDescent="0.35">
      <c r="B351" s="35">
        <v>33644</v>
      </c>
      <c r="C351" s="34">
        <v>1682.1</v>
      </c>
      <c r="D351" s="200"/>
    </row>
    <row r="352" spans="2:4" x14ac:dyDescent="0.35">
      <c r="B352" s="35">
        <v>33645</v>
      </c>
      <c r="C352" s="34">
        <v>1683.6</v>
      </c>
      <c r="D352" s="200"/>
    </row>
    <row r="353" spans="2:4" x14ac:dyDescent="0.35">
      <c r="B353" s="35">
        <v>33646</v>
      </c>
      <c r="C353" s="34">
        <v>1678.9</v>
      </c>
      <c r="D353" s="200"/>
    </row>
    <row r="354" spans="2:4" x14ac:dyDescent="0.35">
      <c r="B354" s="35">
        <v>33647</v>
      </c>
      <c r="C354" s="34">
        <v>1681.4</v>
      </c>
      <c r="D354" s="200"/>
    </row>
    <row r="355" spans="2:4" x14ac:dyDescent="0.35">
      <c r="B355" s="35">
        <v>33648</v>
      </c>
      <c r="C355" s="34">
        <v>1676.5</v>
      </c>
      <c r="D355" s="200"/>
    </row>
    <row r="356" spans="2:4" x14ac:dyDescent="0.35">
      <c r="B356" s="35">
        <v>33651</v>
      </c>
      <c r="C356" s="34">
        <v>1681.1</v>
      </c>
      <c r="D356" s="200"/>
    </row>
    <row r="357" spans="2:4" x14ac:dyDescent="0.35">
      <c r="B357" s="35">
        <v>33652</v>
      </c>
      <c r="C357" s="34">
        <v>1695</v>
      </c>
      <c r="D357" s="200"/>
    </row>
    <row r="358" spans="2:4" x14ac:dyDescent="0.35">
      <c r="B358" s="35">
        <v>33653</v>
      </c>
      <c r="C358" s="34">
        <v>1687.8</v>
      </c>
      <c r="D358" s="200"/>
    </row>
    <row r="359" spans="2:4" x14ac:dyDescent="0.35">
      <c r="B359" s="35">
        <v>33654</v>
      </c>
      <c r="C359" s="34">
        <v>1703.2</v>
      </c>
      <c r="D359" s="200"/>
    </row>
    <row r="360" spans="2:4" x14ac:dyDescent="0.35">
      <c r="B360" s="35">
        <v>33655</v>
      </c>
      <c r="C360" s="34">
        <v>1717.6</v>
      </c>
      <c r="D360" s="200"/>
    </row>
    <row r="361" spans="2:4" x14ac:dyDescent="0.35">
      <c r="B361" s="35">
        <v>33658</v>
      </c>
      <c r="C361" s="34">
        <v>1729.1</v>
      </c>
      <c r="D361" s="200"/>
    </row>
    <row r="362" spans="2:4" x14ac:dyDescent="0.35">
      <c r="B362" s="35">
        <v>33659</v>
      </c>
      <c r="C362" s="34">
        <v>1722.3</v>
      </c>
      <c r="D362" s="200"/>
    </row>
    <row r="363" spans="2:4" x14ac:dyDescent="0.35">
      <c r="B363" s="35">
        <v>33660</v>
      </c>
      <c r="C363" s="34">
        <v>1737.3</v>
      </c>
      <c r="D363" s="200"/>
    </row>
    <row r="364" spans="2:4" x14ac:dyDescent="0.35">
      <c r="B364" s="35">
        <v>33661</v>
      </c>
      <c r="C364" s="34">
        <v>1749.9</v>
      </c>
      <c r="D364" s="200"/>
    </row>
    <row r="365" spans="2:4" x14ac:dyDescent="0.35">
      <c r="B365" s="35">
        <v>33662</v>
      </c>
      <c r="C365" s="34">
        <v>1745.1</v>
      </c>
      <c r="D365" s="200"/>
    </row>
    <row r="366" spans="2:4" x14ac:dyDescent="0.35">
      <c r="B366" s="35">
        <v>33665</v>
      </c>
      <c r="C366" s="34">
        <v>1747.9</v>
      </c>
      <c r="D366" s="200"/>
    </row>
    <row r="367" spans="2:4" x14ac:dyDescent="0.35">
      <c r="B367" s="35">
        <v>33666</v>
      </c>
      <c r="C367" s="34">
        <v>1763.3</v>
      </c>
      <c r="D367" s="200"/>
    </row>
    <row r="368" spans="2:4" x14ac:dyDescent="0.35">
      <c r="B368" s="35">
        <v>33667</v>
      </c>
      <c r="C368" s="34">
        <v>1759.1</v>
      </c>
      <c r="D368" s="200"/>
    </row>
    <row r="369" spans="2:4" x14ac:dyDescent="0.35">
      <c r="B369" s="35">
        <v>33668</v>
      </c>
      <c r="C369" s="34">
        <v>1764.8</v>
      </c>
      <c r="D369" s="200"/>
    </row>
    <row r="370" spans="2:4" x14ac:dyDescent="0.35">
      <c r="B370" s="35">
        <v>33669</v>
      </c>
      <c r="C370" s="34">
        <v>1746</v>
      </c>
      <c r="D370" s="200"/>
    </row>
    <row r="371" spans="2:4" x14ac:dyDescent="0.35">
      <c r="B371" s="35">
        <v>33672</v>
      </c>
      <c r="C371" s="34">
        <v>1750.3</v>
      </c>
      <c r="D371" s="200"/>
    </row>
    <row r="372" spans="2:4" x14ac:dyDescent="0.35">
      <c r="B372" s="35">
        <v>33673</v>
      </c>
      <c r="C372" s="34">
        <v>1750.5</v>
      </c>
      <c r="D372" s="200"/>
    </row>
    <row r="373" spans="2:4" x14ac:dyDescent="0.35">
      <c r="B373" s="35">
        <v>33674</v>
      </c>
      <c r="C373" s="34">
        <v>1743.4</v>
      </c>
      <c r="D373" s="200"/>
    </row>
    <row r="374" spans="2:4" x14ac:dyDescent="0.35">
      <c r="B374" s="35">
        <v>33675</v>
      </c>
      <c r="C374" s="34">
        <v>1727.5</v>
      </c>
      <c r="D374" s="200"/>
    </row>
    <row r="375" spans="2:4" x14ac:dyDescent="0.35">
      <c r="B375" s="35">
        <v>33676</v>
      </c>
      <c r="C375" s="34">
        <v>1732.6</v>
      </c>
      <c r="D375" s="200"/>
    </row>
    <row r="376" spans="2:4" x14ac:dyDescent="0.35">
      <c r="B376" s="35">
        <v>33679</v>
      </c>
      <c r="C376" s="34">
        <v>1724.8</v>
      </c>
      <c r="D376" s="200"/>
    </row>
    <row r="377" spans="2:4" x14ac:dyDescent="0.35">
      <c r="B377" s="35">
        <v>33680</v>
      </c>
      <c r="C377" s="34">
        <v>1730.1</v>
      </c>
      <c r="D377" s="200"/>
    </row>
    <row r="378" spans="2:4" x14ac:dyDescent="0.35">
      <c r="B378" s="35">
        <v>33681</v>
      </c>
      <c r="C378" s="34">
        <v>1732.2</v>
      </c>
      <c r="D378" s="200"/>
    </row>
    <row r="379" spans="2:4" x14ac:dyDescent="0.35">
      <c r="B379" s="35">
        <v>33682</v>
      </c>
      <c r="C379" s="34">
        <v>1724.6</v>
      </c>
      <c r="D379" s="200"/>
    </row>
    <row r="380" spans="2:4" x14ac:dyDescent="0.35">
      <c r="B380" s="35">
        <v>33683</v>
      </c>
      <c r="C380" s="34">
        <v>1736.3</v>
      </c>
      <c r="D380" s="200"/>
    </row>
    <row r="381" spans="2:4" x14ac:dyDescent="0.35">
      <c r="B381" s="35">
        <v>33686</v>
      </c>
      <c r="C381" s="34">
        <v>1717.5</v>
      </c>
      <c r="D381" s="200"/>
    </row>
    <row r="382" spans="2:4" x14ac:dyDescent="0.35">
      <c r="B382" s="35">
        <v>33687</v>
      </c>
      <c r="C382" s="34">
        <v>1713.1</v>
      </c>
      <c r="D382" s="200"/>
    </row>
    <row r="383" spans="2:4" x14ac:dyDescent="0.35">
      <c r="B383" s="35">
        <v>33688</v>
      </c>
      <c r="C383" s="34">
        <v>1716.3</v>
      </c>
      <c r="D383" s="200"/>
    </row>
    <row r="384" spans="2:4" x14ac:dyDescent="0.35">
      <c r="B384" s="35">
        <v>33689</v>
      </c>
      <c r="C384" s="34">
        <v>1719</v>
      </c>
      <c r="D384" s="200"/>
    </row>
    <row r="385" spans="2:4" x14ac:dyDescent="0.35">
      <c r="B385" s="35">
        <v>33690</v>
      </c>
      <c r="C385" s="34">
        <v>1711.5</v>
      </c>
      <c r="D385" s="200"/>
    </row>
    <row r="386" spans="2:4" x14ac:dyDescent="0.35">
      <c r="B386" s="35">
        <v>33693</v>
      </c>
      <c r="C386" s="34">
        <v>1710.3</v>
      </c>
      <c r="D386" s="200"/>
    </row>
    <row r="387" spans="2:4" x14ac:dyDescent="0.35">
      <c r="B387" s="35">
        <v>33694</v>
      </c>
      <c r="C387" s="34">
        <v>1717.9</v>
      </c>
      <c r="D387" s="200"/>
    </row>
    <row r="388" spans="2:4" x14ac:dyDescent="0.35">
      <c r="B388" s="35">
        <v>33695</v>
      </c>
      <c r="C388" s="34">
        <v>1707.3</v>
      </c>
      <c r="D388" s="200"/>
    </row>
    <row r="389" spans="2:4" x14ac:dyDescent="0.35">
      <c r="B389" s="35">
        <v>33696</v>
      </c>
      <c r="C389" s="34">
        <v>1721.7</v>
      </c>
      <c r="D389" s="200"/>
    </row>
    <row r="390" spans="2:4" x14ac:dyDescent="0.35">
      <c r="B390" s="35">
        <v>33697</v>
      </c>
      <c r="C390" s="34">
        <v>1719.6</v>
      </c>
      <c r="D390" s="200"/>
    </row>
    <row r="391" spans="2:4" x14ac:dyDescent="0.35">
      <c r="B391" s="35">
        <v>33700</v>
      </c>
      <c r="C391" s="34">
        <v>1734.6</v>
      </c>
      <c r="D391" s="200"/>
    </row>
    <row r="392" spans="2:4" x14ac:dyDescent="0.35">
      <c r="B392" s="35">
        <v>33701</v>
      </c>
      <c r="C392" s="34">
        <v>1739.4</v>
      </c>
      <c r="D392" s="200"/>
    </row>
    <row r="393" spans="2:4" x14ac:dyDescent="0.35">
      <c r="B393" s="35">
        <v>33702</v>
      </c>
      <c r="C393" s="34">
        <v>1720</v>
      </c>
      <c r="D393" s="200"/>
    </row>
    <row r="394" spans="2:4" x14ac:dyDescent="0.35">
      <c r="B394" s="35">
        <v>33703</v>
      </c>
      <c r="C394" s="34">
        <v>1720.3</v>
      </c>
      <c r="D394" s="200"/>
    </row>
    <row r="395" spans="2:4" x14ac:dyDescent="0.35">
      <c r="B395" s="35">
        <v>33704</v>
      </c>
      <c r="C395" s="34">
        <v>1736.1</v>
      </c>
      <c r="D395" s="200"/>
    </row>
    <row r="396" spans="2:4" x14ac:dyDescent="0.35">
      <c r="B396" s="35">
        <v>33707</v>
      </c>
      <c r="C396" s="34">
        <v>1727.7</v>
      </c>
      <c r="D396" s="200"/>
    </row>
    <row r="397" spans="2:4" x14ac:dyDescent="0.35">
      <c r="B397" s="35">
        <v>33708</v>
      </c>
      <c r="C397" s="34">
        <v>1732.5</v>
      </c>
      <c r="D397" s="200"/>
    </row>
    <row r="398" spans="2:4" x14ac:dyDescent="0.35">
      <c r="B398" s="35">
        <v>33709</v>
      </c>
      <c r="C398" s="34">
        <v>1743.8</v>
      </c>
      <c r="D398" s="200"/>
    </row>
    <row r="399" spans="2:4" x14ac:dyDescent="0.35">
      <c r="B399" s="35">
        <v>33710</v>
      </c>
      <c r="C399" s="34">
        <v>1749.2</v>
      </c>
      <c r="D399" s="200"/>
    </row>
    <row r="400" spans="2:4" x14ac:dyDescent="0.35">
      <c r="B400" s="35">
        <v>33715</v>
      </c>
      <c r="C400" s="34">
        <v>1746.5</v>
      </c>
      <c r="D400" s="200"/>
    </row>
    <row r="401" spans="2:4" x14ac:dyDescent="0.35">
      <c r="B401" s="35">
        <v>33716</v>
      </c>
      <c r="C401" s="34">
        <v>1753.3</v>
      </c>
      <c r="D401" s="200"/>
    </row>
    <row r="402" spans="2:4" x14ac:dyDescent="0.35">
      <c r="B402" s="35">
        <v>33717</v>
      </c>
      <c r="C402" s="34">
        <v>1752.4</v>
      </c>
      <c r="D402" s="200"/>
    </row>
    <row r="403" spans="2:4" x14ac:dyDescent="0.35">
      <c r="B403" s="35">
        <v>33718</v>
      </c>
      <c r="C403" s="34">
        <v>1745.7</v>
      </c>
      <c r="D403" s="200"/>
    </row>
    <row r="404" spans="2:4" x14ac:dyDescent="0.35">
      <c r="B404" s="35">
        <v>33721</v>
      </c>
      <c r="C404" s="34">
        <v>1742.2</v>
      </c>
      <c r="D404" s="200"/>
    </row>
    <row r="405" spans="2:4" x14ac:dyDescent="0.35">
      <c r="B405" s="35">
        <v>33722</v>
      </c>
      <c r="C405" s="34">
        <v>1735.9</v>
      </c>
      <c r="D405" s="200"/>
    </row>
    <row r="406" spans="2:4" x14ac:dyDescent="0.35">
      <c r="B406" s="35">
        <v>33723</v>
      </c>
      <c r="C406" s="34">
        <v>1735.9</v>
      </c>
      <c r="D406" s="200"/>
    </row>
    <row r="407" spans="2:4" x14ac:dyDescent="0.35">
      <c r="B407" s="35">
        <v>33724</v>
      </c>
      <c r="C407" s="34">
        <v>1734</v>
      </c>
      <c r="D407" s="200"/>
    </row>
    <row r="408" spans="2:4" x14ac:dyDescent="0.35">
      <c r="B408" s="35">
        <v>33728</v>
      </c>
      <c r="C408" s="34">
        <v>1728.3</v>
      </c>
      <c r="D408" s="200"/>
    </row>
    <row r="409" spans="2:4" x14ac:dyDescent="0.35">
      <c r="B409" s="35">
        <v>33729</v>
      </c>
      <c r="C409" s="34">
        <v>1732.6</v>
      </c>
      <c r="D409" s="200"/>
    </row>
    <row r="410" spans="2:4" x14ac:dyDescent="0.35">
      <c r="B410" s="35">
        <v>33730</v>
      </c>
      <c r="C410" s="34">
        <v>1743.5</v>
      </c>
      <c r="D410" s="200"/>
    </row>
    <row r="411" spans="2:4" x14ac:dyDescent="0.35">
      <c r="B411" s="35">
        <v>33731</v>
      </c>
      <c r="C411" s="34">
        <v>1750.8</v>
      </c>
      <c r="D411" s="200"/>
    </row>
    <row r="412" spans="2:4" x14ac:dyDescent="0.35">
      <c r="B412" s="35">
        <v>33732</v>
      </c>
      <c r="C412" s="34">
        <v>1748.2</v>
      </c>
      <c r="D412" s="200"/>
    </row>
    <row r="413" spans="2:4" x14ac:dyDescent="0.35">
      <c r="B413" s="35">
        <v>33735</v>
      </c>
      <c r="C413" s="34">
        <v>1753</v>
      </c>
      <c r="D413" s="200"/>
    </row>
    <row r="414" spans="2:4" x14ac:dyDescent="0.35">
      <c r="B414" s="35">
        <v>33736</v>
      </c>
      <c r="C414" s="34">
        <v>1751.2</v>
      </c>
      <c r="D414" s="200"/>
    </row>
    <row r="415" spans="2:4" x14ac:dyDescent="0.35">
      <c r="B415" s="35">
        <v>33737</v>
      </c>
      <c r="C415" s="34">
        <v>1749.4</v>
      </c>
      <c r="D415" s="200"/>
    </row>
    <row r="416" spans="2:4" x14ac:dyDescent="0.35">
      <c r="B416" s="35">
        <v>33738</v>
      </c>
      <c r="C416" s="34">
        <v>1742.3</v>
      </c>
      <c r="D416" s="200"/>
    </row>
    <row r="417" spans="2:4" x14ac:dyDescent="0.35">
      <c r="B417" s="35">
        <v>33739</v>
      </c>
      <c r="C417" s="34">
        <v>1724.1</v>
      </c>
      <c r="D417" s="200"/>
    </row>
    <row r="418" spans="2:4" x14ac:dyDescent="0.35">
      <c r="B418" s="35">
        <v>33742</v>
      </c>
      <c r="C418" s="34">
        <v>1758.4</v>
      </c>
      <c r="D418" s="200"/>
    </row>
    <row r="419" spans="2:4" x14ac:dyDescent="0.35">
      <c r="B419" s="35">
        <v>33743</v>
      </c>
      <c r="C419" s="34">
        <v>1763.3</v>
      </c>
      <c r="D419" s="200"/>
    </row>
    <row r="420" spans="2:4" x14ac:dyDescent="0.35">
      <c r="B420" s="35">
        <v>33744</v>
      </c>
      <c r="C420" s="34">
        <v>1787.5</v>
      </c>
      <c r="D420" s="200"/>
    </row>
    <row r="421" spans="2:4" x14ac:dyDescent="0.35">
      <c r="B421" s="35">
        <v>33745</v>
      </c>
      <c r="C421" s="34">
        <v>1785.5</v>
      </c>
      <c r="D421" s="200"/>
    </row>
    <row r="422" spans="2:4" x14ac:dyDescent="0.35">
      <c r="B422" s="35">
        <v>33746</v>
      </c>
      <c r="C422" s="34">
        <v>1803</v>
      </c>
      <c r="D422" s="200"/>
    </row>
    <row r="423" spans="2:4" x14ac:dyDescent="0.35">
      <c r="B423" s="35">
        <v>33749</v>
      </c>
      <c r="C423" s="34">
        <v>1811.6</v>
      </c>
      <c r="D423" s="200"/>
    </row>
    <row r="424" spans="2:4" x14ac:dyDescent="0.35">
      <c r="B424" s="35">
        <v>33750</v>
      </c>
      <c r="C424" s="34">
        <v>1806.7</v>
      </c>
      <c r="D424" s="200"/>
    </row>
    <row r="425" spans="2:4" x14ac:dyDescent="0.35">
      <c r="B425" s="35">
        <v>33751</v>
      </c>
      <c r="C425" s="34">
        <v>1794.1</v>
      </c>
      <c r="D425" s="200"/>
    </row>
    <row r="426" spans="2:4" x14ac:dyDescent="0.35">
      <c r="B426" s="35">
        <v>33753</v>
      </c>
      <c r="C426" s="34">
        <v>1803.2</v>
      </c>
      <c r="D426" s="200"/>
    </row>
    <row r="427" spans="2:4" x14ac:dyDescent="0.35">
      <c r="B427" s="35">
        <v>33756</v>
      </c>
      <c r="C427" s="34">
        <v>1798.1</v>
      </c>
      <c r="D427" s="200"/>
    </row>
    <row r="428" spans="2:4" x14ac:dyDescent="0.35">
      <c r="B428" s="35">
        <v>33757</v>
      </c>
      <c r="C428" s="34">
        <v>1801.4</v>
      </c>
      <c r="D428" s="200"/>
    </row>
    <row r="429" spans="2:4" x14ac:dyDescent="0.35">
      <c r="B429" s="35">
        <v>33758</v>
      </c>
      <c r="C429" s="34">
        <v>1788.6</v>
      </c>
      <c r="D429" s="200"/>
    </row>
    <row r="430" spans="2:4" x14ac:dyDescent="0.35">
      <c r="B430" s="35">
        <v>33759</v>
      </c>
      <c r="C430" s="34">
        <v>1792.3</v>
      </c>
      <c r="D430" s="200"/>
    </row>
    <row r="431" spans="2:4" x14ac:dyDescent="0.35">
      <c r="B431" s="35">
        <v>33760</v>
      </c>
      <c r="C431" s="34">
        <v>1789.1</v>
      </c>
      <c r="D431" s="200"/>
    </row>
    <row r="432" spans="2:4" x14ac:dyDescent="0.35">
      <c r="B432" s="35">
        <v>33764</v>
      </c>
      <c r="C432" s="34">
        <v>1786.3</v>
      </c>
      <c r="D432" s="200"/>
    </row>
    <row r="433" spans="2:4" x14ac:dyDescent="0.35">
      <c r="B433" s="35">
        <v>33765</v>
      </c>
      <c r="C433" s="34">
        <v>1789.8</v>
      </c>
      <c r="D433" s="200"/>
    </row>
    <row r="434" spans="2:4" x14ac:dyDescent="0.35">
      <c r="B434" s="35">
        <v>33766</v>
      </c>
      <c r="C434" s="34">
        <v>1781.8</v>
      </c>
      <c r="D434" s="200"/>
    </row>
    <row r="435" spans="2:4" x14ac:dyDescent="0.35">
      <c r="B435" s="35">
        <v>33767</v>
      </c>
      <c r="C435" s="34">
        <v>1782.3</v>
      </c>
      <c r="D435" s="200"/>
    </row>
    <row r="436" spans="2:4" x14ac:dyDescent="0.35">
      <c r="B436" s="35">
        <v>33770</v>
      </c>
      <c r="C436" s="34">
        <v>1773.9</v>
      </c>
      <c r="D436" s="200"/>
    </row>
    <row r="437" spans="2:4" x14ac:dyDescent="0.35">
      <c r="B437" s="35">
        <v>33771</v>
      </c>
      <c r="C437" s="34">
        <v>1779.1</v>
      </c>
      <c r="D437" s="200"/>
    </row>
    <row r="438" spans="2:4" x14ac:dyDescent="0.35">
      <c r="B438" s="35">
        <v>33772</v>
      </c>
      <c r="C438" s="34">
        <v>1771.8</v>
      </c>
      <c r="D438" s="200"/>
    </row>
    <row r="439" spans="2:4" x14ac:dyDescent="0.35">
      <c r="B439" s="35">
        <v>33774</v>
      </c>
      <c r="C439" s="34">
        <v>1772.9</v>
      </c>
      <c r="D439" s="200"/>
    </row>
    <row r="440" spans="2:4" x14ac:dyDescent="0.35">
      <c r="B440" s="35">
        <v>33777</v>
      </c>
      <c r="C440" s="34">
        <v>1770.6</v>
      </c>
      <c r="D440" s="200"/>
    </row>
    <row r="441" spans="2:4" x14ac:dyDescent="0.35">
      <c r="B441" s="35">
        <v>33778</v>
      </c>
      <c r="C441" s="34">
        <v>1771.1</v>
      </c>
      <c r="D441" s="200"/>
    </row>
    <row r="442" spans="2:4" x14ac:dyDescent="0.35">
      <c r="B442" s="35">
        <v>33779</v>
      </c>
      <c r="C442" s="34">
        <v>1768.5</v>
      </c>
      <c r="D442" s="200"/>
    </row>
    <row r="443" spans="2:4" x14ac:dyDescent="0.35">
      <c r="B443" s="35">
        <v>33780</v>
      </c>
      <c r="C443" s="34">
        <v>1764.9</v>
      </c>
      <c r="D443" s="200"/>
    </row>
    <row r="444" spans="2:4" x14ac:dyDescent="0.35">
      <c r="B444" s="35">
        <v>33781</v>
      </c>
      <c r="C444" s="34">
        <v>1754.1</v>
      </c>
      <c r="D444" s="200"/>
    </row>
    <row r="445" spans="2:4" x14ac:dyDescent="0.35">
      <c r="B445" s="35">
        <v>33784</v>
      </c>
      <c r="C445" s="34">
        <v>1757.1</v>
      </c>
      <c r="D445" s="200"/>
    </row>
    <row r="446" spans="2:4" x14ac:dyDescent="0.35">
      <c r="B446" s="35">
        <v>33785</v>
      </c>
      <c r="C446" s="34">
        <v>1752.6</v>
      </c>
      <c r="D446" s="200"/>
    </row>
    <row r="447" spans="2:4" x14ac:dyDescent="0.35">
      <c r="B447" s="35">
        <v>33786</v>
      </c>
      <c r="C447" s="34">
        <v>1756.3</v>
      </c>
      <c r="D447" s="200"/>
    </row>
    <row r="448" spans="2:4" x14ac:dyDescent="0.35">
      <c r="B448" s="35">
        <v>33787</v>
      </c>
      <c r="C448" s="34">
        <v>1768.6</v>
      </c>
      <c r="D448" s="200"/>
    </row>
    <row r="449" spans="2:4" x14ac:dyDescent="0.35">
      <c r="B449" s="35">
        <v>33788</v>
      </c>
      <c r="C449" s="34">
        <v>1777</v>
      </c>
      <c r="D449" s="200"/>
    </row>
    <row r="450" spans="2:4" x14ac:dyDescent="0.35">
      <c r="B450" s="35">
        <v>33791</v>
      </c>
      <c r="C450" s="34">
        <v>1772.4</v>
      </c>
      <c r="D450" s="200"/>
    </row>
    <row r="451" spans="2:4" x14ac:dyDescent="0.35">
      <c r="B451" s="35">
        <v>33792</v>
      </c>
      <c r="C451" s="34">
        <v>1767.5</v>
      </c>
      <c r="D451" s="200"/>
    </row>
    <row r="452" spans="2:4" x14ac:dyDescent="0.35">
      <c r="B452" s="35">
        <v>33793</v>
      </c>
      <c r="C452" s="34">
        <v>1751.2</v>
      </c>
      <c r="D452" s="200"/>
    </row>
    <row r="453" spans="2:4" x14ac:dyDescent="0.35">
      <c r="B453" s="35">
        <v>33794</v>
      </c>
      <c r="C453" s="34">
        <v>1757.6</v>
      </c>
      <c r="D453" s="200"/>
    </row>
    <row r="454" spans="2:4" x14ac:dyDescent="0.35">
      <c r="B454" s="35">
        <v>33795</v>
      </c>
      <c r="C454" s="34">
        <v>1754.5</v>
      </c>
      <c r="D454" s="200"/>
    </row>
    <row r="455" spans="2:4" x14ac:dyDescent="0.35">
      <c r="B455" s="35">
        <v>33798</v>
      </c>
      <c r="C455" s="34">
        <v>1736.5</v>
      </c>
      <c r="D455" s="200"/>
    </row>
    <row r="456" spans="2:4" x14ac:dyDescent="0.35">
      <c r="B456" s="35">
        <v>33799</v>
      </c>
      <c r="C456" s="34">
        <v>1734.1</v>
      </c>
      <c r="D456" s="200"/>
    </row>
    <row r="457" spans="2:4" x14ac:dyDescent="0.35">
      <c r="B457" s="35">
        <v>33800</v>
      </c>
      <c r="C457" s="34">
        <v>1734.6</v>
      </c>
      <c r="D457" s="200"/>
    </row>
    <row r="458" spans="2:4" x14ac:dyDescent="0.35">
      <c r="B458" s="35">
        <v>33801</v>
      </c>
      <c r="C458" s="34">
        <v>1740.5</v>
      </c>
      <c r="D458" s="200"/>
    </row>
    <row r="459" spans="2:4" x14ac:dyDescent="0.35">
      <c r="B459" s="35">
        <v>33802</v>
      </c>
      <c r="C459" s="34">
        <v>1702.7</v>
      </c>
      <c r="D459" s="200"/>
    </row>
    <row r="460" spans="2:4" x14ac:dyDescent="0.35">
      <c r="B460" s="35">
        <v>33805</v>
      </c>
      <c r="C460" s="34">
        <v>1649.7</v>
      </c>
      <c r="D460" s="200"/>
    </row>
    <row r="461" spans="2:4" x14ac:dyDescent="0.35">
      <c r="B461" s="35">
        <v>33806</v>
      </c>
      <c r="C461" s="34">
        <v>1659.8</v>
      </c>
      <c r="D461" s="200"/>
    </row>
    <row r="462" spans="2:4" x14ac:dyDescent="0.35">
      <c r="B462" s="35">
        <v>33807</v>
      </c>
      <c r="C462" s="34">
        <v>1628.2</v>
      </c>
      <c r="D462" s="200"/>
    </row>
    <row r="463" spans="2:4" x14ac:dyDescent="0.35">
      <c r="B463" s="35">
        <v>33808</v>
      </c>
      <c r="C463" s="34">
        <v>1623.4</v>
      </c>
      <c r="D463" s="200"/>
    </row>
    <row r="464" spans="2:4" x14ac:dyDescent="0.35">
      <c r="B464" s="35">
        <v>33809</v>
      </c>
      <c r="C464" s="34">
        <v>1610.4</v>
      </c>
      <c r="D464" s="200"/>
    </row>
    <row r="465" spans="2:4" x14ac:dyDescent="0.35">
      <c r="B465" s="35">
        <v>33812</v>
      </c>
      <c r="C465" s="34">
        <v>1618.1</v>
      </c>
      <c r="D465" s="200"/>
    </row>
    <row r="466" spans="2:4" x14ac:dyDescent="0.35">
      <c r="B466" s="35">
        <v>33813</v>
      </c>
      <c r="C466" s="34">
        <v>1610.6</v>
      </c>
      <c r="D466" s="200"/>
    </row>
    <row r="467" spans="2:4" x14ac:dyDescent="0.35">
      <c r="B467" s="35">
        <v>33814</v>
      </c>
      <c r="C467" s="34">
        <v>1628.2</v>
      </c>
      <c r="D467" s="200"/>
    </row>
    <row r="468" spans="2:4" x14ac:dyDescent="0.35">
      <c r="B468" s="35">
        <v>33815</v>
      </c>
      <c r="C468" s="34">
        <v>1624</v>
      </c>
      <c r="D468" s="200"/>
    </row>
    <row r="469" spans="2:4" x14ac:dyDescent="0.35">
      <c r="B469" s="35">
        <v>33816</v>
      </c>
      <c r="C469" s="34">
        <v>1615.4</v>
      </c>
      <c r="D469" s="200"/>
    </row>
    <row r="470" spans="2:4" x14ac:dyDescent="0.35">
      <c r="B470" s="35">
        <v>33819</v>
      </c>
      <c r="C470" s="34">
        <v>1594.7</v>
      </c>
      <c r="D470" s="200"/>
    </row>
    <row r="471" spans="2:4" x14ac:dyDescent="0.35">
      <c r="B471" s="35">
        <v>33820</v>
      </c>
      <c r="C471" s="34">
        <v>1611.5</v>
      </c>
      <c r="D471" s="200"/>
    </row>
    <row r="472" spans="2:4" x14ac:dyDescent="0.35">
      <c r="B472" s="35">
        <v>33821</v>
      </c>
      <c r="C472" s="34">
        <v>1628.8</v>
      </c>
      <c r="D472" s="200"/>
    </row>
    <row r="473" spans="2:4" x14ac:dyDescent="0.35">
      <c r="B473" s="35">
        <v>33822</v>
      </c>
      <c r="C473" s="34">
        <v>1621.2</v>
      </c>
      <c r="D473" s="200"/>
    </row>
    <row r="474" spans="2:4" x14ac:dyDescent="0.35">
      <c r="B474" s="35">
        <v>33823</v>
      </c>
      <c r="C474" s="34">
        <v>1609.5</v>
      </c>
      <c r="D474" s="200"/>
    </row>
    <row r="475" spans="2:4" x14ac:dyDescent="0.35">
      <c r="B475" s="35">
        <v>33826</v>
      </c>
      <c r="C475" s="34">
        <v>1582.6</v>
      </c>
      <c r="D475" s="200"/>
    </row>
    <row r="476" spans="2:4" x14ac:dyDescent="0.35">
      <c r="B476" s="35">
        <v>33827</v>
      </c>
      <c r="C476" s="34">
        <v>1564.6</v>
      </c>
      <c r="D476" s="200"/>
    </row>
    <row r="477" spans="2:4" x14ac:dyDescent="0.35">
      <c r="B477" s="35">
        <v>33828</v>
      </c>
      <c r="C477" s="34">
        <v>1553</v>
      </c>
      <c r="D477" s="200"/>
    </row>
    <row r="478" spans="2:4" x14ac:dyDescent="0.35">
      <c r="B478" s="35">
        <v>33829</v>
      </c>
      <c r="C478" s="34">
        <v>1541</v>
      </c>
      <c r="D478" s="200"/>
    </row>
    <row r="479" spans="2:4" x14ac:dyDescent="0.35">
      <c r="B479" s="35">
        <v>33830</v>
      </c>
      <c r="C479" s="34">
        <v>1547.8</v>
      </c>
      <c r="D479" s="200"/>
    </row>
    <row r="480" spans="2:4" x14ac:dyDescent="0.35">
      <c r="B480" s="35">
        <v>33833</v>
      </c>
      <c r="C480" s="34">
        <v>1555.4</v>
      </c>
      <c r="D480" s="200"/>
    </row>
    <row r="481" spans="2:4" x14ac:dyDescent="0.35">
      <c r="B481" s="35">
        <v>33834</v>
      </c>
      <c r="C481" s="34">
        <v>1533.2</v>
      </c>
      <c r="D481" s="200"/>
    </row>
    <row r="482" spans="2:4" x14ac:dyDescent="0.35">
      <c r="B482" s="35">
        <v>33835</v>
      </c>
      <c r="C482" s="34">
        <v>1524.7</v>
      </c>
      <c r="D482" s="200"/>
    </row>
    <row r="483" spans="2:4" x14ac:dyDescent="0.35">
      <c r="B483" s="35">
        <v>33836</v>
      </c>
      <c r="C483" s="34">
        <v>1513.1</v>
      </c>
      <c r="D483" s="200"/>
    </row>
    <row r="484" spans="2:4" x14ac:dyDescent="0.35">
      <c r="B484" s="35">
        <v>33837</v>
      </c>
      <c r="C484" s="34">
        <v>1520</v>
      </c>
      <c r="D484" s="200"/>
    </row>
    <row r="485" spans="2:4" x14ac:dyDescent="0.35">
      <c r="B485" s="35">
        <v>33840</v>
      </c>
      <c r="C485" s="34">
        <v>1498.7</v>
      </c>
      <c r="D485" s="200"/>
    </row>
    <row r="486" spans="2:4" x14ac:dyDescent="0.35">
      <c r="B486" s="35">
        <v>33841</v>
      </c>
      <c r="C486" s="34">
        <v>1468.9</v>
      </c>
      <c r="D486" s="200"/>
    </row>
    <row r="487" spans="2:4" x14ac:dyDescent="0.35">
      <c r="B487" s="35">
        <v>33842</v>
      </c>
      <c r="C487" s="34">
        <v>1473.3</v>
      </c>
      <c r="D487" s="200"/>
    </row>
    <row r="488" spans="2:4" x14ac:dyDescent="0.35">
      <c r="B488" s="35">
        <v>33843</v>
      </c>
      <c r="C488" s="34">
        <v>1513.4</v>
      </c>
      <c r="D488" s="200"/>
    </row>
    <row r="489" spans="2:4" x14ac:dyDescent="0.35">
      <c r="B489" s="35">
        <v>33844</v>
      </c>
      <c r="C489" s="34">
        <v>1516.5</v>
      </c>
      <c r="D489" s="200"/>
    </row>
    <row r="490" spans="2:4" x14ac:dyDescent="0.35">
      <c r="B490" s="35">
        <v>33847</v>
      </c>
      <c r="C490" s="34">
        <v>1541.3</v>
      </c>
      <c r="D490" s="200"/>
    </row>
    <row r="491" spans="2:4" x14ac:dyDescent="0.35">
      <c r="B491" s="35">
        <v>33848</v>
      </c>
      <c r="C491" s="34">
        <v>1518.7</v>
      </c>
      <c r="D491" s="200"/>
    </row>
    <row r="492" spans="2:4" x14ac:dyDescent="0.35">
      <c r="B492" s="35">
        <v>33849</v>
      </c>
      <c r="C492" s="34">
        <v>1506.7</v>
      </c>
      <c r="D492" s="200"/>
    </row>
    <row r="493" spans="2:4" x14ac:dyDescent="0.35">
      <c r="B493" s="35">
        <v>33850</v>
      </c>
      <c r="C493" s="34">
        <v>1530.8</v>
      </c>
      <c r="D493" s="200"/>
    </row>
    <row r="494" spans="2:4" x14ac:dyDescent="0.35">
      <c r="B494" s="35">
        <v>33851</v>
      </c>
      <c r="C494" s="34">
        <v>1536.5</v>
      </c>
      <c r="D494" s="200"/>
    </row>
    <row r="495" spans="2:4" x14ac:dyDescent="0.35">
      <c r="B495" s="35">
        <v>33854</v>
      </c>
      <c r="C495" s="34">
        <v>1540.6</v>
      </c>
      <c r="D495" s="200"/>
    </row>
    <row r="496" spans="2:4" x14ac:dyDescent="0.35">
      <c r="B496" s="35">
        <v>33855</v>
      </c>
      <c r="C496" s="34">
        <v>1544.6</v>
      </c>
      <c r="D496" s="200"/>
    </row>
    <row r="497" spans="2:4" x14ac:dyDescent="0.35">
      <c r="B497" s="35">
        <v>33856</v>
      </c>
      <c r="C497" s="34">
        <v>1525.3</v>
      </c>
      <c r="D497" s="200"/>
    </row>
    <row r="498" spans="2:4" x14ac:dyDescent="0.35">
      <c r="B498" s="35">
        <v>33857</v>
      </c>
      <c r="C498" s="34">
        <v>1528.3</v>
      </c>
      <c r="D498" s="200"/>
    </row>
    <row r="499" spans="2:4" x14ac:dyDescent="0.35">
      <c r="B499" s="35">
        <v>33858</v>
      </c>
      <c r="C499" s="34">
        <v>1527.8</v>
      </c>
      <c r="D499" s="200"/>
    </row>
    <row r="500" spans="2:4" x14ac:dyDescent="0.35">
      <c r="B500" s="35">
        <v>33861</v>
      </c>
      <c r="C500" s="34">
        <v>1595</v>
      </c>
      <c r="D500" s="200"/>
    </row>
    <row r="501" spans="2:4" x14ac:dyDescent="0.35">
      <c r="B501" s="35">
        <v>33862</v>
      </c>
      <c r="C501" s="34">
        <v>1587.6</v>
      </c>
      <c r="D501" s="200"/>
    </row>
    <row r="502" spans="2:4" x14ac:dyDescent="0.35">
      <c r="B502" s="35">
        <v>33863</v>
      </c>
      <c r="C502" s="34">
        <v>1584.6</v>
      </c>
      <c r="D502" s="200"/>
    </row>
    <row r="503" spans="2:4" x14ac:dyDescent="0.35">
      <c r="B503" s="35">
        <v>33864</v>
      </c>
      <c r="C503" s="34">
        <v>1578.7</v>
      </c>
      <c r="D503" s="200"/>
    </row>
    <row r="504" spans="2:4" x14ac:dyDescent="0.35">
      <c r="B504" s="35">
        <v>33865</v>
      </c>
      <c r="C504" s="34">
        <v>1589.3</v>
      </c>
      <c r="D504" s="200"/>
    </row>
    <row r="505" spans="2:4" x14ac:dyDescent="0.35">
      <c r="B505" s="35">
        <v>33868</v>
      </c>
      <c r="C505" s="34">
        <v>1573.9</v>
      </c>
      <c r="D505" s="200"/>
    </row>
    <row r="506" spans="2:4" x14ac:dyDescent="0.35">
      <c r="B506" s="35">
        <v>33869</v>
      </c>
      <c r="C506" s="34">
        <v>1550.3</v>
      </c>
      <c r="D506" s="200"/>
    </row>
    <row r="507" spans="2:4" x14ac:dyDescent="0.35">
      <c r="B507" s="35">
        <v>33870</v>
      </c>
      <c r="C507" s="34">
        <v>1557.8</v>
      </c>
      <c r="D507" s="200"/>
    </row>
    <row r="508" spans="2:4" x14ac:dyDescent="0.35">
      <c r="B508" s="35">
        <v>33871</v>
      </c>
      <c r="C508" s="34">
        <v>1530.9</v>
      </c>
      <c r="D508" s="200"/>
    </row>
    <row r="509" spans="2:4" x14ac:dyDescent="0.35">
      <c r="B509" s="35">
        <v>33872</v>
      </c>
      <c r="C509" s="34">
        <v>1513.4</v>
      </c>
      <c r="D509" s="200"/>
    </row>
    <row r="510" spans="2:4" x14ac:dyDescent="0.35">
      <c r="B510" s="35">
        <v>33875</v>
      </c>
      <c r="C510" s="34">
        <v>1475</v>
      </c>
      <c r="D510" s="200"/>
    </row>
    <row r="511" spans="2:4" x14ac:dyDescent="0.35">
      <c r="B511" s="35">
        <v>33876</v>
      </c>
      <c r="C511" s="34">
        <v>1476.3</v>
      </c>
      <c r="D511" s="200"/>
    </row>
    <row r="512" spans="2:4" x14ac:dyDescent="0.35">
      <c r="B512" s="35">
        <v>33877</v>
      </c>
      <c r="C512" s="34">
        <v>1466.4</v>
      </c>
      <c r="D512" s="200"/>
    </row>
    <row r="513" spans="2:4" x14ac:dyDescent="0.35">
      <c r="B513" s="35">
        <v>33878</v>
      </c>
      <c r="C513" s="34">
        <v>1484</v>
      </c>
      <c r="D513" s="200"/>
    </row>
    <row r="514" spans="2:4" x14ac:dyDescent="0.35">
      <c r="B514" s="35">
        <v>33879</v>
      </c>
      <c r="C514" s="34">
        <v>1478</v>
      </c>
      <c r="D514" s="200"/>
    </row>
    <row r="515" spans="2:4" x14ac:dyDescent="0.35">
      <c r="B515" s="35">
        <v>33882</v>
      </c>
      <c r="C515" s="34">
        <v>1424.4</v>
      </c>
      <c r="D515" s="200"/>
    </row>
    <row r="516" spans="2:4" x14ac:dyDescent="0.35">
      <c r="B516" s="35">
        <v>33883</v>
      </c>
      <c r="C516" s="34">
        <v>1420.3</v>
      </c>
      <c r="D516" s="200"/>
    </row>
    <row r="517" spans="2:4" x14ac:dyDescent="0.35">
      <c r="B517" s="35">
        <v>33884</v>
      </c>
      <c r="C517" s="34">
        <v>1436.1</v>
      </c>
      <c r="D517" s="200"/>
    </row>
    <row r="518" spans="2:4" x14ac:dyDescent="0.35">
      <c r="B518" s="35">
        <v>33885</v>
      </c>
      <c r="C518" s="34">
        <v>1451.1</v>
      </c>
      <c r="D518" s="200"/>
    </row>
    <row r="519" spans="2:4" x14ac:dyDescent="0.35">
      <c r="B519" s="35">
        <v>33886</v>
      </c>
      <c r="C519" s="34">
        <v>1439.7</v>
      </c>
      <c r="D519" s="200"/>
    </row>
    <row r="520" spans="2:4" x14ac:dyDescent="0.35">
      <c r="B520" s="35">
        <v>33889</v>
      </c>
      <c r="C520" s="34">
        <v>1432.5</v>
      </c>
      <c r="D520" s="200"/>
    </row>
    <row r="521" spans="2:4" x14ac:dyDescent="0.35">
      <c r="B521" s="35">
        <v>33890</v>
      </c>
      <c r="C521" s="34">
        <v>1465.5</v>
      </c>
      <c r="D521" s="200"/>
    </row>
    <row r="522" spans="2:4" x14ac:dyDescent="0.35">
      <c r="B522" s="35">
        <v>33891</v>
      </c>
      <c r="C522" s="34">
        <v>1458.5</v>
      </c>
      <c r="D522" s="200"/>
    </row>
    <row r="523" spans="2:4" x14ac:dyDescent="0.35">
      <c r="B523" s="35">
        <v>33892</v>
      </c>
      <c r="C523" s="34">
        <v>1453.4</v>
      </c>
      <c r="D523" s="200"/>
    </row>
    <row r="524" spans="2:4" x14ac:dyDescent="0.35">
      <c r="B524" s="35">
        <v>33893</v>
      </c>
      <c r="C524" s="34">
        <v>1461.6</v>
      </c>
      <c r="D524" s="200"/>
    </row>
    <row r="525" spans="2:4" x14ac:dyDescent="0.35">
      <c r="B525" s="35">
        <v>33896</v>
      </c>
      <c r="C525" s="34">
        <v>1479.1</v>
      </c>
      <c r="D525" s="200"/>
    </row>
    <row r="526" spans="2:4" x14ac:dyDescent="0.35">
      <c r="B526" s="35">
        <v>33897</v>
      </c>
      <c r="C526" s="34">
        <v>1511.6</v>
      </c>
      <c r="D526" s="200"/>
    </row>
    <row r="527" spans="2:4" x14ac:dyDescent="0.35">
      <c r="B527" s="35">
        <v>33898</v>
      </c>
      <c r="C527" s="34">
        <v>1503.9</v>
      </c>
      <c r="D527" s="200"/>
    </row>
    <row r="528" spans="2:4" x14ac:dyDescent="0.35">
      <c r="B528" s="35">
        <v>33899</v>
      </c>
      <c r="C528" s="34">
        <v>1510.1</v>
      </c>
      <c r="D528" s="200"/>
    </row>
    <row r="529" spans="2:4" x14ac:dyDescent="0.35">
      <c r="B529" s="35">
        <v>33900</v>
      </c>
      <c r="C529" s="34">
        <v>1526.8</v>
      </c>
      <c r="D529" s="200"/>
    </row>
    <row r="530" spans="2:4" x14ac:dyDescent="0.35">
      <c r="B530" s="35">
        <v>33903</v>
      </c>
      <c r="C530" s="34">
        <v>1542.5</v>
      </c>
      <c r="D530" s="200"/>
    </row>
    <row r="531" spans="2:4" x14ac:dyDescent="0.35">
      <c r="B531" s="35">
        <v>33904</v>
      </c>
      <c r="C531" s="34">
        <v>1533.8</v>
      </c>
      <c r="D531" s="200"/>
    </row>
    <row r="532" spans="2:4" x14ac:dyDescent="0.35">
      <c r="B532" s="35">
        <v>33905</v>
      </c>
      <c r="C532" s="34">
        <v>1510.3</v>
      </c>
      <c r="D532" s="200"/>
    </row>
    <row r="533" spans="2:4" x14ac:dyDescent="0.35">
      <c r="B533" s="35">
        <v>33906</v>
      </c>
      <c r="C533" s="34">
        <v>1493.6</v>
      </c>
      <c r="D533" s="200"/>
    </row>
    <row r="534" spans="2:4" x14ac:dyDescent="0.35">
      <c r="B534" s="35">
        <v>33907</v>
      </c>
      <c r="C534" s="34">
        <v>1492.3</v>
      </c>
      <c r="D534" s="200"/>
    </row>
    <row r="535" spans="2:4" x14ac:dyDescent="0.35">
      <c r="B535" s="35">
        <v>33910</v>
      </c>
      <c r="C535" s="34">
        <v>1472.6</v>
      </c>
      <c r="D535" s="200"/>
    </row>
    <row r="536" spans="2:4" x14ac:dyDescent="0.35">
      <c r="B536" s="35">
        <v>33911</v>
      </c>
      <c r="C536" s="34">
        <v>1485</v>
      </c>
      <c r="D536" s="200"/>
    </row>
    <row r="537" spans="2:4" x14ac:dyDescent="0.35">
      <c r="B537" s="35">
        <v>33912</v>
      </c>
      <c r="C537" s="34">
        <v>1472.7</v>
      </c>
      <c r="D537" s="200"/>
    </row>
    <row r="538" spans="2:4" x14ac:dyDescent="0.35">
      <c r="B538" s="35">
        <v>33913</v>
      </c>
      <c r="C538" s="34">
        <v>1480.9</v>
      </c>
      <c r="D538" s="200"/>
    </row>
    <row r="539" spans="2:4" x14ac:dyDescent="0.35">
      <c r="B539" s="35">
        <v>33914</v>
      </c>
      <c r="C539" s="34">
        <v>1487.2</v>
      </c>
      <c r="D539" s="200"/>
    </row>
    <row r="540" spans="2:4" x14ac:dyDescent="0.35">
      <c r="B540" s="35">
        <v>33917</v>
      </c>
      <c r="C540" s="34">
        <v>1508.8</v>
      </c>
      <c r="D540" s="200"/>
    </row>
    <row r="541" spans="2:4" x14ac:dyDescent="0.35">
      <c r="B541" s="35">
        <v>33918</v>
      </c>
      <c r="C541" s="34">
        <v>1519.1</v>
      </c>
      <c r="D541" s="200"/>
    </row>
    <row r="542" spans="2:4" x14ac:dyDescent="0.35">
      <c r="B542" s="35">
        <v>33919</v>
      </c>
      <c r="C542" s="34">
        <v>1512.2</v>
      </c>
      <c r="D542" s="200"/>
    </row>
    <row r="543" spans="2:4" x14ac:dyDescent="0.35">
      <c r="B543" s="35">
        <v>33920</v>
      </c>
      <c r="C543" s="34">
        <v>1535.4</v>
      </c>
      <c r="D543" s="200"/>
    </row>
    <row r="544" spans="2:4" x14ac:dyDescent="0.35">
      <c r="B544" s="35">
        <v>33921</v>
      </c>
      <c r="C544" s="34">
        <v>1548.5</v>
      </c>
      <c r="D544" s="200"/>
    </row>
    <row r="545" spans="2:4" x14ac:dyDescent="0.35">
      <c r="B545" s="35">
        <v>33924</v>
      </c>
      <c r="C545" s="34">
        <v>1547</v>
      </c>
      <c r="D545" s="200"/>
    </row>
    <row r="546" spans="2:4" x14ac:dyDescent="0.35">
      <c r="B546" s="35">
        <v>33925</v>
      </c>
      <c r="C546" s="34">
        <v>1545.1</v>
      </c>
      <c r="D546" s="200"/>
    </row>
    <row r="547" spans="2:4" x14ac:dyDescent="0.35">
      <c r="B547" s="35">
        <v>33927</v>
      </c>
      <c r="C547" s="34">
        <v>1551.7</v>
      </c>
      <c r="D547" s="200"/>
    </row>
    <row r="548" spans="2:4" x14ac:dyDescent="0.35">
      <c r="B548" s="35">
        <v>33928</v>
      </c>
      <c r="C548" s="34">
        <v>1544.8</v>
      </c>
      <c r="D548" s="200"/>
    </row>
    <row r="549" spans="2:4" x14ac:dyDescent="0.35">
      <c r="B549" s="35">
        <v>33931</v>
      </c>
      <c r="C549" s="34">
        <v>1530.9</v>
      </c>
      <c r="D549" s="200"/>
    </row>
    <row r="550" spans="2:4" x14ac:dyDescent="0.35">
      <c r="B550" s="35">
        <v>33932</v>
      </c>
      <c r="C550" s="34">
        <v>1510.3</v>
      </c>
      <c r="D550" s="200"/>
    </row>
    <row r="551" spans="2:4" x14ac:dyDescent="0.35">
      <c r="B551" s="35">
        <v>33933</v>
      </c>
      <c r="C551" s="34">
        <v>1517.7</v>
      </c>
      <c r="D551" s="200"/>
    </row>
    <row r="552" spans="2:4" x14ac:dyDescent="0.35">
      <c r="B552" s="35">
        <v>33934</v>
      </c>
      <c r="C552" s="34">
        <v>1523.2</v>
      </c>
      <c r="D552" s="200"/>
    </row>
    <row r="553" spans="2:4" x14ac:dyDescent="0.35">
      <c r="B553" s="35">
        <v>33935</v>
      </c>
      <c r="C553" s="34">
        <v>1523</v>
      </c>
      <c r="D553" s="200"/>
    </row>
    <row r="554" spans="2:4" x14ac:dyDescent="0.35">
      <c r="B554" s="35">
        <v>33938</v>
      </c>
      <c r="C554" s="34">
        <v>1544.3</v>
      </c>
      <c r="D554" s="200"/>
    </row>
    <row r="555" spans="2:4" x14ac:dyDescent="0.35">
      <c r="B555" s="35">
        <v>33939</v>
      </c>
      <c r="C555" s="34">
        <v>1544.9</v>
      </c>
      <c r="D555" s="200"/>
    </row>
    <row r="556" spans="2:4" x14ac:dyDescent="0.35">
      <c r="B556" s="35">
        <v>33940</v>
      </c>
      <c r="C556" s="34">
        <v>1534</v>
      </c>
      <c r="D556" s="200"/>
    </row>
    <row r="557" spans="2:4" x14ac:dyDescent="0.35">
      <c r="B557" s="35">
        <v>33941</v>
      </c>
      <c r="C557" s="34">
        <v>1532.5</v>
      </c>
      <c r="D557" s="200"/>
    </row>
    <row r="558" spans="2:4" x14ac:dyDescent="0.35">
      <c r="B558" s="35">
        <v>33942</v>
      </c>
      <c r="C558" s="34">
        <v>1522.2</v>
      </c>
      <c r="D558" s="200"/>
    </row>
    <row r="559" spans="2:4" x14ac:dyDescent="0.35">
      <c r="B559" s="35">
        <v>33945</v>
      </c>
      <c r="C559" s="34">
        <v>1525.3</v>
      </c>
      <c r="D559" s="200"/>
    </row>
    <row r="560" spans="2:4" x14ac:dyDescent="0.35">
      <c r="B560" s="35">
        <v>33946</v>
      </c>
      <c r="C560" s="34">
        <v>1508.2</v>
      </c>
      <c r="D560" s="200"/>
    </row>
    <row r="561" spans="2:4" x14ac:dyDescent="0.35">
      <c r="B561" s="35">
        <v>33947</v>
      </c>
      <c r="C561" s="34">
        <v>1500.6</v>
      </c>
      <c r="D561" s="200"/>
    </row>
    <row r="562" spans="2:4" x14ac:dyDescent="0.35">
      <c r="B562" s="35">
        <v>33948</v>
      </c>
      <c r="C562" s="34">
        <v>1494.5</v>
      </c>
      <c r="D562" s="200"/>
    </row>
    <row r="563" spans="2:4" x14ac:dyDescent="0.35">
      <c r="B563" s="35">
        <v>33949</v>
      </c>
      <c r="C563" s="34">
        <v>1476</v>
      </c>
      <c r="D563" s="200"/>
    </row>
    <row r="564" spans="2:4" x14ac:dyDescent="0.35">
      <c r="B564" s="35">
        <v>33952</v>
      </c>
      <c r="C564" s="34">
        <v>1469.8</v>
      </c>
      <c r="D564" s="200"/>
    </row>
    <row r="565" spans="2:4" x14ac:dyDescent="0.35">
      <c r="B565" s="35">
        <v>33953</v>
      </c>
      <c r="C565" s="34">
        <v>1481.2</v>
      </c>
      <c r="D565" s="200"/>
    </row>
    <row r="566" spans="2:4" x14ac:dyDescent="0.35">
      <c r="B566" s="35">
        <v>33954</v>
      </c>
      <c r="C566" s="34">
        <v>1472.1</v>
      </c>
      <c r="D566" s="200"/>
    </row>
    <row r="567" spans="2:4" x14ac:dyDescent="0.35">
      <c r="B567" s="35">
        <v>33955</v>
      </c>
      <c r="C567" s="34">
        <v>1476.2</v>
      </c>
      <c r="D567" s="200"/>
    </row>
    <row r="568" spans="2:4" x14ac:dyDescent="0.35">
      <c r="B568" s="35">
        <v>33956</v>
      </c>
      <c r="C568" s="34">
        <v>1492</v>
      </c>
      <c r="D568" s="200"/>
    </row>
    <row r="569" spans="2:4" x14ac:dyDescent="0.35">
      <c r="B569" s="35">
        <v>33959</v>
      </c>
      <c r="C569" s="34">
        <v>1515.6</v>
      </c>
      <c r="D569" s="200"/>
    </row>
    <row r="570" spans="2:4" x14ac:dyDescent="0.35">
      <c r="B570" s="35">
        <v>33960</v>
      </c>
      <c r="C570" s="34">
        <v>1523.6</v>
      </c>
      <c r="D570" s="200"/>
    </row>
    <row r="571" spans="2:4" x14ac:dyDescent="0.35">
      <c r="B571" s="35">
        <v>33961</v>
      </c>
      <c r="C571" s="34">
        <v>1527</v>
      </c>
      <c r="D571" s="200"/>
    </row>
    <row r="572" spans="2:4" x14ac:dyDescent="0.35">
      <c r="B572" s="35">
        <v>33966</v>
      </c>
      <c r="C572" s="34">
        <v>1544.6</v>
      </c>
      <c r="D572" s="200"/>
    </row>
    <row r="573" spans="2:4" x14ac:dyDescent="0.35">
      <c r="B573" s="35">
        <v>33967</v>
      </c>
      <c r="C573" s="34">
        <v>1542.2</v>
      </c>
      <c r="D573" s="200"/>
    </row>
    <row r="574" spans="2:4" x14ac:dyDescent="0.35">
      <c r="B574" s="35">
        <v>33968</v>
      </c>
      <c r="C574" s="34">
        <v>1545.1</v>
      </c>
      <c r="D574" s="200"/>
    </row>
    <row r="575" spans="2:4" x14ac:dyDescent="0.35">
      <c r="B575" s="35">
        <v>33973</v>
      </c>
      <c r="C575" s="34">
        <v>1531.3</v>
      </c>
      <c r="D575" s="200"/>
    </row>
    <row r="576" spans="2:4" x14ac:dyDescent="0.35">
      <c r="B576" s="35">
        <v>33974</v>
      </c>
      <c r="C576" s="34">
        <v>1556.4</v>
      </c>
      <c r="D576" s="200"/>
    </row>
    <row r="577" spans="2:4" x14ac:dyDescent="0.35">
      <c r="B577" s="35">
        <v>33975</v>
      </c>
      <c r="C577" s="34">
        <v>1556.4</v>
      </c>
      <c r="D577" s="200"/>
    </row>
    <row r="578" spans="2:4" x14ac:dyDescent="0.35">
      <c r="B578" s="35">
        <v>33976</v>
      </c>
      <c r="C578" s="34">
        <v>1542.5</v>
      </c>
      <c r="D578" s="200"/>
    </row>
    <row r="579" spans="2:4" x14ac:dyDescent="0.35">
      <c r="B579" s="35">
        <v>33977</v>
      </c>
      <c r="C579" s="34">
        <v>1531.5</v>
      </c>
      <c r="D579" s="200"/>
    </row>
    <row r="580" spans="2:4" x14ac:dyDescent="0.35">
      <c r="B580" s="35">
        <v>33980</v>
      </c>
      <c r="C580" s="34">
        <v>1532</v>
      </c>
      <c r="D580" s="200"/>
    </row>
    <row r="581" spans="2:4" x14ac:dyDescent="0.35">
      <c r="B581" s="35">
        <v>33981</v>
      </c>
      <c r="C581" s="34">
        <v>1530.2</v>
      </c>
      <c r="D581" s="200"/>
    </row>
    <row r="582" spans="2:4" x14ac:dyDescent="0.35">
      <c r="B582" s="35">
        <v>33982</v>
      </c>
      <c r="C582" s="34">
        <v>1516.5</v>
      </c>
      <c r="D582" s="200"/>
    </row>
    <row r="583" spans="2:4" x14ac:dyDescent="0.35">
      <c r="B583" s="35">
        <v>33983</v>
      </c>
      <c r="C583" s="34">
        <v>1523.7</v>
      </c>
      <c r="D583" s="200"/>
    </row>
    <row r="584" spans="2:4" x14ac:dyDescent="0.35">
      <c r="B584" s="35">
        <v>33984</v>
      </c>
      <c r="C584" s="34">
        <v>1544.6</v>
      </c>
      <c r="D584" s="200"/>
    </row>
    <row r="585" spans="2:4" x14ac:dyDescent="0.35">
      <c r="B585" s="35">
        <v>33987</v>
      </c>
      <c r="C585" s="34">
        <v>1573.1</v>
      </c>
      <c r="D585" s="200"/>
    </row>
    <row r="586" spans="2:4" x14ac:dyDescent="0.35">
      <c r="B586" s="35">
        <v>33988</v>
      </c>
      <c r="C586" s="34">
        <v>1578.8</v>
      </c>
      <c r="D586" s="200"/>
    </row>
    <row r="587" spans="2:4" x14ac:dyDescent="0.35">
      <c r="B587" s="35">
        <v>33989</v>
      </c>
      <c r="C587" s="34">
        <v>1574.9</v>
      </c>
      <c r="D587" s="200"/>
    </row>
    <row r="588" spans="2:4" x14ac:dyDescent="0.35">
      <c r="B588" s="35">
        <v>33990</v>
      </c>
      <c r="C588" s="34">
        <v>1573.7</v>
      </c>
      <c r="D588" s="200"/>
    </row>
    <row r="589" spans="2:4" x14ac:dyDescent="0.35">
      <c r="B589" s="35">
        <v>33991</v>
      </c>
      <c r="C589" s="34">
        <v>1587.6</v>
      </c>
      <c r="D589" s="200"/>
    </row>
    <row r="590" spans="2:4" x14ac:dyDescent="0.35">
      <c r="B590" s="35">
        <v>33994</v>
      </c>
      <c r="C590" s="34">
        <v>1569.2</v>
      </c>
      <c r="D590" s="200"/>
    </row>
    <row r="591" spans="2:4" x14ac:dyDescent="0.35">
      <c r="B591" s="35">
        <v>33995</v>
      </c>
      <c r="C591" s="34">
        <v>1576.2</v>
      </c>
      <c r="D591" s="200"/>
    </row>
    <row r="592" spans="2:4" x14ac:dyDescent="0.35">
      <c r="B592" s="35">
        <v>33996</v>
      </c>
      <c r="C592" s="34">
        <v>1562.3</v>
      </c>
      <c r="D592" s="200"/>
    </row>
    <row r="593" spans="2:4" x14ac:dyDescent="0.35">
      <c r="B593" s="35">
        <v>33997</v>
      </c>
      <c r="C593" s="34">
        <v>1567.8</v>
      </c>
      <c r="D593" s="200"/>
    </row>
    <row r="594" spans="2:4" x14ac:dyDescent="0.35">
      <c r="B594" s="35">
        <v>33998</v>
      </c>
      <c r="C594" s="34">
        <v>1571.9</v>
      </c>
      <c r="D594" s="200"/>
    </row>
    <row r="595" spans="2:4" x14ac:dyDescent="0.35">
      <c r="B595" s="35">
        <v>34001</v>
      </c>
      <c r="C595" s="34">
        <v>1585.2</v>
      </c>
      <c r="D595" s="200"/>
    </row>
    <row r="596" spans="2:4" x14ac:dyDescent="0.35">
      <c r="B596" s="35">
        <v>34002</v>
      </c>
      <c r="C596" s="34">
        <v>1583.1</v>
      </c>
      <c r="D596" s="200"/>
    </row>
    <row r="597" spans="2:4" x14ac:dyDescent="0.35">
      <c r="B597" s="35">
        <v>34003</v>
      </c>
      <c r="C597" s="34">
        <v>1601.5</v>
      </c>
      <c r="D597" s="200"/>
    </row>
    <row r="598" spans="2:4" x14ac:dyDescent="0.35">
      <c r="B598" s="35">
        <v>34004</v>
      </c>
      <c r="C598" s="34">
        <v>1601.6</v>
      </c>
      <c r="D598" s="200"/>
    </row>
    <row r="599" spans="2:4" x14ac:dyDescent="0.35">
      <c r="B599" s="35">
        <v>34005</v>
      </c>
      <c r="C599" s="34">
        <v>1641.4</v>
      </c>
      <c r="D599" s="200"/>
    </row>
    <row r="600" spans="2:4" x14ac:dyDescent="0.35">
      <c r="B600" s="35">
        <v>34008</v>
      </c>
      <c r="C600" s="34">
        <v>1647.2</v>
      </c>
      <c r="D600" s="200"/>
    </row>
    <row r="601" spans="2:4" x14ac:dyDescent="0.35">
      <c r="B601" s="35">
        <v>34009</v>
      </c>
      <c r="C601" s="34">
        <v>1641.6</v>
      </c>
      <c r="D601" s="200"/>
    </row>
    <row r="602" spans="2:4" x14ac:dyDescent="0.35">
      <c r="B602" s="35">
        <v>34010</v>
      </c>
      <c r="C602" s="34">
        <v>1649.8</v>
      </c>
      <c r="D602" s="200"/>
    </row>
    <row r="603" spans="2:4" x14ac:dyDescent="0.35">
      <c r="B603" s="35">
        <v>34011</v>
      </c>
      <c r="C603" s="34">
        <v>1651.1</v>
      </c>
      <c r="D603" s="200"/>
    </row>
    <row r="604" spans="2:4" x14ac:dyDescent="0.35">
      <c r="B604" s="35">
        <v>34012</v>
      </c>
      <c r="C604" s="34">
        <v>1661.4</v>
      </c>
      <c r="D604" s="200"/>
    </row>
    <row r="605" spans="2:4" x14ac:dyDescent="0.35">
      <c r="B605" s="35">
        <v>34015</v>
      </c>
      <c r="C605" s="34">
        <v>1664.7</v>
      </c>
      <c r="D605" s="200"/>
    </row>
    <row r="606" spans="2:4" x14ac:dyDescent="0.35">
      <c r="B606" s="35">
        <v>34016</v>
      </c>
      <c r="C606" s="34">
        <v>1664.2</v>
      </c>
      <c r="D606" s="200"/>
    </row>
    <row r="607" spans="2:4" x14ac:dyDescent="0.35">
      <c r="B607" s="35">
        <v>34017</v>
      </c>
      <c r="C607" s="34">
        <v>1653.3</v>
      </c>
      <c r="D607" s="200"/>
    </row>
    <row r="608" spans="2:4" x14ac:dyDescent="0.35">
      <c r="B608" s="35">
        <v>34018</v>
      </c>
      <c r="C608" s="34">
        <v>1672.3</v>
      </c>
      <c r="D608" s="200"/>
    </row>
    <row r="609" spans="2:4" x14ac:dyDescent="0.35">
      <c r="B609" s="35">
        <v>34019</v>
      </c>
      <c r="C609" s="34">
        <v>1677.4</v>
      </c>
      <c r="D609" s="200"/>
    </row>
    <row r="610" spans="2:4" x14ac:dyDescent="0.35">
      <c r="B610" s="35">
        <v>34022</v>
      </c>
      <c r="C610" s="34">
        <v>1680.7</v>
      </c>
      <c r="D610" s="200"/>
    </row>
    <row r="611" spans="2:4" x14ac:dyDescent="0.35">
      <c r="B611" s="35">
        <v>34023</v>
      </c>
      <c r="C611" s="34">
        <v>1661.6</v>
      </c>
      <c r="D611" s="200"/>
    </row>
    <row r="612" spans="2:4" x14ac:dyDescent="0.35">
      <c r="B612" s="35">
        <v>34024</v>
      </c>
      <c r="C612" s="34">
        <v>1644.2</v>
      </c>
      <c r="D612" s="200"/>
    </row>
    <row r="613" spans="2:4" x14ac:dyDescent="0.35">
      <c r="B613" s="35">
        <v>34025</v>
      </c>
      <c r="C613" s="34">
        <v>1658.9</v>
      </c>
      <c r="D613" s="200"/>
    </row>
    <row r="614" spans="2:4" x14ac:dyDescent="0.35">
      <c r="B614" s="35">
        <v>34026</v>
      </c>
      <c r="C614" s="34">
        <v>1684.4</v>
      </c>
      <c r="D614" s="200"/>
    </row>
    <row r="615" spans="2:4" x14ac:dyDescent="0.35">
      <c r="B615" s="35">
        <v>34029</v>
      </c>
      <c r="C615" s="34">
        <v>1701</v>
      </c>
      <c r="D615" s="200"/>
    </row>
    <row r="616" spans="2:4" x14ac:dyDescent="0.35">
      <c r="B616" s="35">
        <v>34030</v>
      </c>
      <c r="C616" s="34">
        <v>1696.7</v>
      </c>
      <c r="D616" s="200"/>
    </row>
    <row r="617" spans="2:4" x14ac:dyDescent="0.35">
      <c r="B617" s="35">
        <v>34031</v>
      </c>
      <c r="C617" s="34">
        <v>1693.7</v>
      </c>
      <c r="D617" s="200"/>
    </row>
    <row r="618" spans="2:4" x14ac:dyDescent="0.35">
      <c r="B618" s="35">
        <v>34032</v>
      </c>
      <c r="C618" s="34">
        <v>1687.4</v>
      </c>
      <c r="D618" s="200"/>
    </row>
    <row r="619" spans="2:4" x14ac:dyDescent="0.35">
      <c r="B619" s="35">
        <v>34033</v>
      </c>
      <c r="C619" s="34">
        <v>1682.8</v>
      </c>
      <c r="D619" s="200"/>
    </row>
    <row r="620" spans="2:4" x14ac:dyDescent="0.35">
      <c r="B620" s="35">
        <v>34036</v>
      </c>
      <c r="C620" s="34">
        <v>1694.8</v>
      </c>
      <c r="D620" s="200"/>
    </row>
    <row r="621" spans="2:4" x14ac:dyDescent="0.35">
      <c r="B621" s="35">
        <v>34037</v>
      </c>
      <c r="C621" s="34">
        <v>1713.1</v>
      </c>
      <c r="D621" s="200"/>
    </row>
    <row r="622" spans="2:4" x14ac:dyDescent="0.35">
      <c r="B622" s="35">
        <v>34038</v>
      </c>
      <c r="C622" s="34">
        <v>1709.7</v>
      </c>
      <c r="D622" s="200"/>
    </row>
    <row r="623" spans="2:4" x14ac:dyDescent="0.35">
      <c r="B623" s="35">
        <v>34039</v>
      </c>
      <c r="C623" s="34">
        <v>1717.4</v>
      </c>
      <c r="D623" s="200"/>
    </row>
    <row r="624" spans="2:4" x14ac:dyDescent="0.35">
      <c r="B624" s="35">
        <v>34040</v>
      </c>
      <c r="C624" s="34">
        <v>1707.1</v>
      </c>
      <c r="D624" s="200"/>
    </row>
    <row r="625" spans="2:4" x14ac:dyDescent="0.35">
      <c r="B625" s="35">
        <v>34043</v>
      </c>
      <c r="C625" s="34">
        <v>1702.6</v>
      </c>
      <c r="D625" s="200"/>
    </row>
    <row r="626" spans="2:4" x14ac:dyDescent="0.35">
      <c r="B626" s="35">
        <v>34044</v>
      </c>
      <c r="C626" s="34">
        <v>1697.8</v>
      </c>
      <c r="D626" s="200"/>
    </row>
    <row r="627" spans="2:4" x14ac:dyDescent="0.35">
      <c r="B627" s="35">
        <v>34045</v>
      </c>
      <c r="C627" s="34">
        <v>1685.1</v>
      </c>
      <c r="D627" s="200"/>
    </row>
    <row r="628" spans="2:4" x14ac:dyDescent="0.35">
      <c r="B628" s="35">
        <v>34046</v>
      </c>
      <c r="C628" s="34">
        <v>1696.2</v>
      </c>
      <c r="D628" s="200"/>
    </row>
    <row r="629" spans="2:4" x14ac:dyDescent="0.35">
      <c r="B629" s="35">
        <v>34047</v>
      </c>
      <c r="C629" s="34">
        <v>1698.8</v>
      </c>
      <c r="D629" s="200"/>
    </row>
    <row r="630" spans="2:4" x14ac:dyDescent="0.35">
      <c r="B630" s="35">
        <v>34050</v>
      </c>
      <c r="C630" s="34">
        <v>1661.4</v>
      </c>
      <c r="D630" s="200"/>
    </row>
    <row r="631" spans="2:4" x14ac:dyDescent="0.35">
      <c r="B631" s="35">
        <v>34051</v>
      </c>
      <c r="C631" s="34">
        <v>1648.4</v>
      </c>
      <c r="D631" s="200"/>
    </row>
    <row r="632" spans="2:4" x14ac:dyDescent="0.35">
      <c r="B632" s="35">
        <v>34052</v>
      </c>
      <c r="C632" s="34">
        <v>1659.5</v>
      </c>
      <c r="D632" s="200"/>
    </row>
    <row r="633" spans="2:4" x14ac:dyDescent="0.35">
      <c r="B633" s="35">
        <v>34053</v>
      </c>
      <c r="C633" s="34">
        <v>1657.2</v>
      </c>
      <c r="D633" s="200"/>
    </row>
    <row r="634" spans="2:4" x14ac:dyDescent="0.35">
      <c r="B634" s="35">
        <v>34054</v>
      </c>
      <c r="C634" s="34">
        <v>1661.3</v>
      </c>
      <c r="D634" s="200"/>
    </row>
    <row r="635" spans="2:4" x14ac:dyDescent="0.35">
      <c r="B635" s="35">
        <v>34057</v>
      </c>
      <c r="C635" s="34">
        <v>1674.9</v>
      </c>
      <c r="D635" s="200"/>
    </row>
    <row r="636" spans="2:4" x14ac:dyDescent="0.35">
      <c r="B636" s="35">
        <v>34058</v>
      </c>
      <c r="C636" s="34">
        <v>1685.1</v>
      </c>
      <c r="D636" s="200"/>
    </row>
    <row r="637" spans="2:4" x14ac:dyDescent="0.35">
      <c r="B637" s="35">
        <v>34059</v>
      </c>
      <c r="C637" s="34">
        <v>1684.2</v>
      </c>
      <c r="D637" s="200"/>
    </row>
    <row r="638" spans="2:4" x14ac:dyDescent="0.35">
      <c r="B638" s="35">
        <v>34060</v>
      </c>
      <c r="C638" s="34">
        <v>1671.5</v>
      </c>
      <c r="D638" s="200"/>
    </row>
    <row r="639" spans="2:4" x14ac:dyDescent="0.35">
      <c r="B639" s="35">
        <v>34061</v>
      </c>
      <c r="C639" s="34">
        <v>1661.8</v>
      </c>
      <c r="D639" s="200"/>
    </row>
    <row r="640" spans="2:4" x14ac:dyDescent="0.35">
      <c r="B640" s="35">
        <v>34064</v>
      </c>
      <c r="C640" s="34">
        <v>1658.7</v>
      </c>
      <c r="D640" s="200"/>
    </row>
    <row r="641" spans="2:4" x14ac:dyDescent="0.35">
      <c r="B641" s="35">
        <v>34065</v>
      </c>
      <c r="C641" s="34">
        <v>1665.4</v>
      </c>
      <c r="D641" s="200"/>
    </row>
    <row r="642" spans="2:4" x14ac:dyDescent="0.35">
      <c r="B642" s="35">
        <v>34066</v>
      </c>
      <c r="C642" s="34">
        <v>1650.3</v>
      </c>
      <c r="D642" s="200"/>
    </row>
    <row r="643" spans="2:4" x14ac:dyDescent="0.35">
      <c r="B643" s="35">
        <v>34067</v>
      </c>
      <c r="C643" s="34">
        <v>1655.7</v>
      </c>
      <c r="D643" s="200"/>
    </row>
    <row r="644" spans="2:4" x14ac:dyDescent="0.35">
      <c r="B644" s="35">
        <v>34072</v>
      </c>
      <c r="C644" s="34">
        <v>1671.1</v>
      </c>
      <c r="D644" s="200"/>
    </row>
    <row r="645" spans="2:4" x14ac:dyDescent="0.35">
      <c r="B645" s="35">
        <v>34073</v>
      </c>
      <c r="C645" s="34">
        <v>1672.4</v>
      </c>
      <c r="D645" s="200"/>
    </row>
    <row r="646" spans="2:4" x14ac:dyDescent="0.35">
      <c r="B646" s="35">
        <v>34074</v>
      </c>
      <c r="C646" s="34">
        <v>1675.2</v>
      </c>
      <c r="D646" s="200"/>
    </row>
    <row r="647" spans="2:4" x14ac:dyDescent="0.35">
      <c r="B647" s="35">
        <v>34075</v>
      </c>
      <c r="C647" s="34">
        <v>1678.9</v>
      </c>
      <c r="D647" s="200"/>
    </row>
    <row r="648" spans="2:4" x14ac:dyDescent="0.35">
      <c r="B648" s="35">
        <v>34078</v>
      </c>
      <c r="C648" s="34">
        <v>1693.3</v>
      </c>
      <c r="D648" s="200"/>
    </row>
    <row r="649" spans="2:4" x14ac:dyDescent="0.35">
      <c r="B649" s="35">
        <v>34079</v>
      </c>
      <c r="C649" s="34">
        <v>1687.1</v>
      </c>
      <c r="D649" s="200"/>
    </row>
    <row r="650" spans="2:4" x14ac:dyDescent="0.35">
      <c r="B650" s="35">
        <v>34080</v>
      </c>
      <c r="C650" s="34">
        <v>1666.9</v>
      </c>
      <c r="D650" s="200"/>
    </row>
    <row r="651" spans="2:4" x14ac:dyDescent="0.35">
      <c r="B651" s="35">
        <v>34081</v>
      </c>
      <c r="C651" s="34">
        <v>1666.7</v>
      </c>
      <c r="D651" s="200"/>
    </row>
    <row r="652" spans="2:4" x14ac:dyDescent="0.35">
      <c r="B652" s="35">
        <v>34082</v>
      </c>
      <c r="C652" s="34">
        <v>1657.1</v>
      </c>
      <c r="D652" s="200"/>
    </row>
    <row r="653" spans="2:4" x14ac:dyDescent="0.35">
      <c r="B653" s="35">
        <v>34085</v>
      </c>
      <c r="C653" s="34">
        <v>1649.8</v>
      </c>
      <c r="D653" s="200"/>
    </row>
    <row r="654" spans="2:4" x14ac:dyDescent="0.35">
      <c r="B654" s="35">
        <v>34086</v>
      </c>
      <c r="C654" s="34">
        <v>1640.8</v>
      </c>
      <c r="D654" s="200"/>
    </row>
    <row r="655" spans="2:4" x14ac:dyDescent="0.35">
      <c r="B655" s="35">
        <v>34087</v>
      </c>
      <c r="C655" s="34">
        <v>1628.9</v>
      </c>
      <c r="D655" s="200"/>
    </row>
    <row r="656" spans="2:4" x14ac:dyDescent="0.35">
      <c r="B656" s="35">
        <v>34088</v>
      </c>
      <c r="C656" s="34">
        <v>1623.9</v>
      </c>
      <c r="D656" s="200"/>
    </row>
    <row r="657" spans="2:4" x14ac:dyDescent="0.35">
      <c r="B657" s="35">
        <v>34089</v>
      </c>
      <c r="C657" s="34">
        <v>1627.2</v>
      </c>
      <c r="D657" s="200"/>
    </row>
    <row r="658" spans="2:4" x14ac:dyDescent="0.35">
      <c r="B658" s="35">
        <v>34092</v>
      </c>
      <c r="C658" s="34">
        <v>1629.2</v>
      </c>
      <c r="D658" s="200"/>
    </row>
    <row r="659" spans="2:4" x14ac:dyDescent="0.35">
      <c r="B659" s="35">
        <v>34093</v>
      </c>
      <c r="C659" s="34">
        <v>1627.4</v>
      </c>
      <c r="D659" s="200"/>
    </row>
    <row r="660" spans="2:4" x14ac:dyDescent="0.35">
      <c r="B660" s="35">
        <v>34094</v>
      </c>
      <c r="C660" s="34">
        <v>1623.2</v>
      </c>
      <c r="D660" s="200"/>
    </row>
    <row r="661" spans="2:4" x14ac:dyDescent="0.35">
      <c r="B661" s="35">
        <v>34095</v>
      </c>
      <c r="C661" s="34">
        <v>1623.3</v>
      </c>
      <c r="D661" s="200"/>
    </row>
    <row r="662" spans="2:4" x14ac:dyDescent="0.35">
      <c r="B662" s="35">
        <v>34096</v>
      </c>
      <c r="C662" s="34">
        <v>1611.9</v>
      </c>
      <c r="D662" s="200"/>
    </row>
    <row r="663" spans="2:4" x14ac:dyDescent="0.35">
      <c r="B663" s="35">
        <v>34099</v>
      </c>
      <c r="C663" s="34">
        <v>1609</v>
      </c>
      <c r="D663" s="200"/>
    </row>
    <row r="664" spans="2:4" x14ac:dyDescent="0.35">
      <c r="B664" s="35">
        <v>34100</v>
      </c>
      <c r="C664" s="34">
        <v>1616.2</v>
      </c>
      <c r="D664" s="200"/>
    </row>
    <row r="665" spans="2:4" x14ac:dyDescent="0.35">
      <c r="B665" s="35">
        <v>34101</v>
      </c>
      <c r="C665" s="34">
        <v>1629.5</v>
      </c>
      <c r="D665" s="200"/>
    </row>
    <row r="666" spans="2:4" x14ac:dyDescent="0.35">
      <c r="B666" s="35">
        <v>34102</v>
      </c>
      <c r="C666" s="34">
        <v>1639.8</v>
      </c>
      <c r="D666" s="200"/>
    </row>
    <row r="667" spans="2:4" x14ac:dyDescent="0.35">
      <c r="B667" s="35">
        <v>34103</v>
      </c>
      <c r="C667" s="34">
        <v>1634.5</v>
      </c>
      <c r="D667" s="200"/>
    </row>
    <row r="668" spans="2:4" x14ac:dyDescent="0.35">
      <c r="B668" s="35">
        <v>34106</v>
      </c>
      <c r="C668" s="34">
        <v>1627.9</v>
      </c>
      <c r="D668" s="200"/>
    </row>
    <row r="669" spans="2:4" x14ac:dyDescent="0.35">
      <c r="B669" s="35">
        <v>34107</v>
      </c>
      <c r="C669" s="34">
        <v>1628.5</v>
      </c>
      <c r="D669" s="200"/>
    </row>
    <row r="670" spans="2:4" x14ac:dyDescent="0.35">
      <c r="B670" s="35">
        <v>34108</v>
      </c>
      <c r="C670" s="34">
        <v>1617.4</v>
      </c>
      <c r="D670" s="200"/>
    </row>
    <row r="671" spans="2:4" x14ac:dyDescent="0.35">
      <c r="B671" s="35">
        <v>34110</v>
      </c>
      <c r="C671" s="34">
        <v>1610.6</v>
      </c>
      <c r="D671" s="200"/>
    </row>
    <row r="672" spans="2:4" x14ac:dyDescent="0.35">
      <c r="B672" s="35">
        <v>34113</v>
      </c>
      <c r="C672" s="34">
        <v>1603.1</v>
      </c>
      <c r="D672" s="200"/>
    </row>
    <row r="673" spans="2:4" x14ac:dyDescent="0.35">
      <c r="B673" s="35">
        <v>34114</v>
      </c>
      <c r="C673" s="34">
        <v>1618.2</v>
      </c>
      <c r="D673" s="200"/>
    </row>
    <row r="674" spans="2:4" x14ac:dyDescent="0.35">
      <c r="B674" s="35">
        <v>34115</v>
      </c>
      <c r="C674" s="34">
        <v>1622</v>
      </c>
      <c r="D674" s="200"/>
    </row>
    <row r="675" spans="2:4" x14ac:dyDescent="0.35">
      <c r="B675" s="35">
        <v>34116</v>
      </c>
      <c r="C675" s="34">
        <v>1634.5</v>
      </c>
      <c r="D675" s="200"/>
    </row>
    <row r="676" spans="2:4" x14ac:dyDescent="0.35">
      <c r="B676" s="35">
        <v>34117</v>
      </c>
      <c r="C676" s="34">
        <v>1631.9</v>
      </c>
      <c r="D676" s="200"/>
    </row>
    <row r="677" spans="2:4" x14ac:dyDescent="0.35">
      <c r="B677" s="35">
        <v>34121</v>
      </c>
      <c r="C677" s="34">
        <v>1619.9</v>
      </c>
      <c r="D677" s="200"/>
    </row>
    <row r="678" spans="2:4" x14ac:dyDescent="0.35">
      <c r="B678" s="35">
        <v>34122</v>
      </c>
      <c r="C678" s="34">
        <v>1625.2</v>
      </c>
      <c r="D678" s="200"/>
    </row>
    <row r="679" spans="2:4" x14ac:dyDescent="0.35">
      <c r="B679" s="35">
        <v>34123</v>
      </c>
      <c r="C679" s="34">
        <v>1629.6</v>
      </c>
      <c r="D679" s="200"/>
    </row>
    <row r="680" spans="2:4" x14ac:dyDescent="0.35">
      <c r="B680" s="35">
        <v>34124</v>
      </c>
      <c r="C680" s="34">
        <v>1637.9</v>
      </c>
      <c r="D680" s="200"/>
    </row>
    <row r="681" spans="2:4" x14ac:dyDescent="0.35">
      <c r="B681" s="35">
        <v>34127</v>
      </c>
      <c r="C681" s="34">
        <v>1655.6</v>
      </c>
      <c r="D681" s="200"/>
    </row>
    <row r="682" spans="2:4" x14ac:dyDescent="0.35">
      <c r="B682" s="35">
        <v>34128</v>
      </c>
      <c r="C682" s="34">
        <v>1661.6</v>
      </c>
      <c r="D682" s="200"/>
    </row>
    <row r="683" spans="2:4" x14ac:dyDescent="0.35">
      <c r="B683" s="35">
        <v>34129</v>
      </c>
      <c r="C683" s="34">
        <v>1673.1</v>
      </c>
      <c r="D683" s="200"/>
    </row>
    <row r="684" spans="2:4" x14ac:dyDescent="0.35">
      <c r="B684" s="35">
        <v>34131</v>
      </c>
      <c r="C684" s="34">
        <v>1681</v>
      </c>
      <c r="D684" s="200"/>
    </row>
    <row r="685" spans="2:4" x14ac:dyDescent="0.35">
      <c r="B685" s="35">
        <v>34134</v>
      </c>
      <c r="C685" s="34">
        <v>1692</v>
      </c>
      <c r="D685" s="200"/>
    </row>
    <row r="686" spans="2:4" x14ac:dyDescent="0.35">
      <c r="B686" s="35">
        <v>34135</v>
      </c>
      <c r="C686" s="34">
        <v>1684.1</v>
      </c>
      <c r="D686" s="200"/>
    </row>
    <row r="687" spans="2:4" x14ac:dyDescent="0.35">
      <c r="B687" s="35">
        <v>34136</v>
      </c>
      <c r="C687" s="34">
        <v>1689.6</v>
      </c>
      <c r="D687" s="200"/>
    </row>
    <row r="688" spans="2:4" x14ac:dyDescent="0.35">
      <c r="B688" s="35">
        <v>34137</v>
      </c>
      <c r="C688" s="34">
        <v>1692.3</v>
      </c>
      <c r="D688" s="200"/>
    </row>
    <row r="689" spans="2:4" x14ac:dyDescent="0.35">
      <c r="B689" s="35">
        <v>34138</v>
      </c>
      <c r="C689" s="34">
        <v>1686.9</v>
      </c>
      <c r="D689" s="200"/>
    </row>
    <row r="690" spans="2:4" x14ac:dyDescent="0.35">
      <c r="B690" s="35">
        <v>34141</v>
      </c>
      <c r="C690" s="34">
        <v>1689.8</v>
      </c>
      <c r="D690" s="200"/>
    </row>
    <row r="691" spans="2:4" x14ac:dyDescent="0.35">
      <c r="B691" s="35">
        <v>34142</v>
      </c>
      <c r="C691" s="34">
        <v>1698.1</v>
      </c>
      <c r="D691" s="200"/>
    </row>
    <row r="692" spans="2:4" x14ac:dyDescent="0.35">
      <c r="B692" s="35">
        <v>34143</v>
      </c>
      <c r="C692" s="34">
        <v>1699.4</v>
      </c>
      <c r="D692" s="200"/>
    </row>
    <row r="693" spans="2:4" x14ac:dyDescent="0.35">
      <c r="B693" s="35">
        <v>34144</v>
      </c>
      <c r="C693" s="34">
        <v>1686.3</v>
      </c>
      <c r="D693" s="200"/>
    </row>
    <row r="694" spans="2:4" x14ac:dyDescent="0.35">
      <c r="B694" s="35">
        <v>34145</v>
      </c>
      <c r="C694" s="34">
        <v>1695.2</v>
      </c>
      <c r="D694" s="200"/>
    </row>
    <row r="695" spans="2:4" x14ac:dyDescent="0.35">
      <c r="B695" s="35">
        <v>34148</v>
      </c>
      <c r="C695" s="34">
        <v>1707.2</v>
      </c>
      <c r="D695" s="200"/>
    </row>
    <row r="696" spans="2:4" x14ac:dyDescent="0.35">
      <c r="B696" s="35">
        <v>34149</v>
      </c>
      <c r="C696" s="34">
        <v>1708.3</v>
      </c>
      <c r="D696" s="200"/>
    </row>
    <row r="697" spans="2:4" x14ac:dyDescent="0.35">
      <c r="B697" s="35">
        <v>34150</v>
      </c>
      <c r="C697" s="34">
        <v>1697.6</v>
      </c>
      <c r="D697" s="200"/>
    </row>
    <row r="698" spans="2:4" x14ac:dyDescent="0.35">
      <c r="B698" s="35">
        <v>34151</v>
      </c>
      <c r="C698" s="34">
        <v>1706.6</v>
      </c>
      <c r="D698" s="200"/>
    </row>
    <row r="699" spans="2:4" x14ac:dyDescent="0.35">
      <c r="B699" s="35">
        <v>34152</v>
      </c>
      <c r="C699" s="34">
        <v>1697.8</v>
      </c>
      <c r="D699" s="200"/>
    </row>
    <row r="700" spans="2:4" x14ac:dyDescent="0.35">
      <c r="B700" s="35">
        <v>34155</v>
      </c>
      <c r="C700" s="34">
        <v>1692.2</v>
      </c>
      <c r="D700" s="200"/>
    </row>
    <row r="701" spans="2:4" x14ac:dyDescent="0.35">
      <c r="B701" s="35">
        <v>34156</v>
      </c>
      <c r="C701" s="34">
        <v>1700.9</v>
      </c>
      <c r="D701" s="200"/>
    </row>
    <row r="702" spans="2:4" x14ac:dyDescent="0.35">
      <c r="B702" s="35">
        <v>34157</v>
      </c>
      <c r="C702" s="34">
        <v>1719.8</v>
      </c>
      <c r="D702" s="200"/>
    </row>
    <row r="703" spans="2:4" x14ac:dyDescent="0.35">
      <c r="B703" s="35">
        <v>34158</v>
      </c>
      <c r="C703" s="34">
        <v>1783.7</v>
      </c>
      <c r="D703" s="200"/>
    </row>
    <row r="704" spans="2:4" x14ac:dyDescent="0.35">
      <c r="B704" s="35">
        <v>34159</v>
      </c>
      <c r="C704" s="34">
        <v>1797.4</v>
      </c>
      <c r="D704" s="200"/>
    </row>
    <row r="705" spans="2:4" x14ac:dyDescent="0.35">
      <c r="B705" s="35">
        <v>34162</v>
      </c>
      <c r="C705" s="34">
        <v>1818.2</v>
      </c>
      <c r="D705" s="200"/>
    </row>
    <row r="706" spans="2:4" x14ac:dyDescent="0.35">
      <c r="B706" s="35">
        <v>34163</v>
      </c>
      <c r="C706" s="34">
        <v>1807.2</v>
      </c>
      <c r="D706" s="200"/>
    </row>
    <row r="707" spans="2:4" x14ac:dyDescent="0.35">
      <c r="B707" s="35">
        <v>34164</v>
      </c>
      <c r="C707" s="34">
        <v>1811.6</v>
      </c>
      <c r="D707" s="200"/>
    </row>
    <row r="708" spans="2:4" x14ac:dyDescent="0.35">
      <c r="B708" s="35">
        <v>34165</v>
      </c>
      <c r="C708" s="34">
        <v>1807.7</v>
      </c>
      <c r="D708" s="200"/>
    </row>
    <row r="709" spans="2:4" x14ac:dyDescent="0.35">
      <c r="B709" s="35">
        <v>34166</v>
      </c>
      <c r="C709" s="34">
        <v>1813.5</v>
      </c>
      <c r="D709" s="200"/>
    </row>
    <row r="710" spans="2:4" x14ac:dyDescent="0.35">
      <c r="B710" s="35">
        <v>34169</v>
      </c>
      <c r="C710" s="34">
        <v>1836.3</v>
      </c>
      <c r="D710" s="200"/>
    </row>
    <row r="711" spans="2:4" x14ac:dyDescent="0.35">
      <c r="B711" s="35">
        <v>34170</v>
      </c>
      <c r="C711" s="34">
        <v>1839</v>
      </c>
      <c r="D711" s="200"/>
    </row>
    <row r="712" spans="2:4" x14ac:dyDescent="0.35">
      <c r="B712" s="35">
        <v>34171</v>
      </c>
      <c r="C712" s="34">
        <v>1823.8</v>
      </c>
      <c r="D712" s="200"/>
    </row>
    <row r="713" spans="2:4" x14ac:dyDescent="0.35">
      <c r="B713" s="35">
        <v>34172</v>
      </c>
      <c r="C713" s="34">
        <v>1823.5</v>
      </c>
      <c r="D713" s="200"/>
    </row>
    <row r="714" spans="2:4" x14ac:dyDescent="0.35">
      <c r="B714" s="35">
        <v>34173</v>
      </c>
      <c r="C714" s="34">
        <v>1830.8</v>
      </c>
      <c r="D714" s="200"/>
    </row>
    <row r="715" spans="2:4" x14ac:dyDescent="0.35">
      <c r="B715" s="35">
        <v>34176</v>
      </c>
      <c r="C715" s="34">
        <v>1854.5</v>
      </c>
      <c r="D715" s="200"/>
    </row>
    <row r="716" spans="2:4" x14ac:dyDescent="0.35">
      <c r="B716" s="35">
        <v>34177</v>
      </c>
      <c r="C716" s="34">
        <v>1845.2</v>
      </c>
      <c r="D716" s="200"/>
    </row>
    <row r="717" spans="2:4" x14ac:dyDescent="0.35">
      <c r="B717" s="35">
        <v>34178</v>
      </c>
      <c r="C717" s="34">
        <v>1833.9</v>
      </c>
      <c r="D717" s="200"/>
    </row>
    <row r="718" spans="2:4" x14ac:dyDescent="0.35">
      <c r="B718" s="35">
        <v>34179</v>
      </c>
      <c r="C718" s="34">
        <v>1833.7</v>
      </c>
      <c r="D718" s="200"/>
    </row>
    <row r="719" spans="2:4" x14ac:dyDescent="0.35">
      <c r="B719" s="35">
        <v>34180</v>
      </c>
      <c r="C719" s="34">
        <v>1803.2</v>
      </c>
      <c r="D719" s="200"/>
    </row>
    <row r="720" spans="2:4" x14ac:dyDescent="0.35">
      <c r="B720" s="35">
        <v>34183</v>
      </c>
      <c r="C720" s="34">
        <v>1815.1</v>
      </c>
      <c r="D720" s="200"/>
    </row>
    <row r="721" spans="2:4" x14ac:dyDescent="0.35">
      <c r="B721" s="35">
        <v>34184</v>
      </c>
      <c r="C721" s="34">
        <v>1843.4</v>
      </c>
      <c r="D721" s="200"/>
    </row>
    <row r="722" spans="2:4" x14ac:dyDescent="0.35">
      <c r="B722" s="35">
        <v>34185</v>
      </c>
      <c r="C722" s="34">
        <v>1860.6</v>
      </c>
      <c r="D722" s="200"/>
    </row>
    <row r="723" spans="2:4" x14ac:dyDescent="0.35">
      <c r="B723" s="35">
        <v>34186</v>
      </c>
      <c r="C723" s="34">
        <v>1860.7</v>
      </c>
      <c r="D723" s="200"/>
    </row>
    <row r="724" spans="2:4" x14ac:dyDescent="0.35">
      <c r="B724" s="35">
        <v>34187</v>
      </c>
      <c r="C724" s="34">
        <v>1869.4</v>
      </c>
      <c r="D724" s="200"/>
    </row>
    <row r="725" spans="2:4" x14ac:dyDescent="0.35">
      <c r="B725" s="35">
        <v>34190</v>
      </c>
      <c r="C725" s="34">
        <v>1872.3</v>
      </c>
      <c r="D725" s="200"/>
    </row>
    <row r="726" spans="2:4" x14ac:dyDescent="0.35">
      <c r="B726" s="35">
        <v>34191</v>
      </c>
      <c r="C726" s="34">
        <v>1865.2</v>
      </c>
      <c r="D726" s="200"/>
    </row>
    <row r="727" spans="2:4" x14ac:dyDescent="0.35">
      <c r="B727" s="35">
        <v>34192</v>
      </c>
      <c r="C727" s="34">
        <v>1865.8</v>
      </c>
      <c r="D727" s="200"/>
    </row>
    <row r="728" spans="2:4" x14ac:dyDescent="0.35">
      <c r="B728" s="35">
        <v>34193</v>
      </c>
      <c r="C728" s="34">
        <v>1905</v>
      </c>
      <c r="D728" s="200"/>
    </row>
    <row r="729" spans="2:4" x14ac:dyDescent="0.35">
      <c r="B729" s="35">
        <v>34194</v>
      </c>
      <c r="C729" s="34">
        <v>1906.6</v>
      </c>
      <c r="D729" s="200"/>
    </row>
    <row r="730" spans="2:4" x14ac:dyDescent="0.35">
      <c r="B730" s="35">
        <v>34197</v>
      </c>
      <c r="C730" s="34">
        <v>1912.2</v>
      </c>
      <c r="D730" s="200"/>
    </row>
    <row r="731" spans="2:4" x14ac:dyDescent="0.35">
      <c r="B731" s="35">
        <v>34198</v>
      </c>
      <c r="C731" s="34">
        <v>1910.2</v>
      </c>
      <c r="D731" s="200"/>
    </row>
    <row r="732" spans="2:4" x14ac:dyDescent="0.35">
      <c r="B732" s="35">
        <v>34199</v>
      </c>
      <c r="C732" s="34">
        <v>1935.7</v>
      </c>
      <c r="D732" s="200"/>
    </row>
    <row r="733" spans="2:4" x14ac:dyDescent="0.35">
      <c r="B733" s="35">
        <v>34200</v>
      </c>
      <c r="C733" s="34">
        <v>1939</v>
      </c>
      <c r="D733" s="200"/>
    </row>
    <row r="734" spans="2:4" x14ac:dyDescent="0.35">
      <c r="B734" s="35">
        <v>34201</v>
      </c>
      <c r="C734" s="34">
        <v>1922.7</v>
      </c>
      <c r="D734" s="200"/>
    </row>
    <row r="735" spans="2:4" x14ac:dyDescent="0.35">
      <c r="B735" s="35">
        <v>34204</v>
      </c>
      <c r="C735" s="34">
        <v>1888.3</v>
      </c>
      <c r="D735" s="200"/>
    </row>
    <row r="736" spans="2:4" x14ac:dyDescent="0.35">
      <c r="B736" s="35">
        <v>34205</v>
      </c>
      <c r="C736" s="34">
        <v>1897.7</v>
      </c>
      <c r="D736" s="200"/>
    </row>
    <row r="737" spans="2:4" x14ac:dyDescent="0.35">
      <c r="B737" s="35">
        <v>34206</v>
      </c>
      <c r="C737" s="34">
        <v>1917.8</v>
      </c>
      <c r="D737" s="200"/>
    </row>
    <row r="738" spans="2:4" x14ac:dyDescent="0.35">
      <c r="B738" s="35">
        <v>34207</v>
      </c>
      <c r="C738" s="34">
        <v>1901.2</v>
      </c>
      <c r="D738" s="200"/>
    </row>
    <row r="739" spans="2:4" x14ac:dyDescent="0.35">
      <c r="B739" s="35">
        <v>34208</v>
      </c>
      <c r="C739" s="34">
        <v>1904.6</v>
      </c>
      <c r="D739" s="200"/>
    </row>
    <row r="740" spans="2:4" x14ac:dyDescent="0.35">
      <c r="B740" s="35">
        <v>34211</v>
      </c>
      <c r="C740" s="34">
        <v>1921.9</v>
      </c>
      <c r="D740" s="200"/>
    </row>
    <row r="741" spans="2:4" x14ac:dyDescent="0.35">
      <c r="B741" s="35">
        <v>34212</v>
      </c>
      <c r="C741" s="34">
        <v>1944.9</v>
      </c>
      <c r="D741" s="200"/>
    </row>
    <row r="742" spans="2:4" x14ac:dyDescent="0.35">
      <c r="B742" s="35">
        <v>34213</v>
      </c>
      <c r="C742" s="34">
        <v>1918.6</v>
      </c>
      <c r="D742" s="200"/>
    </row>
    <row r="743" spans="2:4" x14ac:dyDescent="0.35">
      <c r="B743" s="35">
        <v>34214</v>
      </c>
      <c r="C743" s="34">
        <v>1925.6</v>
      </c>
      <c r="D743" s="200"/>
    </row>
    <row r="744" spans="2:4" x14ac:dyDescent="0.35">
      <c r="B744" s="35">
        <v>34215</v>
      </c>
      <c r="C744" s="34">
        <v>1925.2</v>
      </c>
      <c r="D744" s="200"/>
    </row>
    <row r="745" spans="2:4" x14ac:dyDescent="0.35">
      <c r="B745" s="35">
        <v>34218</v>
      </c>
      <c r="C745" s="34">
        <v>1910.3</v>
      </c>
      <c r="D745" s="200"/>
    </row>
    <row r="746" spans="2:4" x14ac:dyDescent="0.35">
      <c r="B746" s="35">
        <v>34219</v>
      </c>
      <c r="C746" s="34">
        <v>1886</v>
      </c>
      <c r="D746" s="200"/>
    </row>
    <row r="747" spans="2:4" x14ac:dyDescent="0.35">
      <c r="B747" s="35">
        <v>34220</v>
      </c>
      <c r="C747" s="34">
        <v>1885.3</v>
      </c>
      <c r="D747" s="200"/>
    </row>
    <row r="748" spans="2:4" x14ac:dyDescent="0.35">
      <c r="B748" s="35">
        <v>34221</v>
      </c>
      <c r="C748" s="34">
        <v>1880.8</v>
      </c>
      <c r="D748" s="200"/>
    </row>
    <row r="749" spans="2:4" x14ac:dyDescent="0.35">
      <c r="B749" s="35">
        <v>34222</v>
      </c>
      <c r="C749" s="34">
        <v>1861.4</v>
      </c>
      <c r="D749" s="200"/>
    </row>
    <row r="750" spans="2:4" x14ac:dyDescent="0.35">
      <c r="B750" s="35">
        <v>34225</v>
      </c>
      <c r="C750" s="34">
        <v>1872.6</v>
      </c>
      <c r="D750" s="200"/>
    </row>
    <row r="751" spans="2:4" x14ac:dyDescent="0.35">
      <c r="B751" s="35">
        <v>34226</v>
      </c>
      <c r="C751" s="34">
        <v>1880.6</v>
      </c>
      <c r="D751" s="200"/>
    </row>
    <row r="752" spans="2:4" x14ac:dyDescent="0.35">
      <c r="B752" s="35">
        <v>34227</v>
      </c>
      <c r="C752" s="34">
        <v>1860.4</v>
      </c>
      <c r="D752" s="200"/>
    </row>
    <row r="753" spans="2:4" x14ac:dyDescent="0.35">
      <c r="B753" s="35">
        <v>34228</v>
      </c>
      <c r="C753" s="34">
        <v>1855.7</v>
      </c>
      <c r="D753" s="200"/>
    </row>
    <row r="754" spans="2:4" x14ac:dyDescent="0.35">
      <c r="B754" s="35">
        <v>34229</v>
      </c>
      <c r="C754" s="34">
        <v>1882</v>
      </c>
      <c r="D754" s="200"/>
    </row>
    <row r="755" spans="2:4" x14ac:dyDescent="0.35">
      <c r="B755" s="35">
        <v>34232</v>
      </c>
      <c r="C755" s="34">
        <v>1912.8</v>
      </c>
      <c r="D755" s="200"/>
    </row>
    <row r="756" spans="2:4" x14ac:dyDescent="0.35">
      <c r="B756" s="35">
        <v>34233</v>
      </c>
      <c r="C756" s="34">
        <v>1925.9</v>
      </c>
      <c r="D756" s="200"/>
    </row>
    <row r="757" spans="2:4" x14ac:dyDescent="0.35">
      <c r="B757" s="35">
        <v>34234</v>
      </c>
      <c r="C757" s="34">
        <v>1893</v>
      </c>
      <c r="D757" s="200"/>
    </row>
    <row r="758" spans="2:4" x14ac:dyDescent="0.35">
      <c r="B758" s="35">
        <v>34235</v>
      </c>
      <c r="C758" s="34">
        <v>1916.5</v>
      </c>
      <c r="D758" s="200"/>
    </row>
    <row r="759" spans="2:4" x14ac:dyDescent="0.35">
      <c r="B759" s="35">
        <v>34236</v>
      </c>
      <c r="C759" s="34">
        <v>1885.9</v>
      </c>
      <c r="D759" s="200"/>
    </row>
    <row r="760" spans="2:4" x14ac:dyDescent="0.35">
      <c r="B760" s="35">
        <v>34239</v>
      </c>
      <c r="C760" s="34">
        <v>1912.2</v>
      </c>
      <c r="D760" s="200"/>
    </row>
    <row r="761" spans="2:4" x14ac:dyDescent="0.35">
      <c r="B761" s="35">
        <v>34240</v>
      </c>
      <c r="C761" s="34">
        <v>1913.6</v>
      </c>
      <c r="D761" s="200"/>
    </row>
    <row r="762" spans="2:4" x14ac:dyDescent="0.35">
      <c r="B762" s="35">
        <v>34241</v>
      </c>
      <c r="C762" s="34">
        <v>1907.7</v>
      </c>
      <c r="D762" s="200"/>
    </row>
    <row r="763" spans="2:4" x14ac:dyDescent="0.35">
      <c r="B763" s="35">
        <v>34242</v>
      </c>
      <c r="C763" s="34">
        <v>1915.7</v>
      </c>
      <c r="D763" s="200"/>
    </row>
    <row r="764" spans="2:4" x14ac:dyDescent="0.35">
      <c r="B764" s="35">
        <v>34243</v>
      </c>
      <c r="C764" s="34">
        <v>1912.1</v>
      </c>
      <c r="D764" s="200"/>
    </row>
    <row r="765" spans="2:4" x14ac:dyDescent="0.35">
      <c r="B765" s="35">
        <v>34246</v>
      </c>
      <c r="C765" s="34">
        <v>1923.7</v>
      </c>
      <c r="D765" s="200"/>
    </row>
    <row r="766" spans="2:4" x14ac:dyDescent="0.35">
      <c r="B766" s="35">
        <v>34247</v>
      </c>
      <c r="C766" s="34">
        <v>1972.7</v>
      </c>
      <c r="D766" s="200"/>
    </row>
    <row r="767" spans="2:4" x14ac:dyDescent="0.35">
      <c r="B767" s="35">
        <v>34248</v>
      </c>
      <c r="C767" s="34">
        <v>1987.1</v>
      </c>
      <c r="D767" s="200"/>
    </row>
    <row r="768" spans="2:4" x14ac:dyDescent="0.35">
      <c r="B768" s="35">
        <v>34249</v>
      </c>
      <c r="C768" s="34">
        <v>1997</v>
      </c>
      <c r="D768" s="200"/>
    </row>
    <row r="769" spans="2:4" x14ac:dyDescent="0.35">
      <c r="B769" s="35">
        <v>34250</v>
      </c>
      <c r="C769" s="34">
        <v>2005</v>
      </c>
      <c r="D769" s="200"/>
    </row>
    <row r="770" spans="2:4" x14ac:dyDescent="0.35">
      <c r="B770" s="35">
        <v>34253</v>
      </c>
      <c r="C770" s="34">
        <v>2011</v>
      </c>
      <c r="D770" s="200"/>
    </row>
    <row r="771" spans="2:4" x14ac:dyDescent="0.35">
      <c r="B771" s="35">
        <v>34254</v>
      </c>
      <c r="C771" s="34">
        <v>1998.6</v>
      </c>
      <c r="D771" s="200"/>
    </row>
    <row r="772" spans="2:4" x14ac:dyDescent="0.35">
      <c r="B772" s="35">
        <v>34255</v>
      </c>
      <c r="C772" s="34">
        <v>2001.5</v>
      </c>
      <c r="D772" s="200"/>
    </row>
    <row r="773" spans="2:4" x14ac:dyDescent="0.35">
      <c r="B773" s="35">
        <v>34256</v>
      </c>
      <c r="C773" s="34">
        <v>1990.1</v>
      </c>
      <c r="D773" s="200"/>
    </row>
    <row r="774" spans="2:4" x14ac:dyDescent="0.35">
      <c r="B774" s="35">
        <v>34257</v>
      </c>
      <c r="C774" s="34">
        <v>2015</v>
      </c>
      <c r="D774" s="200"/>
    </row>
    <row r="775" spans="2:4" x14ac:dyDescent="0.35">
      <c r="B775" s="35">
        <v>34260</v>
      </c>
      <c r="C775" s="34">
        <v>2033.3</v>
      </c>
      <c r="D775" s="200"/>
    </row>
    <row r="776" spans="2:4" x14ac:dyDescent="0.35">
      <c r="B776" s="35">
        <v>34261</v>
      </c>
      <c r="C776" s="34">
        <v>2026.8</v>
      </c>
      <c r="D776" s="200"/>
    </row>
    <row r="777" spans="2:4" x14ac:dyDescent="0.35">
      <c r="B777" s="35">
        <v>34262</v>
      </c>
      <c r="C777" s="34">
        <v>2042.6</v>
      </c>
      <c r="D777" s="200"/>
    </row>
    <row r="778" spans="2:4" x14ac:dyDescent="0.35">
      <c r="B778" s="35">
        <v>34263</v>
      </c>
      <c r="C778" s="34">
        <v>2034.7</v>
      </c>
      <c r="D778" s="200"/>
    </row>
    <row r="779" spans="2:4" x14ac:dyDescent="0.35">
      <c r="B779" s="35">
        <v>34264</v>
      </c>
      <c r="C779" s="34">
        <v>2066.1999999999998</v>
      </c>
      <c r="D779" s="200"/>
    </row>
    <row r="780" spans="2:4" x14ac:dyDescent="0.35">
      <c r="B780" s="35">
        <v>34267</v>
      </c>
      <c r="C780" s="34">
        <v>2074.4</v>
      </c>
      <c r="D780" s="200"/>
    </row>
    <row r="781" spans="2:4" x14ac:dyDescent="0.35">
      <c r="B781" s="35">
        <v>34268</v>
      </c>
      <c r="C781" s="34">
        <v>2058.6999999999998</v>
      </c>
      <c r="D781" s="200"/>
    </row>
    <row r="782" spans="2:4" x14ac:dyDescent="0.35">
      <c r="B782" s="35">
        <v>34269</v>
      </c>
      <c r="C782" s="34">
        <v>2043.1</v>
      </c>
      <c r="D782" s="200"/>
    </row>
    <row r="783" spans="2:4" x14ac:dyDescent="0.35">
      <c r="B783" s="35">
        <v>34270</v>
      </c>
      <c r="C783" s="34">
        <v>2038.5</v>
      </c>
      <c r="D783" s="200"/>
    </row>
    <row r="784" spans="2:4" x14ac:dyDescent="0.35">
      <c r="B784" s="35">
        <v>34271</v>
      </c>
      <c r="C784" s="34">
        <v>2069</v>
      </c>
      <c r="D784" s="200"/>
    </row>
    <row r="785" spans="2:4" x14ac:dyDescent="0.35">
      <c r="B785" s="35">
        <v>34274</v>
      </c>
      <c r="C785" s="34">
        <v>2062.1</v>
      </c>
      <c r="D785" s="200"/>
    </row>
    <row r="786" spans="2:4" x14ac:dyDescent="0.35">
      <c r="B786" s="35">
        <v>34275</v>
      </c>
      <c r="C786" s="34">
        <v>2095.6</v>
      </c>
      <c r="D786" s="200"/>
    </row>
    <row r="787" spans="2:4" x14ac:dyDescent="0.35">
      <c r="B787" s="35">
        <v>34276</v>
      </c>
      <c r="C787" s="34">
        <v>2084.4</v>
      </c>
      <c r="D787" s="200"/>
    </row>
    <row r="788" spans="2:4" x14ac:dyDescent="0.35">
      <c r="B788" s="35">
        <v>34277</v>
      </c>
      <c r="C788" s="34">
        <v>2062.6</v>
      </c>
      <c r="D788" s="200"/>
    </row>
    <row r="789" spans="2:4" x14ac:dyDescent="0.35">
      <c r="B789" s="35">
        <v>34278</v>
      </c>
      <c r="C789" s="34">
        <v>2012.6</v>
      </c>
      <c r="D789" s="200"/>
    </row>
    <row r="790" spans="2:4" x14ac:dyDescent="0.35">
      <c r="B790" s="35">
        <v>34281</v>
      </c>
      <c r="C790" s="34">
        <v>2010.8</v>
      </c>
      <c r="D790" s="200"/>
    </row>
    <row r="791" spans="2:4" x14ac:dyDescent="0.35">
      <c r="B791" s="35">
        <v>34282</v>
      </c>
      <c r="C791" s="34">
        <v>2022.8</v>
      </c>
      <c r="D791" s="200"/>
    </row>
    <row r="792" spans="2:4" x14ac:dyDescent="0.35">
      <c r="B792" s="35">
        <v>34283</v>
      </c>
      <c r="C792" s="34">
        <v>2023.8</v>
      </c>
      <c r="D792" s="200"/>
    </row>
    <row r="793" spans="2:4" x14ac:dyDescent="0.35">
      <c r="B793" s="35">
        <v>34284</v>
      </c>
      <c r="C793" s="34">
        <v>2023.3</v>
      </c>
      <c r="D793" s="200"/>
    </row>
    <row r="794" spans="2:4" x14ac:dyDescent="0.35">
      <c r="B794" s="35">
        <v>34285</v>
      </c>
      <c r="C794" s="34">
        <v>2015</v>
      </c>
      <c r="D794" s="200"/>
    </row>
    <row r="795" spans="2:4" x14ac:dyDescent="0.35">
      <c r="B795" s="35">
        <v>34288</v>
      </c>
      <c r="C795" s="34">
        <v>2049.1</v>
      </c>
      <c r="D795" s="200"/>
    </row>
    <row r="796" spans="2:4" x14ac:dyDescent="0.35">
      <c r="B796" s="35">
        <v>34289</v>
      </c>
      <c r="C796" s="34">
        <v>2071.6999999999998</v>
      </c>
      <c r="D796" s="200"/>
    </row>
    <row r="797" spans="2:4" x14ac:dyDescent="0.35">
      <c r="B797" s="35">
        <v>34291</v>
      </c>
      <c r="C797" s="34">
        <v>2085.3000000000002</v>
      </c>
      <c r="D797" s="200"/>
    </row>
    <row r="798" spans="2:4" x14ac:dyDescent="0.35">
      <c r="B798" s="35">
        <v>34292</v>
      </c>
      <c r="C798" s="34">
        <v>2077.4</v>
      </c>
      <c r="D798" s="200"/>
    </row>
    <row r="799" spans="2:4" x14ac:dyDescent="0.35">
      <c r="B799" s="35">
        <v>34295</v>
      </c>
      <c r="C799" s="34">
        <v>2030</v>
      </c>
      <c r="D799" s="200"/>
    </row>
    <row r="800" spans="2:4" x14ac:dyDescent="0.35">
      <c r="B800" s="35">
        <v>34296</v>
      </c>
      <c r="C800" s="34">
        <v>2027.4</v>
      </c>
      <c r="D800" s="200"/>
    </row>
    <row r="801" spans="2:4" x14ac:dyDescent="0.35">
      <c r="B801" s="35">
        <v>34297</v>
      </c>
      <c r="C801" s="34">
        <v>2029.6</v>
      </c>
      <c r="D801" s="200"/>
    </row>
    <row r="802" spans="2:4" x14ac:dyDescent="0.35">
      <c r="B802" s="35">
        <v>34298</v>
      </c>
      <c r="C802" s="34">
        <v>2047.7</v>
      </c>
      <c r="D802" s="200"/>
    </row>
    <row r="803" spans="2:4" x14ac:dyDescent="0.35">
      <c r="B803" s="35">
        <v>34299</v>
      </c>
      <c r="C803" s="34">
        <v>2047.2</v>
      </c>
      <c r="D803" s="200"/>
    </row>
    <row r="804" spans="2:4" x14ac:dyDescent="0.35">
      <c r="B804" s="35">
        <v>34302</v>
      </c>
      <c r="C804" s="34">
        <v>2043.4</v>
      </c>
      <c r="D804" s="200"/>
    </row>
    <row r="805" spans="2:4" x14ac:dyDescent="0.35">
      <c r="B805" s="35">
        <v>34303</v>
      </c>
      <c r="C805" s="34">
        <v>2057.8000000000002</v>
      </c>
      <c r="D805" s="200"/>
    </row>
    <row r="806" spans="2:4" x14ac:dyDescent="0.35">
      <c r="B806" s="35">
        <v>34304</v>
      </c>
      <c r="C806" s="34">
        <v>2089.9</v>
      </c>
      <c r="D806" s="200"/>
    </row>
    <row r="807" spans="2:4" x14ac:dyDescent="0.35">
      <c r="B807" s="35">
        <v>34305</v>
      </c>
      <c r="C807" s="34">
        <v>2110.5</v>
      </c>
      <c r="D807" s="200"/>
    </row>
    <row r="808" spans="2:4" x14ac:dyDescent="0.35">
      <c r="B808" s="35">
        <v>34306</v>
      </c>
      <c r="C808" s="34">
        <v>2120.6</v>
      </c>
      <c r="D808" s="200"/>
    </row>
    <row r="809" spans="2:4" x14ac:dyDescent="0.35">
      <c r="B809" s="35">
        <v>34309</v>
      </c>
      <c r="C809" s="34">
        <v>2118.8000000000002</v>
      </c>
      <c r="D809" s="200"/>
    </row>
    <row r="810" spans="2:4" x14ac:dyDescent="0.35">
      <c r="B810" s="35">
        <v>34310</v>
      </c>
      <c r="C810" s="34">
        <v>2115.5</v>
      </c>
      <c r="D810" s="200"/>
    </row>
    <row r="811" spans="2:4" x14ac:dyDescent="0.35">
      <c r="B811" s="35">
        <v>34311</v>
      </c>
      <c r="C811" s="34">
        <v>2148.1</v>
      </c>
      <c r="D811" s="200"/>
    </row>
    <row r="812" spans="2:4" x14ac:dyDescent="0.35">
      <c r="B812" s="35">
        <v>34312</v>
      </c>
      <c r="C812" s="34">
        <v>2175.8000000000002</v>
      </c>
      <c r="D812" s="200"/>
    </row>
    <row r="813" spans="2:4" x14ac:dyDescent="0.35">
      <c r="B813" s="35">
        <v>34313</v>
      </c>
      <c r="C813" s="34">
        <v>2161.1</v>
      </c>
      <c r="D813" s="200"/>
    </row>
    <row r="814" spans="2:4" x14ac:dyDescent="0.35">
      <c r="B814" s="35">
        <v>34316</v>
      </c>
      <c r="C814" s="34">
        <v>2172.8000000000002</v>
      </c>
      <c r="D814" s="200"/>
    </row>
    <row r="815" spans="2:4" x14ac:dyDescent="0.35">
      <c r="B815" s="35">
        <v>34317</v>
      </c>
      <c r="C815" s="34">
        <v>2150</v>
      </c>
      <c r="D815" s="200"/>
    </row>
    <row r="816" spans="2:4" x14ac:dyDescent="0.35">
      <c r="B816" s="35">
        <v>34318</v>
      </c>
      <c r="C816" s="34">
        <v>2110.6999999999998</v>
      </c>
      <c r="D816" s="200"/>
    </row>
    <row r="817" spans="2:4" x14ac:dyDescent="0.35">
      <c r="B817" s="35">
        <v>34319</v>
      </c>
      <c r="C817" s="34">
        <v>2137.5</v>
      </c>
      <c r="D817" s="200"/>
    </row>
    <row r="818" spans="2:4" x14ac:dyDescent="0.35">
      <c r="B818" s="35">
        <v>34320</v>
      </c>
      <c r="C818" s="34">
        <v>2151</v>
      </c>
      <c r="D818" s="200"/>
    </row>
    <row r="819" spans="2:4" x14ac:dyDescent="0.35">
      <c r="B819" s="35">
        <v>34323</v>
      </c>
      <c r="C819" s="34">
        <v>2178.1999999999998</v>
      </c>
      <c r="D819" s="200"/>
    </row>
    <row r="820" spans="2:4" x14ac:dyDescent="0.35">
      <c r="B820" s="35">
        <v>34324</v>
      </c>
      <c r="C820" s="34">
        <v>2182.9</v>
      </c>
      <c r="D820" s="200"/>
    </row>
    <row r="821" spans="2:4" x14ac:dyDescent="0.35">
      <c r="B821" s="35">
        <v>34325</v>
      </c>
      <c r="C821" s="34">
        <v>2197.5</v>
      </c>
      <c r="D821" s="200"/>
    </row>
    <row r="822" spans="2:4" x14ac:dyDescent="0.35">
      <c r="B822" s="35">
        <v>34326</v>
      </c>
      <c r="C822" s="34">
        <v>2222.8000000000002</v>
      </c>
      <c r="D822" s="200"/>
    </row>
    <row r="823" spans="2:4" x14ac:dyDescent="0.35">
      <c r="B823" s="35">
        <v>34330</v>
      </c>
      <c r="C823" s="34">
        <v>2254</v>
      </c>
      <c r="D823" s="200"/>
    </row>
    <row r="824" spans="2:4" x14ac:dyDescent="0.35">
      <c r="B824" s="35">
        <v>34331</v>
      </c>
      <c r="C824" s="34">
        <v>2242.8000000000002</v>
      </c>
      <c r="D824" s="200"/>
    </row>
    <row r="825" spans="2:4" x14ac:dyDescent="0.35">
      <c r="B825" s="35">
        <v>34332</v>
      </c>
      <c r="C825" s="34">
        <v>2214.6999999999998</v>
      </c>
      <c r="D825" s="200"/>
    </row>
    <row r="826" spans="2:4" x14ac:dyDescent="0.35">
      <c r="B826" s="35">
        <v>34333</v>
      </c>
      <c r="C826" s="34">
        <v>2266.6999999999998</v>
      </c>
      <c r="D826" s="200"/>
    </row>
    <row r="827" spans="2:4" x14ac:dyDescent="0.35">
      <c r="B827" s="35">
        <v>34337</v>
      </c>
      <c r="C827" s="34">
        <v>2268</v>
      </c>
      <c r="D827" s="200"/>
    </row>
    <row r="828" spans="2:4" x14ac:dyDescent="0.35">
      <c r="B828" s="35">
        <v>34338</v>
      </c>
      <c r="C828" s="34">
        <v>2253.6</v>
      </c>
      <c r="D828" s="200"/>
    </row>
    <row r="829" spans="2:4" x14ac:dyDescent="0.35">
      <c r="B829" s="35">
        <v>34339</v>
      </c>
      <c r="C829" s="34">
        <v>2233.4</v>
      </c>
      <c r="D829" s="200"/>
    </row>
    <row r="830" spans="2:4" x14ac:dyDescent="0.35">
      <c r="B830" s="35">
        <v>34340</v>
      </c>
      <c r="C830" s="34">
        <v>2220.1999999999998</v>
      </c>
      <c r="D830" s="200"/>
    </row>
    <row r="831" spans="2:4" x14ac:dyDescent="0.35">
      <c r="B831" s="35">
        <v>34341</v>
      </c>
      <c r="C831" s="34">
        <v>2211.6</v>
      </c>
      <c r="D831" s="200"/>
    </row>
    <row r="832" spans="2:4" x14ac:dyDescent="0.35">
      <c r="B832" s="35">
        <v>34344</v>
      </c>
      <c r="C832" s="34">
        <v>2233.8000000000002</v>
      </c>
      <c r="D832" s="200"/>
    </row>
    <row r="833" spans="2:4" x14ac:dyDescent="0.35">
      <c r="B833" s="35">
        <v>34345</v>
      </c>
      <c r="C833" s="34">
        <v>2228.8000000000002</v>
      </c>
      <c r="D833" s="200"/>
    </row>
    <row r="834" spans="2:4" x14ac:dyDescent="0.35">
      <c r="B834" s="35">
        <v>34346</v>
      </c>
      <c r="C834" s="34">
        <v>2209.1999999999998</v>
      </c>
      <c r="D834" s="200"/>
    </row>
    <row r="835" spans="2:4" x14ac:dyDescent="0.35">
      <c r="B835" s="35">
        <v>34347</v>
      </c>
      <c r="C835" s="34">
        <v>2164.6999999999998</v>
      </c>
      <c r="D835" s="200"/>
    </row>
    <row r="836" spans="2:4" x14ac:dyDescent="0.35">
      <c r="B836" s="35">
        <v>34348</v>
      </c>
      <c r="C836" s="34">
        <v>2141.8000000000002</v>
      </c>
      <c r="D836" s="200"/>
    </row>
    <row r="837" spans="2:4" x14ac:dyDescent="0.35">
      <c r="B837" s="35">
        <v>34351</v>
      </c>
      <c r="C837" s="34">
        <v>2137.4</v>
      </c>
      <c r="D837" s="200"/>
    </row>
    <row r="838" spans="2:4" x14ac:dyDescent="0.35">
      <c r="B838" s="35">
        <v>34352</v>
      </c>
      <c r="C838" s="34">
        <v>2113.8000000000002</v>
      </c>
      <c r="D838" s="200"/>
    </row>
    <row r="839" spans="2:4" x14ac:dyDescent="0.35">
      <c r="B839" s="35">
        <v>34353</v>
      </c>
      <c r="C839" s="34">
        <v>2134.4</v>
      </c>
      <c r="D839" s="200"/>
    </row>
    <row r="840" spans="2:4" x14ac:dyDescent="0.35">
      <c r="B840" s="35">
        <v>34354</v>
      </c>
      <c r="C840" s="34">
        <v>2116.1999999999998</v>
      </c>
      <c r="D840" s="200"/>
    </row>
    <row r="841" spans="2:4" x14ac:dyDescent="0.35">
      <c r="B841" s="35">
        <v>34355</v>
      </c>
      <c r="C841" s="34">
        <v>2075.6</v>
      </c>
      <c r="D841" s="200"/>
    </row>
    <row r="842" spans="2:4" x14ac:dyDescent="0.35">
      <c r="B842" s="35">
        <v>34358</v>
      </c>
      <c r="C842" s="34">
        <v>2080</v>
      </c>
      <c r="D842" s="200"/>
    </row>
    <row r="843" spans="2:4" x14ac:dyDescent="0.35">
      <c r="B843" s="35">
        <v>34359</v>
      </c>
      <c r="C843" s="34">
        <v>2126.8000000000002</v>
      </c>
      <c r="D843" s="200"/>
    </row>
    <row r="844" spans="2:4" x14ac:dyDescent="0.35">
      <c r="B844" s="35">
        <v>34360</v>
      </c>
      <c r="C844" s="34">
        <v>2119.1999999999998</v>
      </c>
      <c r="D844" s="200"/>
    </row>
    <row r="845" spans="2:4" x14ac:dyDescent="0.35">
      <c r="B845" s="35">
        <v>34361</v>
      </c>
      <c r="C845" s="34">
        <v>2125.1</v>
      </c>
      <c r="D845" s="200"/>
    </row>
    <row r="846" spans="2:4" x14ac:dyDescent="0.35">
      <c r="B846" s="35">
        <v>34362</v>
      </c>
      <c r="C846" s="34">
        <v>2133.5</v>
      </c>
      <c r="D846" s="200"/>
    </row>
    <row r="847" spans="2:4" x14ac:dyDescent="0.35">
      <c r="B847" s="35">
        <v>34365</v>
      </c>
      <c r="C847" s="34">
        <v>2177.5</v>
      </c>
      <c r="D847" s="200"/>
    </row>
    <row r="848" spans="2:4" x14ac:dyDescent="0.35">
      <c r="B848" s="35">
        <v>34366</v>
      </c>
      <c r="C848" s="34">
        <v>2179.6999999999998</v>
      </c>
      <c r="D848" s="200"/>
    </row>
    <row r="849" spans="2:4" x14ac:dyDescent="0.35">
      <c r="B849" s="35">
        <v>34367</v>
      </c>
      <c r="C849" s="34">
        <v>2184</v>
      </c>
      <c r="D849" s="200"/>
    </row>
    <row r="850" spans="2:4" x14ac:dyDescent="0.35">
      <c r="B850" s="35">
        <v>34368</v>
      </c>
      <c r="C850" s="34">
        <v>2151.6999999999998</v>
      </c>
      <c r="D850" s="200"/>
    </row>
    <row r="851" spans="2:4" x14ac:dyDescent="0.35">
      <c r="B851" s="35">
        <v>34369</v>
      </c>
      <c r="C851" s="34">
        <v>2138.3000000000002</v>
      </c>
      <c r="D851" s="200"/>
    </row>
    <row r="852" spans="2:4" x14ac:dyDescent="0.35">
      <c r="B852" s="35">
        <v>34372</v>
      </c>
      <c r="C852" s="34">
        <v>2079.4</v>
      </c>
      <c r="D852" s="200"/>
    </row>
    <row r="853" spans="2:4" x14ac:dyDescent="0.35">
      <c r="B853" s="35">
        <v>34373</v>
      </c>
      <c r="C853" s="34">
        <v>2107.1999999999998</v>
      </c>
      <c r="D853" s="200"/>
    </row>
    <row r="854" spans="2:4" x14ac:dyDescent="0.35">
      <c r="B854" s="35">
        <v>34374</v>
      </c>
      <c r="C854" s="34">
        <v>2085.3000000000002</v>
      </c>
      <c r="D854" s="200"/>
    </row>
    <row r="855" spans="2:4" x14ac:dyDescent="0.35">
      <c r="B855" s="35">
        <v>34375</v>
      </c>
      <c r="C855" s="34">
        <v>2119</v>
      </c>
      <c r="D855" s="200"/>
    </row>
    <row r="856" spans="2:4" x14ac:dyDescent="0.35">
      <c r="B856" s="35">
        <v>34376</v>
      </c>
      <c r="C856" s="34">
        <v>2090.6</v>
      </c>
      <c r="D856" s="200"/>
    </row>
    <row r="857" spans="2:4" x14ac:dyDescent="0.35">
      <c r="B857" s="35">
        <v>34379</v>
      </c>
      <c r="C857" s="34">
        <v>2116</v>
      </c>
      <c r="D857" s="200"/>
    </row>
    <row r="858" spans="2:4" x14ac:dyDescent="0.35">
      <c r="B858" s="35">
        <v>34380</v>
      </c>
      <c r="C858" s="34">
        <v>2115.6</v>
      </c>
      <c r="D858" s="200"/>
    </row>
    <row r="859" spans="2:4" x14ac:dyDescent="0.35">
      <c r="B859" s="35">
        <v>34381</v>
      </c>
      <c r="C859" s="34">
        <v>2136.6</v>
      </c>
      <c r="D859" s="200"/>
    </row>
    <row r="860" spans="2:4" x14ac:dyDescent="0.35">
      <c r="B860" s="35">
        <v>34382</v>
      </c>
      <c r="C860" s="34">
        <v>2128.6999999999998</v>
      </c>
      <c r="D860" s="200"/>
    </row>
    <row r="861" spans="2:4" x14ac:dyDescent="0.35">
      <c r="B861" s="35">
        <v>34383</v>
      </c>
      <c r="C861" s="34">
        <v>2152</v>
      </c>
      <c r="D861" s="200"/>
    </row>
    <row r="862" spans="2:4" x14ac:dyDescent="0.35">
      <c r="B862" s="35">
        <v>34386</v>
      </c>
      <c r="C862" s="34">
        <v>2119.5</v>
      </c>
      <c r="D862" s="200"/>
    </row>
    <row r="863" spans="2:4" x14ac:dyDescent="0.35">
      <c r="B863" s="35">
        <v>34387</v>
      </c>
      <c r="C863" s="34">
        <v>2107.6</v>
      </c>
      <c r="D863" s="200"/>
    </row>
    <row r="864" spans="2:4" x14ac:dyDescent="0.35">
      <c r="B864" s="35">
        <v>34388</v>
      </c>
      <c r="C864" s="34">
        <v>2127.6999999999998</v>
      </c>
      <c r="D864" s="200"/>
    </row>
    <row r="865" spans="2:4" x14ac:dyDescent="0.35">
      <c r="B865" s="35">
        <v>34389</v>
      </c>
      <c r="C865" s="34">
        <v>2090.3000000000002</v>
      </c>
      <c r="D865" s="200"/>
    </row>
    <row r="866" spans="2:4" x14ac:dyDescent="0.35">
      <c r="B866" s="35">
        <v>34390</v>
      </c>
      <c r="C866" s="34">
        <v>2075</v>
      </c>
      <c r="D866" s="200"/>
    </row>
    <row r="867" spans="2:4" x14ac:dyDescent="0.35">
      <c r="B867" s="35">
        <v>34393</v>
      </c>
      <c r="C867" s="34">
        <v>2091.6</v>
      </c>
      <c r="D867" s="200"/>
    </row>
    <row r="868" spans="2:4" x14ac:dyDescent="0.35">
      <c r="B868" s="35">
        <v>34394</v>
      </c>
      <c r="C868" s="34">
        <v>2067.1</v>
      </c>
      <c r="D868" s="200"/>
    </row>
    <row r="869" spans="2:4" x14ac:dyDescent="0.35">
      <c r="B869" s="35">
        <v>34395</v>
      </c>
      <c r="C869" s="34">
        <v>2020.3</v>
      </c>
      <c r="D869" s="200"/>
    </row>
    <row r="870" spans="2:4" x14ac:dyDescent="0.35">
      <c r="B870" s="35">
        <v>34396</v>
      </c>
      <c r="C870" s="34">
        <v>2038</v>
      </c>
      <c r="D870" s="200"/>
    </row>
    <row r="871" spans="2:4" x14ac:dyDescent="0.35">
      <c r="B871" s="35">
        <v>34397</v>
      </c>
      <c r="C871" s="34">
        <v>2060.1</v>
      </c>
      <c r="D871" s="200"/>
    </row>
    <row r="872" spans="2:4" x14ac:dyDescent="0.35">
      <c r="B872" s="35">
        <v>34400</v>
      </c>
      <c r="C872" s="34">
        <v>2109</v>
      </c>
      <c r="D872" s="200"/>
    </row>
    <row r="873" spans="2:4" x14ac:dyDescent="0.35">
      <c r="B873" s="35">
        <v>34401</v>
      </c>
      <c r="C873" s="34">
        <v>2124</v>
      </c>
      <c r="D873" s="200"/>
    </row>
    <row r="874" spans="2:4" x14ac:dyDescent="0.35">
      <c r="B874" s="35">
        <v>34402</v>
      </c>
      <c r="C874" s="34">
        <v>2115.1</v>
      </c>
      <c r="D874" s="200"/>
    </row>
    <row r="875" spans="2:4" x14ac:dyDescent="0.35">
      <c r="B875" s="35">
        <v>34403</v>
      </c>
      <c r="C875" s="34">
        <v>2141.1</v>
      </c>
      <c r="D875" s="200"/>
    </row>
    <row r="876" spans="2:4" x14ac:dyDescent="0.35">
      <c r="B876" s="35">
        <v>34404</v>
      </c>
      <c r="C876" s="34">
        <v>2103.5</v>
      </c>
      <c r="D876" s="200"/>
    </row>
    <row r="877" spans="2:4" x14ac:dyDescent="0.35">
      <c r="B877" s="35">
        <v>34407</v>
      </c>
      <c r="C877" s="34">
        <v>2145.1999999999998</v>
      </c>
      <c r="D877" s="200"/>
    </row>
    <row r="878" spans="2:4" x14ac:dyDescent="0.35">
      <c r="B878" s="35">
        <v>34408</v>
      </c>
      <c r="C878" s="34">
        <v>2165.6</v>
      </c>
      <c r="D878" s="200"/>
    </row>
    <row r="879" spans="2:4" x14ac:dyDescent="0.35">
      <c r="B879" s="35">
        <v>34409</v>
      </c>
      <c r="C879" s="34">
        <v>2172.6999999999998</v>
      </c>
      <c r="D879" s="200"/>
    </row>
    <row r="880" spans="2:4" x14ac:dyDescent="0.35">
      <c r="B880" s="35">
        <v>34410</v>
      </c>
      <c r="C880" s="34">
        <v>2175.1</v>
      </c>
      <c r="D880" s="200"/>
    </row>
    <row r="881" spans="2:4" x14ac:dyDescent="0.35">
      <c r="B881" s="35">
        <v>34411</v>
      </c>
      <c r="C881" s="34">
        <v>2155.6</v>
      </c>
      <c r="D881" s="200"/>
    </row>
    <row r="882" spans="2:4" x14ac:dyDescent="0.35">
      <c r="B882" s="35">
        <v>34414</v>
      </c>
      <c r="C882" s="34">
        <v>2131.3000000000002</v>
      </c>
      <c r="D882" s="200"/>
    </row>
    <row r="883" spans="2:4" x14ac:dyDescent="0.35">
      <c r="B883" s="35">
        <v>34415</v>
      </c>
      <c r="C883" s="34">
        <v>2141.3000000000002</v>
      </c>
      <c r="D883" s="200"/>
    </row>
    <row r="884" spans="2:4" x14ac:dyDescent="0.35">
      <c r="B884" s="35">
        <v>34416</v>
      </c>
      <c r="C884" s="34">
        <v>2161.1</v>
      </c>
      <c r="D884" s="200"/>
    </row>
    <row r="885" spans="2:4" x14ac:dyDescent="0.35">
      <c r="B885" s="35">
        <v>34417</v>
      </c>
      <c r="C885" s="34">
        <v>2161.6999999999998</v>
      </c>
      <c r="D885" s="200"/>
    </row>
    <row r="886" spans="2:4" x14ac:dyDescent="0.35">
      <c r="B886" s="35">
        <v>34418</v>
      </c>
      <c r="C886" s="34">
        <v>2130.1</v>
      </c>
      <c r="D886" s="200"/>
    </row>
    <row r="887" spans="2:4" x14ac:dyDescent="0.35">
      <c r="B887" s="35">
        <v>34421</v>
      </c>
      <c r="C887" s="34">
        <v>2161.4</v>
      </c>
      <c r="D887" s="200"/>
    </row>
    <row r="888" spans="2:4" x14ac:dyDescent="0.35">
      <c r="B888" s="35">
        <v>34422</v>
      </c>
      <c r="C888" s="34">
        <v>2168.4</v>
      </c>
      <c r="D888" s="200"/>
    </row>
    <row r="889" spans="2:4" x14ac:dyDescent="0.35">
      <c r="B889" s="35">
        <v>34423</v>
      </c>
      <c r="C889" s="34">
        <v>2147.5</v>
      </c>
      <c r="D889" s="200"/>
    </row>
    <row r="890" spans="2:4" x14ac:dyDescent="0.35">
      <c r="B890" s="35">
        <v>34424</v>
      </c>
      <c r="C890" s="34">
        <v>2133.1</v>
      </c>
      <c r="D890" s="200"/>
    </row>
    <row r="891" spans="2:4" x14ac:dyDescent="0.35">
      <c r="B891" s="35">
        <v>34429</v>
      </c>
      <c r="C891" s="34">
        <v>2158.3000000000002</v>
      </c>
      <c r="D891" s="200"/>
    </row>
    <row r="892" spans="2:4" x14ac:dyDescent="0.35">
      <c r="B892" s="35">
        <v>34430</v>
      </c>
      <c r="C892" s="34">
        <v>2191.1999999999998</v>
      </c>
      <c r="D892" s="200"/>
    </row>
    <row r="893" spans="2:4" x14ac:dyDescent="0.35">
      <c r="B893" s="35">
        <v>34431</v>
      </c>
      <c r="C893" s="34">
        <v>2201.4</v>
      </c>
      <c r="D893" s="200"/>
    </row>
    <row r="894" spans="2:4" x14ac:dyDescent="0.35">
      <c r="B894" s="35">
        <v>34432</v>
      </c>
      <c r="C894" s="34">
        <v>2203.4</v>
      </c>
      <c r="D894" s="200"/>
    </row>
    <row r="895" spans="2:4" x14ac:dyDescent="0.35">
      <c r="B895" s="35">
        <v>34435</v>
      </c>
      <c r="C895" s="34">
        <v>2225.3000000000002</v>
      </c>
      <c r="D895" s="200"/>
    </row>
    <row r="896" spans="2:4" x14ac:dyDescent="0.35">
      <c r="B896" s="35">
        <v>34436</v>
      </c>
      <c r="C896" s="34">
        <v>2210.6</v>
      </c>
      <c r="D896" s="200"/>
    </row>
    <row r="897" spans="2:4" x14ac:dyDescent="0.35">
      <c r="B897" s="35">
        <v>34437</v>
      </c>
      <c r="C897" s="34">
        <v>2209.1999999999998</v>
      </c>
      <c r="D897" s="200"/>
    </row>
    <row r="898" spans="2:4" x14ac:dyDescent="0.35">
      <c r="B898" s="35">
        <v>34438</v>
      </c>
      <c r="C898" s="34">
        <v>2198.6999999999998</v>
      </c>
      <c r="D898" s="200"/>
    </row>
    <row r="899" spans="2:4" x14ac:dyDescent="0.35">
      <c r="B899" s="35">
        <v>34439</v>
      </c>
      <c r="C899" s="34">
        <v>2200.4</v>
      </c>
      <c r="D899" s="200"/>
    </row>
    <row r="900" spans="2:4" x14ac:dyDescent="0.35">
      <c r="B900" s="35">
        <v>34442</v>
      </c>
      <c r="C900" s="34">
        <v>2228.8000000000002</v>
      </c>
      <c r="D900" s="200"/>
    </row>
    <row r="901" spans="2:4" x14ac:dyDescent="0.35">
      <c r="B901" s="35">
        <v>34443</v>
      </c>
      <c r="C901" s="34">
        <v>2172.4</v>
      </c>
      <c r="D901" s="200"/>
    </row>
    <row r="902" spans="2:4" x14ac:dyDescent="0.35">
      <c r="B902" s="35">
        <v>34444</v>
      </c>
      <c r="C902" s="34">
        <v>2182.6</v>
      </c>
      <c r="D902" s="200"/>
    </row>
    <row r="903" spans="2:4" x14ac:dyDescent="0.35">
      <c r="B903" s="35">
        <v>34445</v>
      </c>
      <c r="C903" s="34">
        <v>2197</v>
      </c>
      <c r="D903" s="200"/>
    </row>
    <row r="904" spans="2:4" x14ac:dyDescent="0.35">
      <c r="B904" s="35">
        <v>34446</v>
      </c>
      <c r="C904" s="34">
        <v>2213.9</v>
      </c>
      <c r="D904" s="200"/>
    </row>
    <row r="905" spans="2:4" x14ac:dyDescent="0.35">
      <c r="B905" s="35">
        <v>34449</v>
      </c>
      <c r="C905" s="34">
        <v>2202.1999999999998</v>
      </c>
      <c r="D905" s="200"/>
    </row>
    <row r="906" spans="2:4" x14ac:dyDescent="0.35">
      <c r="B906" s="35">
        <v>34450</v>
      </c>
      <c r="C906" s="34">
        <v>2243.1999999999998</v>
      </c>
      <c r="D906" s="200"/>
    </row>
    <row r="907" spans="2:4" x14ac:dyDescent="0.35">
      <c r="B907" s="35">
        <v>34451</v>
      </c>
      <c r="C907" s="34">
        <v>2253.6</v>
      </c>
      <c r="D907" s="200"/>
    </row>
    <row r="908" spans="2:4" x14ac:dyDescent="0.35">
      <c r="B908" s="35">
        <v>34452</v>
      </c>
      <c r="C908" s="34">
        <v>2251.1999999999998</v>
      </c>
      <c r="D908" s="200"/>
    </row>
    <row r="909" spans="2:4" x14ac:dyDescent="0.35">
      <c r="B909" s="35">
        <v>34453</v>
      </c>
      <c r="C909" s="34">
        <v>2246</v>
      </c>
      <c r="D909" s="200"/>
    </row>
    <row r="910" spans="2:4" x14ac:dyDescent="0.35">
      <c r="B910" s="35">
        <v>34456</v>
      </c>
      <c r="C910" s="34">
        <v>2268.6999999999998</v>
      </c>
      <c r="D910" s="200"/>
    </row>
    <row r="911" spans="2:4" x14ac:dyDescent="0.35">
      <c r="B911" s="35">
        <v>34457</v>
      </c>
      <c r="C911" s="34">
        <v>2252.3000000000002</v>
      </c>
      <c r="D911" s="200"/>
    </row>
    <row r="912" spans="2:4" x14ac:dyDescent="0.35">
      <c r="B912" s="35">
        <v>34458</v>
      </c>
      <c r="C912" s="34">
        <v>2249</v>
      </c>
      <c r="D912" s="200"/>
    </row>
    <row r="913" spans="2:4" x14ac:dyDescent="0.35">
      <c r="B913" s="35">
        <v>34459</v>
      </c>
      <c r="C913" s="34">
        <v>2235.8000000000002</v>
      </c>
      <c r="D913" s="200"/>
    </row>
    <row r="914" spans="2:4" x14ac:dyDescent="0.35">
      <c r="B914" s="35">
        <v>34460</v>
      </c>
      <c r="C914" s="34">
        <v>2237</v>
      </c>
      <c r="D914" s="200"/>
    </row>
    <row r="915" spans="2:4" x14ac:dyDescent="0.35">
      <c r="B915" s="35">
        <v>34463</v>
      </c>
      <c r="C915" s="34">
        <v>2218.9</v>
      </c>
      <c r="D915" s="200"/>
    </row>
    <row r="916" spans="2:4" x14ac:dyDescent="0.35">
      <c r="B916" s="35">
        <v>34464</v>
      </c>
      <c r="C916" s="34">
        <v>2235.1999999999998</v>
      </c>
      <c r="D916" s="200"/>
    </row>
    <row r="917" spans="2:4" x14ac:dyDescent="0.35">
      <c r="B917" s="35">
        <v>34465</v>
      </c>
      <c r="C917" s="34">
        <v>2243.6</v>
      </c>
      <c r="D917" s="200"/>
    </row>
    <row r="918" spans="2:4" x14ac:dyDescent="0.35">
      <c r="B918" s="35">
        <v>34467</v>
      </c>
      <c r="C918" s="34">
        <v>2258.8000000000002</v>
      </c>
      <c r="D918" s="200"/>
    </row>
    <row r="919" spans="2:4" x14ac:dyDescent="0.35">
      <c r="B919" s="35">
        <v>34470</v>
      </c>
      <c r="C919" s="34">
        <v>2271.1</v>
      </c>
      <c r="D919" s="200"/>
    </row>
    <row r="920" spans="2:4" x14ac:dyDescent="0.35">
      <c r="B920" s="35">
        <v>34471</v>
      </c>
      <c r="C920" s="34">
        <v>2259.6999999999998</v>
      </c>
      <c r="D920" s="200"/>
    </row>
    <row r="921" spans="2:4" x14ac:dyDescent="0.35">
      <c r="B921" s="35">
        <v>34472</v>
      </c>
      <c r="C921" s="34">
        <v>2267.4</v>
      </c>
      <c r="D921" s="200"/>
    </row>
    <row r="922" spans="2:4" x14ac:dyDescent="0.35">
      <c r="B922" s="35">
        <v>34473</v>
      </c>
      <c r="C922" s="34">
        <v>2247.8000000000002</v>
      </c>
      <c r="D922" s="200"/>
    </row>
    <row r="923" spans="2:4" x14ac:dyDescent="0.35">
      <c r="B923" s="35">
        <v>34474</v>
      </c>
      <c r="C923" s="34">
        <v>2249.6999999999998</v>
      </c>
      <c r="D923" s="200"/>
    </row>
    <row r="924" spans="2:4" x14ac:dyDescent="0.35">
      <c r="B924" s="35">
        <v>34478</v>
      </c>
      <c r="C924" s="34">
        <v>2198.6999999999998</v>
      </c>
      <c r="D924" s="200"/>
    </row>
    <row r="925" spans="2:4" x14ac:dyDescent="0.35">
      <c r="B925" s="35">
        <v>34479</v>
      </c>
      <c r="C925" s="34">
        <v>2158.8000000000002</v>
      </c>
      <c r="D925" s="200"/>
    </row>
    <row r="926" spans="2:4" x14ac:dyDescent="0.35">
      <c r="B926" s="35">
        <v>34480</v>
      </c>
      <c r="C926" s="34">
        <v>2130.3000000000002</v>
      </c>
      <c r="D926" s="200"/>
    </row>
    <row r="927" spans="2:4" x14ac:dyDescent="0.35">
      <c r="B927" s="35">
        <v>34481</v>
      </c>
      <c r="C927" s="34">
        <v>2141</v>
      </c>
      <c r="D927" s="200"/>
    </row>
    <row r="928" spans="2:4" x14ac:dyDescent="0.35">
      <c r="B928" s="35">
        <v>34484</v>
      </c>
      <c r="C928" s="34">
        <v>2118.1999999999998</v>
      </c>
      <c r="D928" s="200"/>
    </row>
    <row r="929" spans="2:4" x14ac:dyDescent="0.35">
      <c r="B929" s="35">
        <v>34485</v>
      </c>
      <c r="C929" s="34">
        <v>2127.6999999999998</v>
      </c>
      <c r="D929" s="200"/>
    </row>
    <row r="930" spans="2:4" x14ac:dyDescent="0.35">
      <c r="B930" s="35">
        <v>34486</v>
      </c>
      <c r="C930" s="34">
        <v>2129.6999999999998</v>
      </c>
      <c r="D930" s="200"/>
    </row>
    <row r="931" spans="2:4" x14ac:dyDescent="0.35">
      <c r="B931" s="35">
        <v>34488</v>
      </c>
      <c r="C931" s="34">
        <v>2148.4</v>
      </c>
      <c r="D931" s="200"/>
    </row>
    <row r="932" spans="2:4" x14ac:dyDescent="0.35">
      <c r="B932" s="35">
        <v>34491</v>
      </c>
      <c r="C932" s="34">
        <v>2163.1</v>
      </c>
      <c r="D932" s="200"/>
    </row>
    <row r="933" spans="2:4" x14ac:dyDescent="0.35">
      <c r="B933" s="35">
        <v>34492</v>
      </c>
      <c r="C933" s="34">
        <v>2135.1</v>
      </c>
      <c r="D933" s="200"/>
    </row>
    <row r="934" spans="2:4" x14ac:dyDescent="0.35">
      <c r="B934" s="35">
        <v>34493</v>
      </c>
      <c r="C934" s="34">
        <v>2145.1999999999998</v>
      </c>
      <c r="D934" s="200"/>
    </row>
    <row r="935" spans="2:4" x14ac:dyDescent="0.35">
      <c r="B935" s="35">
        <v>34494</v>
      </c>
      <c r="C935" s="34">
        <v>2129.3000000000002</v>
      </c>
      <c r="D935" s="200"/>
    </row>
    <row r="936" spans="2:4" x14ac:dyDescent="0.35">
      <c r="B936" s="35">
        <v>34495</v>
      </c>
      <c r="C936" s="34">
        <v>2133.1</v>
      </c>
      <c r="D936" s="200"/>
    </row>
    <row r="937" spans="2:4" x14ac:dyDescent="0.35">
      <c r="B937" s="35">
        <v>34498</v>
      </c>
      <c r="C937" s="34">
        <v>2105.8000000000002</v>
      </c>
      <c r="D937" s="200"/>
    </row>
    <row r="938" spans="2:4" x14ac:dyDescent="0.35">
      <c r="B938" s="35">
        <v>34499</v>
      </c>
      <c r="C938" s="34">
        <v>2074.6999999999998</v>
      </c>
      <c r="D938" s="200"/>
    </row>
    <row r="939" spans="2:4" x14ac:dyDescent="0.35">
      <c r="B939" s="35">
        <v>34500</v>
      </c>
      <c r="C939" s="34">
        <v>2074.6999999999998</v>
      </c>
      <c r="D939" s="200"/>
    </row>
    <row r="940" spans="2:4" x14ac:dyDescent="0.35">
      <c r="B940" s="35">
        <v>34501</v>
      </c>
      <c r="C940" s="34">
        <v>2054.9</v>
      </c>
      <c r="D940" s="200"/>
    </row>
    <row r="941" spans="2:4" x14ac:dyDescent="0.35">
      <c r="B941" s="35">
        <v>34502</v>
      </c>
      <c r="C941" s="34">
        <v>2050.6999999999998</v>
      </c>
      <c r="D941" s="200"/>
    </row>
    <row r="942" spans="2:4" x14ac:dyDescent="0.35">
      <c r="B942" s="35">
        <v>34505</v>
      </c>
      <c r="C942" s="34">
        <v>1968.8</v>
      </c>
      <c r="D942" s="200"/>
    </row>
    <row r="943" spans="2:4" x14ac:dyDescent="0.35">
      <c r="B943" s="35">
        <v>34506</v>
      </c>
      <c r="C943" s="34">
        <v>1983.3</v>
      </c>
      <c r="D943" s="200"/>
    </row>
    <row r="944" spans="2:4" x14ac:dyDescent="0.35">
      <c r="B944" s="35">
        <v>34507</v>
      </c>
      <c r="C944" s="34">
        <v>1994.4</v>
      </c>
      <c r="D944" s="200"/>
    </row>
    <row r="945" spans="2:4" x14ac:dyDescent="0.35">
      <c r="B945" s="35">
        <v>34508</v>
      </c>
      <c r="C945" s="34">
        <v>2022.1</v>
      </c>
      <c r="D945" s="200"/>
    </row>
    <row r="946" spans="2:4" x14ac:dyDescent="0.35">
      <c r="B946" s="35">
        <v>34509</v>
      </c>
      <c r="C946" s="34">
        <v>2005.3</v>
      </c>
      <c r="D946" s="200"/>
    </row>
    <row r="947" spans="2:4" x14ac:dyDescent="0.35">
      <c r="B947" s="35">
        <v>34512</v>
      </c>
      <c r="C947" s="34">
        <v>1988.6</v>
      </c>
      <c r="D947" s="200"/>
    </row>
    <row r="948" spans="2:4" x14ac:dyDescent="0.35">
      <c r="B948" s="35">
        <v>34513</v>
      </c>
      <c r="C948" s="34">
        <v>2018.3</v>
      </c>
      <c r="D948" s="200"/>
    </row>
    <row r="949" spans="2:4" x14ac:dyDescent="0.35">
      <c r="B949" s="35">
        <v>34514</v>
      </c>
      <c r="C949" s="34">
        <v>2046.3</v>
      </c>
      <c r="D949" s="200"/>
    </row>
    <row r="950" spans="2:4" x14ac:dyDescent="0.35">
      <c r="B950" s="35">
        <v>34515</v>
      </c>
      <c r="C950" s="34">
        <v>2025.3</v>
      </c>
      <c r="D950" s="200"/>
    </row>
    <row r="951" spans="2:4" x14ac:dyDescent="0.35">
      <c r="B951" s="35">
        <v>34516</v>
      </c>
      <c r="C951" s="34">
        <v>2036.5</v>
      </c>
      <c r="D951" s="200"/>
    </row>
    <row r="952" spans="2:4" x14ac:dyDescent="0.35">
      <c r="B952" s="35">
        <v>34519</v>
      </c>
      <c r="C952" s="34">
        <v>2054.4</v>
      </c>
      <c r="D952" s="200"/>
    </row>
    <row r="953" spans="2:4" x14ac:dyDescent="0.35">
      <c r="B953" s="35">
        <v>34520</v>
      </c>
      <c r="C953" s="34">
        <v>2032.7</v>
      </c>
      <c r="D953" s="200"/>
    </row>
    <row r="954" spans="2:4" x14ac:dyDescent="0.35">
      <c r="B954" s="35">
        <v>34521</v>
      </c>
      <c r="C954" s="34">
        <v>2035.7</v>
      </c>
      <c r="D954" s="200"/>
    </row>
    <row r="955" spans="2:4" x14ac:dyDescent="0.35">
      <c r="B955" s="35">
        <v>34522</v>
      </c>
      <c r="C955" s="34">
        <v>2043.9</v>
      </c>
      <c r="D955" s="200"/>
    </row>
    <row r="956" spans="2:4" x14ac:dyDescent="0.35">
      <c r="B956" s="35">
        <v>34523</v>
      </c>
      <c r="C956" s="34">
        <v>2050.9</v>
      </c>
      <c r="D956" s="200"/>
    </row>
    <row r="957" spans="2:4" x14ac:dyDescent="0.35">
      <c r="B957" s="35">
        <v>34526</v>
      </c>
      <c r="C957" s="34">
        <v>2065.6999999999998</v>
      </c>
      <c r="D957" s="200"/>
    </row>
    <row r="958" spans="2:4" x14ac:dyDescent="0.35">
      <c r="B958" s="35">
        <v>34527</v>
      </c>
      <c r="C958" s="34">
        <v>2048.1</v>
      </c>
      <c r="D958" s="200"/>
    </row>
    <row r="959" spans="2:4" x14ac:dyDescent="0.35">
      <c r="B959" s="35">
        <v>34528</v>
      </c>
      <c r="C959" s="34">
        <v>2054</v>
      </c>
      <c r="D959" s="200"/>
    </row>
    <row r="960" spans="2:4" x14ac:dyDescent="0.35">
      <c r="B960" s="35">
        <v>34529</v>
      </c>
      <c r="C960" s="34">
        <v>2055.6</v>
      </c>
      <c r="D960" s="200"/>
    </row>
    <row r="961" spans="2:4" x14ac:dyDescent="0.35">
      <c r="B961" s="35">
        <v>34530</v>
      </c>
      <c r="C961" s="34">
        <v>2093.6</v>
      </c>
      <c r="D961" s="200"/>
    </row>
    <row r="962" spans="2:4" x14ac:dyDescent="0.35">
      <c r="B962" s="35">
        <v>34533</v>
      </c>
      <c r="C962" s="34">
        <v>2098.1999999999998</v>
      </c>
      <c r="D962" s="200"/>
    </row>
    <row r="963" spans="2:4" x14ac:dyDescent="0.35">
      <c r="B963" s="35">
        <v>34534</v>
      </c>
      <c r="C963" s="34">
        <v>2128.8000000000002</v>
      </c>
      <c r="D963" s="200"/>
    </row>
    <row r="964" spans="2:4" x14ac:dyDescent="0.35">
      <c r="B964" s="35">
        <v>34535</v>
      </c>
      <c r="C964" s="34">
        <v>2138.6999999999998</v>
      </c>
      <c r="D964" s="200"/>
    </row>
    <row r="965" spans="2:4" x14ac:dyDescent="0.35">
      <c r="B965" s="35">
        <v>34536</v>
      </c>
      <c r="C965" s="34">
        <v>2113.3000000000002</v>
      </c>
      <c r="D965" s="200"/>
    </row>
    <row r="966" spans="2:4" x14ac:dyDescent="0.35">
      <c r="B966" s="35">
        <v>34537</v>
      </c>
      <c r="C966" s="34">
        <v>2150.3000000000002</v>
      </c>
      <c r="D966" s="200"/>
    </row>
    <row r="967" spans="2:4" x14ac:dyDescent="0.35">
      <c r="B967" s="35">
        <v>34540</v>
      </c>
      <c r="C967" s="34">
        <v>2136.1999999999998</v>
      </c>
      <c r="D967" s="200"/>
    </row>
    <row r="968" spans="2:4" x14ac:dyDescent="0.35">
      <c r="B968" s="35">
        <v>34541</v>
      </c>
      <c r="C968" s="34">
        <v>2152</v>
      </c>
      <c r="D968" s="200"/>
    </row>
    <row r="969" spans="2:4" x14ac:dyDescent="0.35">
      <c r="B969" s="35">
        <v>34542</v>
      </c>
      <c r="C969" s="34">
        <v>2140.4</v>
      </c>
      <c r="D969" s="200"/>
    </row>
    <row r="970" spans="2:4" x14ac:dyDescent="0.35">
      <c r="B970" s="35">
        <v>34543</v>
      </c>
      <c r="C970" s="34">
        <v>2122.8000000000002</v>
      </c>
      <c r="D970" s="200"/>
    </row>
    <row r="971" spans="2:4" x14ac:dyDescent="0.35">
      <c r="B971" s="35">
        <v>34544</v>
      </c>
      <c r="C971" s="34">
        <v>2146.6</v>
      </c>
      <c r="D971" s="200"/>
    </row>
    <row r="972" spans="2:4" x14ac:dyDescent="0.35">
      <c r="B972" s="35">
        <v>34547</v>
      </c>
      <c r="C972" s="34">
        <v>2153.8000000000002</v>
      </c>
      <c r="D972" s="200"/>
    </row>
    <row r="973" spans="2:4" x14ac:dyDescent="0.35">
      <c r="B973" s="35">
        <v>34548</v>
      </c>
      <c r="C973" s="34">
        <v>2186.4</v>
      </c>
      <c r="D973" s="200"/>
    </row>
    <row r="974" spans="2:4" x14ac:dyDescent="0.35">
      <c r="B974" s="35">
        <v>34549</v>
      </c>
      <c r="C974" s="34">
        <v>2198.9</v>
      </c>
      <c r="D974" s="200"/>
    </row>
    <row r="975" spans="2:4" x14ac:dyDescent="0.35">
      <c r="B975" s="35">
        <v>34550</v>
      </c>
      <c r="C975" s="34">
        <v>2183.4</v>
      </c>
      <c r="D975" s="200"/>
    </row>
    <row r="976" spans="2:4" x14ac:dyDescent="0.35">
      <c r="B976" s="35">
        <v>34551</v>
      </c>
      <c r="C976" s="34">
        <v>2184.8000000000002</v>
      </c>
      <c r="D976" s="200"/>
    </row>
    <row r="977" spans="2:4" x14ac:dyDescent="0.35">
      <c r="B977" s="35">
        <v>34554</v>
      </c>
      <c r="C977" s="34">
        <v>2184.6999999999998</v>
      </c>
      <c r="D977" s="200"/>
    </row>
    <row r="978" spans="2:4" x14ac:dyDescent="0.35">
      <c r="B978" s="35">
        <v>34555</v>
      </c>
      <c r="C978" s="34">
        <v>2164.1999999999998</v>
      </c>
      <c r="D978" s="200"/>
    </row>
    <row r="979" spans="2:4" x14ac:dyDescent="0.35">
      <c r="B979" s="35">
        <v>34556</v>
      </c>
      <c r="C979" s="34">
        <v>2160.4</v>
      </c>
      <c r="D979" s="200"/>
    </row>
    <row r="980" spans="2:4" x14ac:dyDescent="0.35">
      <c r="B980" s="35">
        <v>34557</v>
      </c>
      <c r="C980" s="34">
        <v>2155.3000000000002</v>
      </c>
      <c r="D980" s="200"/>
    </row>
    <row r="981" spans="2:4" x14ac:dyDescent="0.35">
      <c r="B981" s="35">
        <v>34558</v>
      </c>
      <c r="C981" s="34">
        <v>2124.6999999999998</v>
      </c>
      <c r="D981" s="200"/>
    </row>
    <row r="982" spans="2:4" x14ac:dyDescent="0.35">
      <c r="B982" s="35">
        <v>34561</v>
      </c>
      <c r="C982" s="34">
        <v>2138.8000000000002</v>
      </c>
      <c r="D982" s="200"/>
    </row>
    <row r="983" spans="2:4" x14ac:dyDescent="0.35">
      <c r="B983" s="35">
        <v>34562</v>
      </c>
      <c r="C983" s="34">
        <v>2143.1</v>
      </c>
      <c r="D983" s="200"/>
    </row>
    <row r="984" spans="2:4" x14ac:dyDescent="0.35">
      <c r="B984" s="35">
        <v>34563</v>
      </c>
      <c r="C984" s="34">
        <v>2162.3000000000002</v>
      </c>
      <c r="D984" s="200"/>
    </row>
    <row r="985" spans="2:4" x14ac:dyDescent="0.35">
      <c r="B985" s="35">
        <v>34564</v>
      </c>
      <c r="C985" s="34">
        <v>2153.6</v>
      </c>
      <c r="D985" s="200"/>
    </row>
    <row r="986" spans="2:4" x14ac:dyDescent="0.35">
      <c r="B986" s="35">
        <v>34565</v>
      </c>
      <c r="C986" s="34">
        <v>2149.6</v>
      </c>
      <c r="D986" s="200"/>
    </row>
    <row r="987" spans="2:4" x14ac:dyDescent="0.35">
      <c r="B987" s="35">
        <v>34568</v>
      </c>
      <c r="C987" s="34">
        <v>2123.8000000000002</v>
      </c>
      <c r="D987" s="200"/>
    </row>
    <row r="988" spans="2:4" x14ac:dyDescent="0.35">
      <c r="B988" s="35">
        <v>34569</v>
      </c>
      <c r="C988" s="34">
        <v>2107.9</v>
      </c>
      <c r="D988" s="200"/>
    </row>
    <row r="989" spans="2:4" x14ac:dyDescent="0.35">
      <c r="B989" s="35">
        <v>34570</v>
      </c>
      <c r="C989" s="34">
        <v>2126.4</v>
      </c>
      <c r="D989" s="200"/>
    </row>
    <row r="990" spans="2:4" x14ac:dyDescent="0.35">
      <c r="B990" s="35">
        <v>34571</v>
      </c>
      <c r="C990" s="34">
        <v>2152.1999999999998</v>
      </c>
      <c r="D990" s="200"/>
    </row>
    <row r="991" spans="2:4" x14ac:dyDescent="0.35">
      <c r="B991" s="35">
        <v>34572</v>
      </c>
      <c r="C991" s="34">
        <v>2161.5</v>
      </c>
      <c r="D991" s="200"/>
    </row>
    <row r="992" spans="2:4" x14ac:dyDescent="0.35">
      <c r="B992" s="35">
        <v>34575</v>
      </c>
      <c r="C992" s="34">
        <v>2193.1999999999998</v>
      </c>
      <c r="D992" s="200"/>
    </row>
    <row r="993" spans="2:4" x14ac:dyDescent="0.35">
      <c r="B993" s="35">
        <v>34576</v>
      </c>
      <c r="C993" s="34">
        <v>2210.9</v>
      </c>
      <c r="D993" s="200"/>
    </row>
    <row r="994" spans="2:4" x14ac:dyDescent="0.35">
      <c r="B994" s="35">
        <v>34577</v>
      </c>
      <c r="C994" s="34">
        <v>2212.9</v>
      </c>
      <c r="D994" s="200"/>
    </row>
    <row r="995" spans="2:4" x14ac:dyDescent="0.35">
      <c r="B995" s="35">
        <v>34578</v>
      </c>
      <c r="C995" s="34">
        <v>2200.8000000000002</v>
      </c>
      <c r="D995" s="200"/>
    </row>
    <row r="996" spans="2:4" x14ac:dyDescent="0.35">
      <c r="B996" s="35">
        <v>34579</v>
      </c>
      <c r="C996" s="34">
        <v>2204.6999999999998</v>
      </c>
      <c r="D996" s="200"/>
    </row>
    <row r="997" spans="2:4" x14ac:dyDescent="0.35">
      <c r="B997" s="35">
        <v>34582</v>
      </c>
      <c r="C997" s="34">
        <v>2174.5</v>
      </c>
      <c r="D997" s="200"/>
    </row>
    <row r="998" spans="2:4" x14ac:dyDescent="0.35">
      <c r="B998" s="35">
        <v>34583</v>
      </c>
      <c r="C998" s="34">
        <v>2165.9</v>
      </c>
      <c r="D998" s="200"/>
    </row>
    <row r="999" spans="2:4" x14ac:dyDescent="0.35">
      <c r="B999" s="35">
        <v>34584</v>
      </c>
      <c r="C999" s="34">
        <v>2163.8000000000002</v>
      </c>
      <c r="D999" s="200"/>
    </row>
    <row r="1000" spans="2:4" x14ac:dyDescent="0.35">
      <c r="B1000" s="35">
        <v>34585</v>
      </c>
      <c r="C1000" s="34">
        <v>2172.4</v>
      </c>
      <c r="D1000" s="200"/>
    </row>
    <row r="1001" spans="2:4" x14ac:dyDescent="0.35">
      <c r="B1001" s="35">
        <v>34586</v>
      </c>
      <c r="C1001" s="34">
        <v>2185.1999999999998</v>
      </c>
      <c r="D1001" s="200"/>
    </row>
    <row r="1002" spans="2:4" x14ac:dyDescent="0.35">
      <c r="B1002" s="35">
        <v>34589</v>
      </c>
      <c r="C1002" s="34">
        <v>2154.6</v>
      </c>
      <c r="D1002" s="200"/>
    </row>
    <row r="1003" spans="2:4" x14ac:dyDescent="0.35">
      <c r="B1003" s="35">
        <v>34590</v>
      </c>
      <c r="C1003" s="34">
        <v>2136.1</v>
      </c>
      <c r="D1003" s="200"/>
    </row>
    <row r="1004" spans="2:4" x14ac:dyDescent="0.35">
      <c r="B1004" s="35">
        <v>34591</v>
      </c>
      <c r="C1004" s="34">
        <v>2124.1</v>
      </c>
      <c r="D1004" s="200"/>
    </row>
    <row r="1005" spans="2:4" x14ac:dyDescent="0.35">
      <c r="B1005" s="35">
        <v>34592</v>
      </c>
      <c r="C1005" s="34">
        <v>2114</v>
      </c>
      <c r="D1005" s="200"/>
    </row>
    <row r="1006" spans="2:4" x14ac:dyDescent="0.35">
      <c r="B1006" s="35">
        <v>34593</v>
      </c>
      <c r="C1006" s="34">
        <v>2118.6999999999998</v>
      </c>
      <c r="D1006" s="200"/>
    </row>
    <row r="1007" spans="2:4" x14ac:dyDescent="0.35">
      <c r="B1007" s="35">
        <v>34596</v>
      </c>
      <c r="C1007" s="34">
        <v>2096.8000000000002</v>
      </c>
      <c r="D1007" s="200"/>
    </row>
    <row r="1008" spans="2:4" x14ac:dyDescent="0.35">
      <c r="B1008" s="35">
        <v>34597</v>
      </c>
      <c r="C1008" s="34">
        <v>2079</v>
      </c>
      <c r="D1008" s="200"/>
    </row>
    <row r="1009" spans="2:4" x14ac:dyDescent="0.35">
      <c r="B1009" s="35">
        <v>34598</v>
      </c>
      <c r="C1009" s="34">
        <v>2079.5</v>
      </c>
      <c r="D1009" s="200"/>
    </row>
    <row r="1010" spans="2:4" x14ac:dyDescent="0.35">
      <c r="B1010" s="35">
        <v>34599</v>
      </c>
      <c r="C1010" s="34">
        <v>2073</v>
      </c>
      <c r="D1010" s="200"/>
    </row>
    <row r="1011" spans="2:4" x14ac:dyDescent="0.35">
      <c r="B1011" s="35">
        <v>34600</v>
      </c>
      <c r="C1011" s="34">
        <v>2089.1</v>
      </c>
      <c r="D1011" s="200"/>
    </row>
    <row r="1012" spans="2:4" x14ac:dyDescent="0.35">
      <c r="B1012" s="35">
        <v>34603</v>
      </c>
      <c r="C1012" s="34">
        <v>2068.6999999999998</v>
      </c>
      <c r="D1012" s="200"/>
    </row>
    <row r="1013" spans="2:4" x14ac:dyDescent="0.35">
      <c r="B1013" s="35">
        <v>34604</v>
      </c>
      <c r="C1013" s="34">
        <v>2058.6999999999998</v>
      </c>
      <c r="D1013" s="200"/>
    </row>
    <row r="1014" spans="2:4" x14ac:dyDescent="0.35">
      <c r="B1014" s="35">
        <v>34605</v>
      </c>
      <c r="C1014" s="34">
        <v>2068.1</v>
      </c>
      <c r="D1014" s="200"/>
    </row>
    <row r="1015" spans="2:4" x14ac:dyDescent="0.35">
      <c r="B1015" s="35">
        <v>34606</v>
      </c>
      <c r="C1015" s="34">
        <v>2043.6</v>
      </c>
      <c r="D1015" s="200"/>
    </row>
    <row r="1016" spans="2:4" x14ac:dyDescent="0.35">
      <c r="B1016" s="35">
        <v>34607</v>
      </c>
      <c r="C1016" s="34">
        <v>2011.8</v>
      </c>
      <c r="D1016" s="200"/>
    </row>
    <row r="1017" spans="2:4" x14ac:dyDescent="0.35">
      <c r="B1017" s="35">
        <v>34611</v>
      </c>
      <c r="C1017" s="34">
        <v>1995</v>
      </c>
      <c r="D1017" s="200"/>
    </row>
    <row r="1018" spans="2:4" x14ac:dyDescent="0.35">
      <c r="B1018" s="35">
        <v>34612</v>
      </c>
      <c r="C1018" s="34">
        <v>1968.7</v>
      </c>
      <c r="D1018" s="200"/>
    </row>
    <row r="1019" spans="2:4" x14ac:dyDescent="0.35">
      <c r="B1019" s="35">
        <v>34613</v>
      </c>
      <c r="C1019" s="34">
        <v>1961</v>
      </c>
      <c r="D1019" s="200"/>
    </row>
    <row r="1020" spans="2:4" x14ac:dyDescent="0.35">
      <c r="B1020" s="35">
        <v>34614</v>
      </c>
      <c r="C1020" s="34">
        <v>1960.6</v>
      </c>
      <c r="D1020" s="200"/>
    </row>
    <row r="1021" spans="2:4" x14ac:dyDescent="0.35">
      <c r="B1021" s="35">
        <v>34617</v>
      </c>
      <c r="C1021" s="34">
        <v>2024.8</v>
      </c>
      <c r="D1021" s="200"/>
    </row>
    <row r="1022" spans="2:4" x14ac:dyDescent="0.35">
      <c r="B1022" s="35">
        <v>34618</v>
      </c>
      <c r="C1022" s="34">
        <v>2071.1</v>
      </c>
      <c r="D1022" s="200"/>
    </row>
    <row r="1023" spans="2:4" x14ac:dyDescent="0.35">
      <c r="B1023" s="35">
        <v>34619</v>
      </c>
      <c r="C1023" s="34">
        <v>2077.6</v>
      </c>
      <c r="D1023" s="200"/>
    </row>
    <row r="1024" spans="2:4" x14ac:dyDescent="0.35">
      <c r="B1024" s="35">
        <v>34620</v>
      </c>
      <c r="C1024" s="34">
        <v>2082.6</v>
      </c>
      <c r="D1024" s="200"/>
    </row>
    <row r="1025" spans="2:4" x14ac:dyDescent="0.35">
      <c r="B1025" s="35">
        <v>34621</v>
      </c>
      <c r="C1025" s="34">
        <v>2105.6999999999998</v>
      </c>
      <c r="D1025" s="200"/>
    </row>
    <row r="1026" spans="2:4" x14ac:dyDescent="0.35">
      <c r="B1026" s="35">
        <v>34624</v>
      </c>
      <c r="C1026" s="34">
        <v>2090.9</v>
      </c>
      <c r="D1026" s="200"/>
    </row>
    <row r="1027" spans="2:4" x14ac:dyDescent="0.35">
      <c r="B1027" s="35">
        <v>34625</v>
      </c>
      <c r="C1027" s="34">
        <v>2084.8000000000002</v>
      </c>
      <c r="D1027" s="200"/>
    </row>
    <row r="1028" spans="2:4" x14ac:dyDescent="0.35">
      <c r="B1028" s="35">
        <v>34626</v>
      </c>
      <c r="C1028" s="34">
        <v>2051.1999999999998</v>
      </c>
      <c r="D1028" s="200"/>
    </row>
    <row r="1029" spans="2:4" x14ac:dyDescent="0.35">
      <c r="B1029" s="35">
        <v>34627</v>
      </c>
      <c r="C1029" s="34">
        <v>2070</v>
      </c>
      <c r="D1029" s="200"/>
    </row>
    <row r="1030" spans="2:4" x14ac:dyDescent="0.35">
      <c r="B1030" s="35">
        <v>34628</v>
      </c>
      <c r="C1030" s="34">
        <v>2022.2</v>
      </c>
      <c r="D1030" s="200"/>
    </row>
    <row r="1031" spans="2:4" x14ac:dyDescent="0.35">
      <c r="B1031" s="35">
        <v>34631</v>
      </c>
      <c r="C1031" s="34">
        <v>2025.4</v>
      </c>
      <c r="D1031" s="200"/>
    </row>
    <row r="1032" spans="2:4" x14ac:dyDescent="0.35">
      <c r="B1032" s="35">
        <v>34632</v>
      </c>
      <c r="C1032" s="34">
        <v>1974.6</v>
      </c>
      <c r="D1032" s="200"/>
    </row>
    <row r="1033" spans="2:4" x14ac:dyDescent="0.35">
      <c r="B1033" s="35">
        <v>34633</v>
      </c>
      <c r="C1033" s="34">
        <v>2020.5</v>
      </c>
      <c r="D1033" s="200"/>
    </row>
    <row r="1034" spans="2:4" x14ac:dyDescent="0.35">
      <c r="B1034" s="35">
        <v>34634</v>
      </c>
      <c r="C1034" s="34">
        <v>2013.2</v>
      </c>
      <c r="D1034" s="200"/>
    </row>
    <row r="1035" spans="2:4" x14ac:dyDescent="0.35">
      <c r="B1035" s="35">
        <v>34635</v>
      </c>
      <c r="C1035" s="34">
        <v>2040.3</v>
      </c>
      <c r="D1035" s="200"/>
    </row>
    <row r="1036" spans="2:4" x14ac:dyDescent="0.35">
      <c r="B1036" s="35">
        <v>34638</v>
      </c>
      <c r="C1036" s="34">
        <v>2071.6</v>
      </c>
      <c r="D1036" s="200"/>
    </row>
    <row r="1037" spans="2:4" x14ac:dyDescent="0.35">
      <c r="B1037" s="35">
        <v>34639</v>
      </c>
      <c r="C1037" s="34">
        <v>2069.6999999999998</v>
      </c>
      <c r="D1037" s="200"/>
    </row>
    <row r="1038" spans="2:4" x14ac:dyDescent="0.35">
      <c r="B1038" s="35">
        <v>34640</v>
      </c>
      <c r="C1038" s="34">
        <v>2042.4</v>
      </c>
      <c r="D1038" s="200"/>
    </row>
    <row r="1039" spans="2:4" x14ac:dyDescent="0.35">
      <c r="B1039" s="35">
        <v>34641</v>
      </c>
      <c r="C1039" s="34">
        <v>2051.5</v>
      </c>
      <c r="D1039" s="200"/>
    </row>
    <row r="1040" spans="2:4" x14ac:dyDescent="0.35">
      <c r="B1040" s="35">
        <v>34642</v>
      </c>
      <c r="C1040" s="34">
        <v>2067.6</v>
      </c>
      <c r="D1040" s="200"/>
    </row>
    <row r="1041" spans="2:4" x14ac:dyDescent="0.35">
      <c r="B1041" s="35">
        <v>34645</v>
      </c>
      <c r="C1041" s="34">
        <v>2043.5</v>
      </c>
      <c r="D1041" s="200"/>
    </row>
    <row r="1042" spans="2:4" x14ac:dyDescent="0.35">
      <c r="B1042" s="35">
        <v>34646</v>
      </c>
      <c r="C1042" s="34">
        <v>2053.4</v>
      </c>
      <c r="D1042" s="200"/>
    </row>
    <row r="1043" spans="2:4" x14ac:dyDescent="0.35">
      <c r="B1043" s="35">
        <v>34647</v>
      </c>
      <c r="C1043" s="34">
        <v>2096.5</v>
      </c>
      <c r="D1043" s="200"/>
    </row>
    <row r="1044" spans="2:4" x14ac:dyDescent="0.35">
      <c r="B1044" s="35">
        <v>34648</v>
      </c>
      <c r="C1044" s="34">
        <v>2082.4</v>
      </c>
      <c r="D1044" s="200"/>
    </row>
    <row r="1045" spans="2:4" x14ac:dyDescent="0.35">
      <c r="B1045" s="35">
        <v>34649</v>
      </c>
      <c r="C1045" s="34">
        <v>2078.4</v>
      </c>
      <c r="D1045" s="200"/>
    </row>
    <row r="1046" spans="2:4" x14ac:dyDescent="0.35">
      <c r="B1046" s="35">
        <v>34652</v>
      </c>
      <c r="C1046" s="34">
        <v>2089.3000000000002</v>
      </c>
      <c r="D1046" s="200"/>
    </row>
    <row r="1047" spans="2:4" x14ac:dyDescent="0.35">
      <c r="B1047" s="35">
        <v>34653</v>
      </c>
      <c r="C1047" s="34">
        <v>2110.8000000000002</v>
      </c>
      <c r="D1047" s="200"/>
    </row>
    <row r="1048" spans="2:4" x14ac:dyDescent="0.35">
      <c r="B1048" s="35">
        <v>34655</v>
      </c>
      <c r="C1048" s="34">
        <v>2102.6999999999998</v>
      </c>
      <c r="D1048" s="200"/>
    </row>
    <row r="1049" spans="2:4" x14ac:dyDescent="0.35">
      <c r="B1049" s="35">
        <v>34656</v>
      </c>
      <c r="C1049" s="34">
        <v>2100.1999999999998</v>
      </c>
      <c r="D1049" s="200"/>
    </row>
    <row r="1050" spans="2:4" x14ac:dyDescent="0.35">
      <c r="B1050" s="35">
        <v>34659</v>
      </c>
      <c r="C1050" s="34">
        <v>2105.3000000000002</v>
      </c>
      <c r="D1050" s="200"/>
    </row>
    <row r="1051" spans="2:4" x14ac:dyDescent="0.35">
      <c r="B1051" s="35">
        <v>34660</v>
      </c>
      <c r="C1051" s="34">
        <v>2074.8000000000002</v>
      </c>
      <c r="D1051" s="200"/>
    </row>
    <row r="1052" spans="2:4" x14ac:dyDescent="0.35">
      <c r="B1052" s="35">
        <v>34661</v>
      </c>
      <c r="C1052" s="34">
        <v>2033.3</v>
      </c>
      <c r="D1052" s="200"/>
    </row>
    <row r="1053" spans="2:4" x14ac:dyDescent="0.35">
      <c r="B1053" s="35">
        <v>34662</v>
      </c>
      <c r="C1053" s="34">
        <v>2056</v>
      </c>
      <c r="D1053" s="200"/>
    </row>
    <row r="1054" spans="2:4" x14ac:dyDescent="0.35">
      <c r="B1054" s="35">
        <v>34663</v>
      </c>
      <c r="C1054" s="34">
        <v>2051.6</v>
      </c>
      <c r="D1054" s="200"/>
    </row>
    <row r="1055" spans="2:4" x14ac:dyDescent="0.35">
      <c r="B1055" s="35">
        <v>34666</v>
      </c>
      <c r="C1055" s="34">
        <v>2058.5</v>
      </c>
      <c r="D1055" s="200"/>
    </row>
    <row r="1056" spans="2:4" x14ac:dyDescent="0.35">
      <c r="B1056" s="35">
        <v>34667</v>
      </c>
      <c r="C1056" s="34">
        <v>2044.3</v>
      </c>
      <c r="D1056" s="200"/>
    </row>
    <row r="1057" spans="2:4" x14ac:dyDescent="0.35">
      <c r="B1057" s="35">
        <v>34668</v>
      </c>
      <c r="C1057" s="34">
        <v>2048.3000000000002</v>
      </c>
      <c r="D1057" s="200"/>
    </row>
    <row r="1058" spans="2:4" x14ac:dyDescent="0.35">
      <c r="B1058" s="35">
        <v>34669</v>
      </c>
      <c r="C1058" s="34">
        <v>2046.6</v>
      </c>
      <c r="D1058" s="200"/>
    </row>
    <row r="1059" spans="2:4" x14ac:dyDescent="0.35">
      <c r="B1059" s="35">
        <v>34670</v>
      </c>
      <c r="C1059" s="34">
        <v>2038.5</v>
      </c>
      <c r="D1059" s="200"/>
    </row>
    <row r="1060" spans="2:4" x14ac:dyDescent="0.35">
      <c r="B1060" s="35">
        <v>34673</v>
      </c>
      <c r="C1060" s="34">
        <v>2071.1</v>
      </c>
      <c r="D1060" s="200"/>
    </row>
    <row r="1061" spans="2:4" x14ac:dyDescent="0.35">
      <c r="B1061" s="35">
        <v>34674</v>
      </c>
      <c r="C1061" s="34">
        <v>2046.9</v>
      </c>
      <c r="D1061" s="200"/>
    </row>
    <row r="1062" spans="2:4" x14ac:dyDescent="0.35">
      <c r="B1062" s="35">
        <v>34675</v>
      </c>
      <c r="C1062" s="34">
        <v>2055.6</v>
      </c>
      <c r="D1062" s="200"/>
    </row>
    <row r="1063" spans="2:4" x14ac:dyDescent="0.35">
      <c r="B1063" s="35">
        <v>34676</v>
      </c>
      <c r="C1063" s="34">
        <v>2042.2</v>
      </c>
      <c r="D1063" s="200"/>
    </row>
    <row r="1064" spans="2:4" x14ac:dyDescent="0.35">
      <c r="B1064" s="35">
        <v>34677</v>
      </c>
      <c r="C1064" s="34">
        <v>2028.3</v>
      </c>
      <c r="D1064" s="200"/>
    </row>
    <row r="1065" spans="2:4" x14ac:dyDescent="0.35">
      <c r="B1065" s="35">
        <v>34680</v>
      </c>
      <c r="C1065" s="34">
        <v>2024.8</v>
      </c>
      <c r="D1065" s="200"/>
    </row>
    <row r="1066" spans="2:4" x14ac:dyDescent="0.35">
      <c r="B1066" s="35">
        <v>34681</v>
      </c>
      <c r="C1066" s="34">
        <v>2011.3</v>
      </c>
      <c r="D1066" s="200"/>
    </row>
    <row r="1067" spans="2:4" x14ac:dyDescent="0.35">
      <c r="B1067" s="35">
        <v>34682</v>
      </c>
      <c r="C1067" s="34">
        <v>2024.8</v>
      </c>
      <c r="D1067" s="200"/>
    </row>
    <row r="1068" spans="2:4" x14ac:dyDescent="0.35">
      <c r="B1068" s="35">
        <v>34683</v>
      </c>
      <c r="C1068" s="34">
        <v>2052.6</v>
      </c>
      <c r="D1068" s="200"/>
    </row>
    <row r="1069" spans="2:4" x14ac:dyDescent="0.35">
      <c r="B1069" s="35">
        <v>34684</v>
      </c>
      <c r="C1069" s="34">
        <v>2070.1</v>
      </c>
      <c r="D1069" s="200"/>
    </row>
    <row r="1070" spans="2:4" x14ac:dyDescent="0.35">
      <c r="B1070" s="35">
        <v>34687</v>
      </c>
      <c r="C1070" s="34">
        <v>2075.9</v>
      </c>
      <c r="D1070" s="200"/>
    </row>
    <row r="1071" spans="2:4" x14ac:dyDescent="0.35">
      <c r="B1071" s="35">
        <v>34688</v>
      </c>
      <c r="C1071" s="34">
        <v>2079.9</v>
      </c>
      <c r="D1071" s="200"/>
    </row>
    <row r="1072" spans="2:4" x14ac:dyDescent="0.35">
      <c r="B1072" s="35">
        <v>34689</v>
      </c>
      <c r="C1072" s="34">
        <v>2086.6999999999998</v>
      </c>
      <c r="D1072" s="200"/>
    </row>
    <row r="1073" spans="2:4" x14ac:dyDescent="0.35">
      <c r="B1073" s="35">
        <v>34690</v>
      </c>
      <c r="C1073" s="34">
        <v>2100.6999999999998</v>
      </c>
      <c r="D1073" s="200"/>
    </row>
    <row r="1074" spans="2:4" x14ac:dyDescent="0.35">
      <c r="B1074" s="35">
        <v>34691</v>
      </c>
      <c r="C1074" s="34">
        <v>2094</v>
      </c>
      <c r="D1074" s="200"/>
    </row>
    <row r="1075" spans="2:4" x14ac:dyDescent="0.35">
      <c r="B1075" s="35">
        <v>34695</v>
      </c>
      <c r="C1075" s="34">
        <v>2106.1999999999998</v>
      </c>
      <c r="D1075" s="200"/>
    </row>
    <row r="1076" spans="2:4" x14ac:dyDescent="0.35">
      <c r="B1076" s="35">
        <v>34696</v>
      </c>
      <c r="C1076" s="34">
        <v>2109</v>
      </c>
      <c r="D1076" s="200"/>
    </row>
    <row r="1077" spans="2:4" x14ac:dyDescent="0.35">
      <c r="B1077" s="35">
        <v>34697</v>
      </c>
      <c r="C1077" s="34">
        <v>2077</v>
      </c>
      <c r="D1077" s="200"/>
    </row>
    <row r="1078" spans="2:4" x14ac:dyDescent="0.35">
      <c r="B1078" s="35">
        <v>34698</v>
      </c>
      <c r="C1078" s="34">
        <v>2106.6</v>
      </c>
      <c r="D1078" s="200"/>
    </row>
    <row r="1079" spans="2:4" x14ac:dyDescent="0.35">
      <c r="B1079" s="35">
        <v>34701</v>
      </c>
      <c r="C1079" s="34">
        <v>2079.5</v>
      </c>
      <c r="D1079" s="200"/>
    </row>
    <row r="1080" spans="2:4" x14ac:dyDescent="0.35">
      <c r="B1080" s="35">
        <v>34702</v>
      </c>
      <c r="C1080" s="34">
        <v>2074.8000000000002</v>
      </c>
      <c r="D1080" s="200"/>
    </row>
    <row r="1081" spans="2:4" x14ac:dyDescent="0.35">
      <c r="B1081" s="35">
        <v>34703</v>
      </c>
      <c r="C1081" s="34">
        <v>2072.3000000000002</v>
      </c>
      <c r="D1081" s="200"/>
    </row>
    <row r="1082" spans="2:4" x14ac:dyDescent="0.35">
      <c r="B1082" s="35">
        <v>34704</v>
      </c>
      <c r="C1082" s="34">
        <v>2062.5</v>
      </c>
      <c r="D1082" s="200"/>
    </row>
    <row r="1083" spans="2:4" x14ac:dyDescent="0.35">
      <c r="B1083" s="35">
        <v>34705</v>
      </c>
      <c r="C1083" s="34">
        <v>2053.9</v>
      </c>
      <c r="D1083" s="200"/>
    </row>
    <row r="1084" spans="2:4" x14ac:dyDescent="0.35">
      <c r="B1084" s="35">
        <v>34708</v>
      </c>
      <c r="C1084" s="34">
        <v>2059.1999999999998</v>
      </c>
      <c r="D1084" s="200"/>
    </row>
    <row r="1085" spans="2:4" x14ac:dyDescent="0.35">
      <c r="B1085" s="35">
        <v>34709</v>
      </c>
      <c r="C1085" s="34">
        <v>2051.1</v>
      </c>
      <c r="D1085" s="200"/>
    </row>
    <row r="1086" spans="2:4" x14ac:dyDescent="0.35">
      <c r="B1086" s="35">
        <v>34710</v>
      </c>
      <c r="C1086" s="34">
        <v>2061.1</v>
      </c>
      <c r="D1086" s="200"/>
    </row>
    <row r="1087" spans="2:4" x14ac:dyDescent="0.35">
      <c r="B1087" s="35">
        <v>34711</v>
      </c>
      <c r="C1087" s="34">
        <v>2071.3000000000002</v>
      </c>
      <c r="D1087" s="200"/>
    </row>
    <row r="1088" spans="2:4" x14ac:dyDescent="0.35">
      <c r="B1088" s="35">
        <v>34712</v>
      </c>
      <c r="C1088" s="34">
        <v>2055.6</v>
      </c>
      <c r="D1088" s="200"/>
    </row>
    <row r="1089" spans="2:4" x14ac:dyDescent="0.35">
      <c r="B1089" s="35">
        <v>34715</v>
      </c>
      <c r="C1089" s="34">
        <v>2085.6</v>
      </c>
      <c r="D1089" s="200"/>
    </row>
    <row r="1090" spans="2:4" x14ac:dyDescent="0.35">
      <c r="B1090" s="35">
        <v>34716</v>
      </c>
      <c r="C1090" s="34">
        <v>2083.9</v>
      </c>
      <c r="D1090" s="200"/>
    </row>
    <row r="1091" spans="2:4" x14ac:dyDescent="0.35">
      <c r="B1091" s="35">
        <v>34717</v>
      </c>
      <c r="C1091" s="34">
        <v>2078.9</v>
      </c>
      <c r="D1091" s="200"/>
    </row>
    <row r="1092" spans="2:4" x14ac:dyDescent="0.35">
      <c r="B1092" s="35">
        <v>34718</v>
      </c>
      <c r="C1092" s="34">
        <v>2089.4</v>
      </c>
      <c r="D1092" s="200"/>
    </row>
    <row r="1093" spans="2:4" x14ac:dyDescent="0.35">
      <c r="B1093" s="35">
        <v>34719</v>
      </c>
      <c r="C1093" s="34">
        <v>2055.6</v>
      </c>
      <c r="D1093" s="200"/>
    </row>
    <row r="1094" spans="2:4" x14ac:dyDescent="0.35">
      <c r="B1094" s="35">
        <v>34722</v>
      </c>
      <c r="C1094" s="34">
        <v>2026.8</v>
      </c>
      <c r="D1094" s="200"/>
    </row>
    <row r="1095" spans="2:4" x14ac:dyDescent="0.35">
      <c r="B1095" s="35">
        <v>34723</v>
      </c>
      <c r="C1095" s="34">
        <v>2018</v>
      </c>
      <c r="D1095" s="200"/>
    </row>
    <row r="1096" spans="2:4" x14ac:dyDescent="0.35">
      <c r="B1096" s="35">
        <v>34724</v>
      </c>
      <c r="C1096" s="34">
        <v>2026.8</v>
      </c>
      <c r="D1096" s="200"/>
    </row>
    <row r="1097" spans="2:4" x14ac:dyDescent="0.35">
      <c r="B1097" s="35">
        <v>34725</v>
      </c>
      <c r="C1097" s="34">
        <v>2030.7</v>
      </c>
      <c r="D1097" s="200"/>
    </row>
    <row r="1098" spans="2:4" x14ac:dyDescent="0.35">
      <c r="B1098" s="35">
        <v>34726</v>
      </c>
      <c r="C1098" s="34">
        <v>2031.7</v>
      </c>
      <c r="D1098" s="200"/>
    </row>
    <row r="1099" spans="2:4" x14ac:dyDescent="0.35">
      <c r="B1099" s="35">
        <v>34729</v>
      </c>
      <c r="C1099" s="34">
        <v>2035</v>
      </c>
      <c r="D1099" s="200"/>
    </row>
    <row r="1100" spans="2:4" x14ac:dyDescent="0.35">
      <c r="B1100" s="35">
        <v>34730</v>
      </c>
      <c r="C1100" s="34">
        <v>2021.3</v>
      </c>
      <c r="D1100" s="200"/>
    </row>
    <row r="1101" spans="2:4" x14ac:dyDescent="0.35">
      <c r="B1101" s="35">
        <v>34731</v>
      </c>
      <c r="C1101" s="34">
        <v>2048.4</v>
      </c>
      <c r="D1101" s="200"/>
    </row>
    <row r="1102" spans="2:4" x14ac:dyDescent="0.35">
      <c r="B1102" s="35">
        <v>34732</v>
      </c>
      <c r="C1102" s="34">
        <v>2045.3</v>
      </c>
      <c r="D1102" s="200"/>
    </row>
    <row r="1103" spans="2:4" x14ac:dyDescent="0.35">
      <c r="B1103" s="35">
        <v>34733</v>
      </c>
      <c r="C1103" s="34">
        <v>2058</v>
      </c>
      <c r="D1103" s="200"/>
    </row>
    <row r="1104" spans="2:4" x14ac:dyDescent="0.35">
      <c r="B1104" s="35">
        <v>34736</v>
      </c>
      <c r="C1104" s="34">
        <v>2089.6999999999998</v>
      </c>
      <c r="D1104" s="200"/>
    </row>
    <row r="1105" spans="2:4" x14ac:dyDescent="0.35">
      <c r="B1105" s="35">
        <v>34737</v>
      </c>
      <c r="C1105" s="34">
        <v>2092.5</v>
      </c>
      <c r="D1105" s="200"/>
    </row>
    <row r="1106" spans="2:4" x14ac:dyDescent="0.35">
      <c r="B1106" s="35">
        <v>34738</v>
      </c>
      <c r="C1106" s="34">
        <v>2087.6</v>
      </c>
      <c r="D1106" s="200"/>
    </row>
    <row r="1107" spans="2:4" x14ac:dyDescent="0.35">
      <c r="B1107" s="35">
        <v>34739</v>
      </c>
      <c r="C1107" s="34">
        <v>2112.6999999999998</v>
      </c>
      <c r="D1107" s="200"/>
    </row>
    <row r="1108" spans="2:4" x14ac:dyDescent="0.35">
      <c r="B1108" s="35">
        <v>34740</v>
      </c>
      <c r="C1108" s="34">
        <v>2130.1999999999998</v>
      </c>
      <c r="D1108" s="200"/>
    </row>
    <row r="1109" spans="2:4" x14ac:dyDescent="0.35">
      <c r="B1109" s="35">
        <v>34743</v>
      </c>
      <c r="C1109" s="34">
        <v>2117</v>
      </c>
      <c r="D1109" s="200"/>
    </row>
    <row r="1110" spans="2:4" x14ac:dyDescent="0.35">
      <c r="B1110" s="35">
        <v>34744</v>
      </c>
      <c r="C1110" s="34">
        <v>2133.1999999999998</v>
      </c>
      <c r="D1110" s="200"/>
    </row>
    <row r="1111" spans="2:4" x14ac:dyDescent="0.35">
      <c r="B1111" s="35">
        <v>34745</v>
      </c>
      <c r="C1111" s="34">
        <v>2135</v>
      </c>
      <c r="D1111" s="200"/>
    </row>
    <row r="1112" spans="2:4" x14ac:dyDescent="0.35">
      <c r="B1112" s="35">
        <v>34746</v>
      </c>
      <c r="C1112" s="34">
        <v>2115.6999999999998</v>
      </c>
      <c r="D1112" s="200"/>
    </row>
    <row r="1113" spans="2:4" x14ac:dyDescent="0.35">
      <c r="B1113" s="35">
        <v>34747</v>
      </c>
      <c r="C1113" s="34">
        <v>2117</v>
      </c>
      <c r="D1113" s="200"/>
    </row>
    <row r="1114" spans="2:4" x14ac:dyDescent="0.35">
      <c r="B1114" s="35">
        <v>34750</v>
      </c>
      <c r="C1114" s="34">
        <v>2101.5</v>
      </c>
      <c r="D1114" s="200"/>
    </row>
    <row r="1115" spans="2:4" x14ac:dyDescent="0.35">
      <c r="B1115" s="35">
        <v>34751</v>
      </c>
      <c r="C1115" s="34">
        <v>2097</v>
      </c>
      <c r="D1115" s="200"/>
    </row>
    <row r="1116" spans="2:4" x14ac:dyDescent="0.35">
      <c r="B1116" s="35">
        <v>34752</v>
      </c>
      <c r="C1116" s="34">
        <v>2093.1999999999998</v>
      </c>
      <c r="D1116" s="200"/>
    </row>
    <row r="1117" spans="2:4" x14ac:dyDescent="0.35">
      <c r="B1117" s="35">
        <v>34753</v>
      </c>
      <c r="C1117" s="34">
        <v>2118.1999999999998</v>
      </c>
      <c r="D1117" s="200"/>
    </row>
    <row r="1118" spans="2:4" x14ac:dyDescent="0.35">
      <c r="B1118" s="35">
        <v>34754</v>
      </c>
      <c r="C1118" s="34">
        <v>2118.6</v>
      </c>
      <c r="D1118" s="200"/>
    </row>
    <row r="1119" spans="2:4" x14ac:dyDescent="0.35">
      <c r="B1119" s="35">
        <v>34757</v>
      </c>
      <c r="C1119" s="34">
        <v>2099.3000000000002</v>
      </c>
      <c r="D1119" s="200"/>
    </row>
    <row r="1120" spans="2:4" x14ac:dyDescent="0.35">
      <c r="B1120" s="35">
        <v>34758</v>
      </c>
      <c r="C1120" s="34">
        <v>2102.1999999999998</v>
      </c>
      <c r="D1120" s="200"/>
    </row>
    <row r="1121" spans="2:4" x14ac:dyDescent="0.35">
      <c r="B1121" s="35">
        <v>34759</v>
      </c>
      <c r="C1121" s="34">
        <v>2126.1999999999998</v>
      </c>
      <c r="D1121" s="200"/>
    </row>
    <row r="1122" spans="2:4" x14ac:dyDescent="0.35">
      <c r="B1122" s="35">
        <v>34760</v>
      </c>
      <c r="C1122" s="34">
        <v>2118.6999999999998</v>
      </c>
      <c r="D1122" s="200"/>
    </row>
    <row r="1123" spans="2:4" x14ac:dyDescent="0.35">
      <c r="B1123" s="35">
        <v>34761</v>
      </c>
      <c r="C1123" s="34">
        <v>2109.5</v>
      </c>
      <c r="D1123" s="200"/>
    </row>
    <row r="1124" spans="2:4" x14ac:dyDescent="0.35">
      <c r="B1124" s="35">
        <v>34764</v>
      </c>
      <c r="C1124" s="34">
        <v>2070.3000000000002</v>
      </c>
      <c r="D1124" s="200"/>
    </row>
    <row r="1125" spans="2:4" x14ac:dyDescent="0.35">
      <c r="B1125" s="35">
        <v>34765</v>
      </c>
      <c r="C1125" s="34">
        <v>2053.3000000000002</v>
      </c>
      <c r="D1125" s="200"/>
    </row>
    <row r="1126" spans="2:4" x14ac:dyDescent="0.35">
      <c r="B1126" s="35">
        <v>34766</v>
      </c>
      <c r="C1126" s="34">
        <v>2025.2</v>
      </c>
      <c r="D1126" s="200"/>
    </row>
    <row r="1127" spans="2:4" x14ac:dyDescent="0.35">
      <c r="B1127" s="35">
        <v>34767</v>
      </c>
      <c r="C1127" s="34">
        <v>2001.6</v>
      </c>
      <c r="D1127" s="200"/>
    </row>
    <row r="1128" spans="2:4" x14ac:dyDescent="0.35">
      <c r="B1128" s="35">
        <v>34768</v>
      </c>
      <c r="C1128" s="34">
        <v>1994</v>
      </c>
      <c r="D1128" s="200"/>
    </row>
    <row r="1129" spans="2:4" x14ac:dyDescent="0.35">
      <c r="B1129" s="35">
        <v>34771</v>
      </c>
      <c r="C1129" s="34">
        <v>1999.5</v>
      </c>
      <c r="D1129" s="200"/>
    </row>
    <row r="1130" spans="2:4" x14ac:dyDescent="0.35">
      <c r="B1130" s="35">
        <v>34772</v>
      </c>
      <c r="C1130" s="34">
        <v>2000.5</v>
      </c>
      <c r="D1130" s="200"/>
    </row>
    <row r="1131" spans="2:4" x14ac:dyDescent="0.35">
      <c r="B1131" s="35">
        <v>34773</v>
      </c>
      <c r="C1131" s="34">
        <v>2010.1</v>
      </c>
      <c r="D1131" s="200"/>
    </row>
    <row r="1132" spans="2:4" x14ac:dyDescent="0.35">
      <c r="B1132" s="35">
        <v>34774</v>
      </c>
      <c r="C1132" s="34">
        <v>1992.1</v>
      </c>
      <c r="D1132" s="200"/>
    </row>
    <row r="1133" spans="2:4" x14ac:dyDescent="0.35">
      <c r="B1133" s="35">
        <v>34775</v>
      </c>
      <c r="C1133" s="34">
        <v>2005.2</v>
      </c>
      <c r="D1133" s="200"/>
    </row>
    <row r="1134" spans="2:4" x14ac:dyDescent="0.35">
      <c r="B1134" s="35">
        <v>34778</v>
      </c>
      <c r="C1134" s="34">
        <v>1991.8</v>
      </c>
      <c r="D1134" s="200"/>
    </row>
    <row r="1135" spans="2:4" x14ac:dyDescent="0.35">
      <c r="B1135" s="35">
        <v>34779</v>
      </c>
      <c r="C1135" s="34">
        <v>1983</v>
      </c>
      <c r="D1135" s="200"/>
    </row>
    <row r="1136" spans="2:4" x14ac:dyDescent="0.35">
      <c r="B1136" s="35">
        <v>34780</v>
      </c>
      <c r="C1136" s="34">
        <v>1984.1</v>
      </c>
      <c r="D1136" s="200"/>
    </row>
    <row r="1137" spans="2:4" x14ac:dyDescent="0.35">
      <c r="B1137" s="35">
        <v>34781</v>
      </c>
      <c r="C1137" s="34">
        <v>1936.1</v>
      </c>
      <c r="D1137" s="200"/>
    </row>
    <row r="1138" spans="2:4" x14ac:dyDescent="0.35">
      <c r="B1138" s="35">
        <v>34782</v>
      </c>
      <c r="C1138" s="34">
        <v>1925.4</v>
      </c>
      <c r="D1138" s="200"/>
    </row>
    <row r="1139" spans="2:4" x14ac:dyDescent="0.35">
      <c r="B1139" s="35">
        <v>34785</v>
      </c>
      <c r="C1139" s="34">
        <v>1946.9</v>
      </c>
      <c r="D1139" s="200"/>
    </row>
    <row r="1140" spans="2:4" x14ac:dyDescent="0.35">
      <c r="B1140" s="35">
        <v>34786</v>
      </c>
      <c r="C1140" s="34">
        <v>1911</v>
      </c>
      <c r="D1140" s="200"/>
    </row>
    <row r="1141" spans="2:4" x14ac:dyDescent="0.35">
      <c r="B1141" s="35">
        <v>34787</v>
      </c>
      <c r="C1141" s="34">
        <v>1918.9</v>
      </c>
      <c r="D1141" s="200"/>
    </row>
    <row r="1142" spans="2:4" x14ac:dyDescent="0.35">
      <c r="B1142" s="35">
        <v>34788</v>
      </c>
      <c r="C1142" s="34">
        <v>1918.5</v>
      </c>
      <c r="D1142" s="200"/>
    </row>
    <row r="1143" spans="2:4" x14ac:dyDescent="0.35">
      <c r="B1143" s="35">
        <v>34789</v>
      </c>
      <c r="C1143" s="34">
        <v>1922.6</v>
      </c>
      <c r="D1143" s="200"/>
    </row>
    <row r="1144" spans="2:4" x14ac:dyDescent="0.35">
      <c r="B1144" s="35">
        <v>34792</v>
      </c>
      <c r="C1144" s="34">
        <v>1930.8</v>
      </c>
      <c r="D1144" s="200"/>
    </row>
    <row r="1145" spans="2:4" x14ac:dyDescent="0.35">
      <c r="B1145" s="35">
        <v>34793</v>
      </c>
      <c r="C1145" s="34">
        <v>1965</v>
      </c>
      <c r="D1145" s="200"/>
    </row>
    <row r="1146" spans="2:4" x14ac:dyDescent="0.35">
      <c r="B1146" s="35">
        <v>34794</v>
      </c>
      <c r="C1146" s="34">
        <v>1969.8</v>
      </c>
      <c r="D1146" s="200"/>
    </row>
    <row r="1147" spans="2:4" x14ac:dyDescent="0.35">
      <c r="B1147" s="35">
        <v>34795</v>
      </c>
      <c r="C1147" s="34">
        <v>1979.3</v>
      </c>
      <c r="D1147" s="200"/>
    </row>
    <row r="1148" spans="2:4" x14ac:dyDescent="0.35">
      <c r="B1148" s="35">
        <v>34796</v>
      </c>
      <c r="C1148" s="34">
        <v>1981.9</v>
      </c>
      <c r="D1148" s="200"/>
    </row>
    <row r="1149" spans="2:4" x14ac:dyDescent="0.35">
      <c r="B1149" s="35">
        <v>34799</v>
      </c>
      <c r="C1149" s="34">
        <v>1972.3</v>
      </c>
      <c r="D1149" s="200"/>
    </row>
    <row r="1150" spans="2:4" x14ac:dyDescent="0.35">
      <c r="B1150" s="35">
        <v>34800</v>
      </c>
      <c r="C1150" s="34">
        <v>1993.7</v>
      </c>
      <c r="D1150" s="200"/>
    </row>
    <row r="1151" spans="2:4" x14ac:dyDescent="0.35">
      <c r="B1151" s="35">
        <v>34801</v>
      </c>
      <c r="C1151" s="34">
        <v>1988.5</v>
      </c>
      <c r="D1151" s="200"/>
    </row>
    <row r="1152" spans="2:4" x14ac:dyDescent="0.35">
      <c r="B1152" s="35">
        <v>34802</v>
      </c>
      <c r="C1152" s="34">
        <v>1986.5</v>
      </c>
      <c r="D1152" s="200"/>
    </row>
    <row r="1153" spans="2:4" x14ac:dyDescent="0.35">
      <c r="B1153" s="35">
        <v>34807</v>
      </c>
      <c r="C1153" s="34">
        <v>1965.3</v>
      </c>
      <c r="D1153" s="200"/>
    </row>
    <row r="1154" spans="2:4" x14ac:dyDescent="0.35">
      <c r="B1154" s="35">
        <v>34808</v>
      </c>
      <c r="C1154" s="34">
        <v>1951</v>
      </c>
      <c r="D1154" s="200"/>
    </row>
    <row r="1155" spans="2:4" x14ac:dyDescent="0.35">
      <c r="B1155" s="35">
        <v>34809</v>
      </c>
      <c r="C1155" s="34">
        <v>1956</v>
      </c>
      <c r="D1155" s="200"/>
    </row>
    <row r="1156" spans="2:4" x14ac:dyDescent="0.35">
      <c r="B1156" s="35">
        <v>34810</v>
      </c>
      <c r="C1156" s="34">
        <v>1976.6</v>
      </c>
      <c r="D1156" s="200"/>
    </row>
    <row r="1157" spans="2:4" x14ac:dyDescent="0.35">
      <c r="B1157" s="35">
        <v>34813</v>
      </c>
      <c r="C1157" s="34">
        <v>1976.2</v>
      </c>
      <c r="D1157" s="200"/>
    </row>
    <row r="1158" spans="2:4" x14ac:dyDescent="0.35">
      <c r="B1158" s="35">
        <v>34814</v>
      </c>
      <c r="C1158" s="34">
        <v>2007</v>
      </c>
      <c r="D1158" s="200"/>
    </row>
    <row r="1159" spans="2:4" x14ac:dyDescent="0.35">
      <c r="B1159" s="35">
        <v>34815</v>
      </c>
      <c r="C1159" s="34">
        <v>2029.5</v>
      </c>
      <c r="D1159" s="200"/>
    </row>
    <row r="1160" spans="2:4" x14ac:dyDescent="0.35">
      <c r="B1160" s="35">
        <v>34816</v>
      </c>
      <c r="C1160" s="34">
        <v>2026.1</v>
      </c>
      <c r="D1160" s="200"/>
    </row>
    <row r="1161" spans="2:4" x14ac:dyDescent="0.35">
      <c r="B1161" s="35">
        <v>34817</v>
      </c>
      <c r="C1161" s="34">
        <v>2015.9</v>
      </c>
      <c r="D1161" s="200"/>
    </row>
    <row r="1162" spans="2:4" x14ac:dyDescent="0.35">
      <c r="B1162" s="35">
        <v>34821</v>
      </c>
      <c r="C1162" s="34">
        <v>2035.9</v>
      </c>
      <c r="D1162" s="200"/>
    </row>
    <row r="1163" spans="2:4" x14ac:dyDescent="0.35">
      <c r="B1163" s="35">
        <v>34822</v>
      </c>
      <c r="C1163" s="34">
        <v>2028.7</v>
      </c>
      <c r="D1163" s="200"/>
    </row>
    <row r="1164" spans="2:4" x14ac:dyDescent="0.35">
      <c r="B1164" s="35">
        <v>34823</v>
      </c>
      <c r="C1164" s="34">
        <v>2044.8</v>
      </c>
      <c r="D1164" s="200"/>
    </row>
    <row r="1165" spans="2:4" x14ac:dyDescent="0.35">
      <c r="B1165" s="35">
        <v>34824</v>
      </c>
      <c r="C1165" s="34">
        <v>2023.8</v>
      </c>
      <c r="D1165" s="200"/>
    </row>
    <row r="1166" spans="2:4" x14ac:dyDescent="0.35">
      <c r="B1166" s="35">
        <v>34827</v>
      </c>
      <c r="C1166" s="34">
        <v>2024.8</v>
      </c>
      <c r="D1166" s="200"/>
    </row>
    <row r="1167" spans="2:4" x14ac:dyDescent="0.35">
      <c r="B1167" s="35">
        <v>34828</v>
      </c>
      <c r="C1167" s="34">
        <v>2039.6</v>
      </c>
      <c r="D1167" s="200"/>
    </row>
    <row r="1168" spans="2:4" x14ac:dyDescent="0.35">
      <c r="B1168" s="35">
        <v>34829</v>
      </c>
      <c r="C1168" s="34">
        <v>2059.1</v>
      </c>
      <c r="D1168" s="200"/>
    </row>
    <row r="1169" spans="2:4" x14ac:dyDescent="0.35">
      <c r="B1169" s="35">
        <v>34830</v>
      </c>
      <c r="C1169" s="34">
        <v>2078.1</v>
      </c>
      <c r="D1169" s="200"/>
    </row>
    <row r="1170" spans="2:4" x14ac:dyDescent="0.35">
      <c r="B1170" s="35">
        <v>34831</v>
      </c>
      <c r="C1170" s="34">
        <v>2096.9</v>
      </c>
      <c r="D1170" s="200"/>
    </row>
    <row r="1171" spans="2:4" x14ac:dyDescent="0.35">
      <c r="B1171" s="35">
        <v>34834</v>
      </c>
      <c r="C1171" s="34">
        <v>2086.6999999999998</v>
      </c>
      <c r="D1171" s="200"/>
    </row>
    <row r="1172" spans="2:4" x14ac:dyDescent="0.35">
      <c r="B1172" s="35">
        <v>34835</v>
      </c>
      <c r="C1172" s="34">
        <v>2110.5</v>
      </c>
      <c r="D1172" s="200"/>
    </row>
    <row r="1173" spans="2:4" x14ac:dyDescent="0.35">
      <c r="B1173" s="35">
        <v>34836</v>
      </c>
      <c r="C1173" s="34">
        <v>2095.3000000000002</v>
      </c>
      <c r="D1173" s="200"/>
    </row>
    <row r="1174" spans="2:4" x14ac:dyDescent="0.35">
      <c r="B1174" s="35">
        <v>34837</v>
      </c>
      <c r="C1174" s="34">
        <v>2087.1</v>
      </c>
      <c r="D1174" s="200"/>
    </row>
    <row r="1175" spans="2:4" x14ac:dyDescent="0.35">
      <c r="B1175" s="35">
        <v>34838</v>
      </c>
      <c r="C1175" s="34">
        <v>2065.1</v>
      </c>
      <c r="D1175" s="200"/>
    </row>
    <row r="1176" spans="2:4" x14ac:dyDescent="0.35">
      <c r="B1176" s="35">
        <v>34841</v>
      </c>
      <c r="C1176" s="34">
        <v>2083.1999999999998</v>
      </c>
      <c r="D1176" s="200"/>
    </row>
    <row r="1177" spans="2:4" x14ac:dyDescent="0.35">
      <c r="B1177" s="35">
        <v>34842</v>
      </c>
      <c r="C1177" s="34">
        <v>2080.4</v>
      </c>
      <c r="D1177" s="200"/>
    </row>
    <row r="1178" spans="2:4" x14ac:dyDescent="0.35">
      <c r="B1178" s="35">
        <v>34843</v>
      </c>
      <c r="C1178" s="34">
        <v>2105.1</v>
      </c>
      <c r="D1178" s="200"/>
    </row>
    <row r="1179" spans="2:4" x14ac:dyDescent="0.35">
      <c r="B1179" s="35">
        <v>34845</v>
      </c>
      <c r="C1179" s="34">
        <v>2077.9</v>
      </c>
      <c r="D1179" s="200"/>
    </row>
    <row r="1180" spans="2:4" x14ac:dyDescent="0.35">
      <c r="B1180" s="35">
        <v>34848</v>
      </c>
      <c r="C1180" s="34">
        <v>2067.4</v>
      </c>
      <c r="D1180" s="200"/>
    </row>
    <row r="1181" spans="2:4" x14ac:dyDescent="0.35">
      <c r="B1181" s="35">
        <v>34849</v>
      </c>
      <c r="C1181" s="34">
        <v>2087.6999999999998</v>
      </c>
      <c r="D1181" s="200"/>
    </row>
    <row r="1182" spans="2:4" x14ac:dyDescent="0.35">
      <c r="B1182" s="35">
        <v>34850</v>
      </c>
      <c r="C1182" s="34">
        <v>2092.1999999999998</v>
      </c>
      <c r="D1182" s="200"/>
    </row>
    <row r="1183" spans="2:4" x14ac:dyDescent="0.35">
      <c r="B1183" s="35">
        <v>34851</v>
      </c>
      <c r="C1183" s="34">
        <v>2126.4</v>
      </c>
      <c r="D1183" s="200"/>
    </row>
    <row r="1184" spans="2:4" x14ac:dyDescent="0.35">
      <c r="B1184" s="35">
        <v>34852</v>
      </c>
      <c r="C1184" s="34">
        <v>2136.3000000000002</v>
      </c>
      <c r="D1184" s="200"/>
    </row>
    <row r="1185" spans="2:4" x14ac:dyDescent="0.35">
      <c r="B1185" s="35">
        <v>34856</v>
      </c>
      <c r="C1185" s="34">
        <v>2146.4</v>
      </c>
      <c r="D1185" s="200"/>
    </row>
    <row r="1186" spans="2:4" x14ac:dyDescent="0.35">
      <c r="B1186" s="35">
        <v>34857</v>
      </c>
      <c r="C1186" s="34">
        <v>2141.1</v>
      </c>
      <c r="D1186" s="200"/>
    </row>
    <row r="1187" spans="2:4" x14ac:dyDescent="0.35">
      <c r="B1187" s="35">
        <v>34858</v>
      </c>
      <c r="C1187" s="34">
        <v>2131</v>
      </c>
      <c r="D1187" s="200"/>
    </row>
    <row r="1188" spans="2:4" x14ac:dyDescent="0.35">
      <c r="B1188" s="35">
        <v>34859</v>
      </c>
      <c r="C1188" s="34">
        <v>2121.8000000000002</v>
      </c>
      <c r="D1188" s="200"/>
    </row>
    <row r="1189" spans="2:4" x14ac:dyDescent="0.35">
      <c r="B1189" s="35">
        <v>34862</v>
      </c>
      <c r="C1189" s="34">
        <v>2119.6</v>
      </c>
      <c r="D1189" s="200"/>
    </row>
    <row r="1190" spans="2:4" x14ac:dyDescent="0.35">
      <c r="B1190" s="35">
        <v>34863</v>
      </c>
      <c r="C1190" s="34">
        <v>2115.1</v>
      </c>
      <c r="D1190" s="200"/>
    </row>
    <row r="1191" spans="2:4" x14ac:dyDescent="0.35">
      <c r="B1191" s="35">
        <v>34864</v>
      </c>
      <c r="C1191" s="34">
        <v>2128</v>
      </c>
      <c r="D1191" s="200"/>
    </row>
    <row r="1192" spans="2:4" x14ac:dyDescent="0.35">
      <c r="B1192" s="35">
        <v>34866</v>
      </c>
      <c r="C1192" s="34">
        <v>2120</v>
      </c>
      <c r="D1192" s="200"/>
    </row>
    <row r="1193" spans="2:4" x14ac:dyDescent="0.35">
      <c r="B1193" s="35">
        <v>34869</v>
      </c>
      <c r="C1193" s="34">
        <v>2141.8000000000002</v>
      </c>
      <c r="D1193" s="200"/>
    </row>
    <row r="1194" spans="2:4" x14ac:dyDescent="0.35">
      <c r="B1194" s="35">
        <v>34870</v>
      </c>
      <c r="C1194" s="34">
        <v>2136.6999999999998</v>
      </c>
      <c r="D1194" s="200"/>
    </row>
    <row r="1195" spans="2:4" x14ac:dyDescent="0.35">
      <c r="B1195" s="35">
        <v>34871</v>
      </c>
      <c r="C1195" s="34">
        <v>2143.6999999999998</v>
      </c>
      <c r="D1195" s="200"/>
    </row>
    <row r="1196" spans="2:4" x14ac:dyDescent="0.35">
      <c r="B1196" s="35">
        <v>34872</v>
      </c>
      <c r="C1196" s="34">
        <v>2148.6999999999998</v>
      </c>
      <c r="D1196" s="200"/>
    </row>
    <row r="1197" spans="2:4" x14ac:dyDescent="0.35">
      <c r="B1197" s="35">
        <v>34873</v>
      </c>
      <c r="C1197" s="34">
        <v>2139.8000000000002</v>
      </c>
      <c r="D1197" s="200"/>
    </row>
    <row r="1198" spans="2:4" x14ac:dyDescent="0.35">
      <c r="B1198" s="35">
        <v>34876</v>
      </c>
      <c r="C1198" s="34">
        <v>2130.4</v>
      </c>
      <c r="D1198" s="200"/>
    </row>
    <row r="1199" spans="2:4" x14ac:dyDescent="0.35">
      <c r="B1199" s="35">
        <v>34877</v>
      </c>
      <c r="C1199" s="34">
        <v>2122.4</v>
      </c>
      <c r="D1199" s="200"/>
    </row>
    <row r="1200" spans="2:4" x14ac:dyDescent="0.35">
      <c r="B1200" s="35">
        <v>34878</v>
      </c>
      <c r="C1200" s="34">
        <v>2096.4</v>
      </c>
      <c r="D1200" s="200"/>
    </row>
    <row r="1201" spans="2:4" x14ac:dyDescent="0.35">
      <c r="B1201" s="35">
        <v>34879</v>
      </c>
      <c r="C1201" s="34">
        <v>2106.6</v>
      </c>
      <c r="D1201" s="200"/>
    </row>
    <row r="1202" spans="2:4" x14ac:dyDescent="0.35">
      <c r="B1202" s="35">
        <v>34880</v>
      </c>
      <c r="C1202" s="34">
        <v>2083.9</v>
      </c>
      <c r="D1202" s="200"/>
    </row>
    <row r="1203" spans="2:4" x14ac:dyDescent="0.35">
      <c r="B1203" s="35">
        <v>34883</v>
      </c>
      <c r="C1203" s="34">
        <v>2092.3000000000002</v>
      </c>
      <c r="D1203" s="200"/>
    </row>
    <row r="1204" spans="2:4" x14ac:dyDescent="0.35">
      <c r="B1204" s="35">
        <v>34884</v>
      </c>
      <c r="C1204" s="34">
        <v>2114.9</v>
      </c>
      <c r="D1204" s="200"/>
    </row>
    <row r="1205" spans="2:4" x14ac:dyDescent="0.35">
      <c r="B1205" s="35">
        <v>34885</v>
      </c>
      <c r="C1205" s="34">
        <v>2105.6999999999998</v>
      </c>
      <c r="D1205" s="200"/>
    </row>
    <row r="1206" spans="2:4" x14ac:dyDescent="0.35">
      <c r="B1206" s="35">
        <v>34886</v>
      </c>
      <c r="C1206" s="34">
        <v>2121.1999999999998</v>
      </c>
      <c r="D1206" s="200"/>
    </row>
    <row r="1207" spans="2:4" x14ac:dyDescent="0.35">
      <c r="B1207" s="35">
        <v>34887</v>
      </c>
      <c r="C1207" s="34">
        <v>2153.4</v>
      </c>
      <c r="D1207" s="200"/>
    </row>
    <row r="1208" spans="2:4" x14ac:dyDescent="0.35">
      <c r="B1208" s="35">
        <v>34890</v>
      </c>
      <c r="C1208" s="34">
        <v>2179.3000000000002</v>
      </c>
      <c r="D1208" s="200"/>
    </row>
    <row r="1209" spans="2:4" x14ac:dyDescent="0.35">
      <c r="B1209" s="35">
        <v>34891</v>
      </c>
      <c r="C1209" s="34">
        <v>2201.9</v>
      </c>
      <c r="D1209" s="200"/>
    </row>
    <row r="1210" spans="2:4" x14ac:dyDescent="0.35">
      <c r="B1210" s="35">
        <v>34892</v>
      </c>
      <c r="C1210" s="34">
        <v>2199.1</v>
      </c>
      <c r="D1210" s="200"/>
    </row>
    <row r="1211" spans="2:4" x14ac:dyDescent="0.35">
      <c r="B1211" s="35">
        <v>34893</v>
      </c>
      <c r="C1211" s="34">
        <v>2214.4</v>
      </c>
      <c r="D1211" s="200"/>
    </row>
    <row r="1212" spans="2:4" x14ac:dyDescent="0.35">
      <c r="B1212" s="35">
        <v>34894</v>
      </c>
      <c r="C1212" s="34">
        <v>2184.9</v>
      </c>
      <c r="D1212" s="200"/>
    </row>
    <row r="1213" spans="2:4" x14ac:dyDescent="0.35">
      <c r="B1213" s="35">
        <v>34897</v>
      </c>
      <c r="C1213" s="34">
        <v>2199.6</v>
      </c>
      <c r="D1213" s="200"/>
    </row>
    <row r="1214" spans="2:4" x14ac:dyDescent="0.35">
      <c r="B1214" s="35">
        <v>34898</v>
      </c>
      <c r="C1214" s="34">
        <v>2193</v>
      </c>
      <c r="D1214" s="200"/>
    </row>
    <row r="1215" spans="2:4" x14ac:dyDescent="0.35">
      <c r="B1215" s="35">
        <v>34899</v>
      </c>
      <c r="C1215" s="34">
        <v>2182.9</v>
      </c>
      <c r="D1215" s="200"/>
    </row>
    <row r="1216" spans="2:4" x14ac:dyDescent="0.35">
      <c r="B1216" s="35">
        <v>34900</v>
      </c>
      <c r="C1216" s="34">
        <v>2184.3000000000002</v>
      </c>
      <c r="D1216" s="200"/>
    </row>
    <row r="1217" spans="2:4" x14ac:dyDescent="0.35">
      <c r="B1217" s="35">
        <v>34901</v>
      </c>
      <c r="C1217" s="34">
        <v>2201.9</v>
      </c>
      <c r="D1217" s="200"/>
    </row>
    <row r="1218" spans="2:4" x14ac:dyDescent="0.35">
      <c r="B1218" s="35">
        <v>34904</v>
      </c>
      <c r="C1218" s="34">
        <v>2197.5</v>
      </c>
      <c r="D1218" s="200"/>
    </row>
    <row r="1219" spans="2:4" x14ac:dyDescent="0.35">
      <c r="B1219" s="35">
        <v>34905</v>
      </c>
      <c r="C1219" s="34">
        <v>2229.1</v>
      </c>
      <c r="D1219" s="200"/>
    </row>
    <row r="1220" spans="2:4" x14ac:dyDescent="0.35">
      <c r="B1220" s="35">
        <v>34906</v>
      </c>
      <c r="C1220" s="34">
        <v>2240.8000000000002</v>
      </c>
      <c r="D1220" s="200"/>
    </row>
    <row r="1221" spans="2:4" x14ac:dyDescent="0.35">
      <c r="B1221" s="35">
        <v>34907</v>
      </c>
      <c r="C1221" s="34">
        <v>2234.4</v>
      </c>
      <c r="D1221" s="200"/>
    </row>
    <row r="1222" spans="2:4" x14ac:dyDescent="0.35">
      <c r="B1222" s="35">
        <v>34908</v>
      </c>
      <c r="C1222" s="34">
        <v>2230</v>
      </c>
      <c r="D1222" s="200"/>
    </row>
    <row r="1223" spans="2:4" x14ac:dyDescent="0.35">
      <c r="B1223" s="35">
        <v>34911</v>
      </c>
      <c r="C1223" s="34">
        <v>2218.6999999999998</v>
      </c>
      <c r="D1223" s="200"/>
    </row>
    <row r="1224" spans="2:4" x14ac:dyDescent="0.35">
      <c r="B1224" s="35">
        <v>34912</v>
      </c>
      <c r="C1224" s="34">
        <v>2220</v>
      </c>
      <c r="D1224" s="200"/>
    </row>
    <row r="1225" spans="2:4" x14ac:dyDescent="0.35">
      <c r="B1225" s="35">
        <v>34913</v>
      </c>
      <c r="C1225" s="34">
        <v>2241.5</v>
      </c>
      <c r="D1225" s="200"/>
    </row>
    <row r="1226" spans="2:4" x14ac:dyDescent="0.35">
      <c r="B1226" s="35">
        <v>34914</v>
      </c>
      <c r="C1226" s="34">
        <v>2240.6999999999998</v>
      </c>
      <c r="D1226" s="200"/>
    </row>
    <row r="1227" spans="2:4" x14ac:dyDescent="0.35">
      <c r="B1227" s="35">
        <v>34915</v>
      </c>
      <c r="C1227" s="34">
        <v>2236</v>
      </c>
      <c r="D1227" s="200"/>
    </row>
    <row r="1228" spans="2:4" x14ac:dyDescent="0.35">
      <c r="B1228" s="35">
        <v>34918</v>
      </c>
      <c r="C1228" s="34">
        <v>2243.4</v>
      </c>
      <c r="D1228" s="200"/>
    </row>
    <row r="1229" spans="2:4" x14ac:dyDescent="0.35">
      <c r="B1229" s="35">
        <v>34919</v>
      </c>
      <c r="C1229" s="34">
        <v>2237.6999999999998</v>
      </c>
      <c r="D1229" s="200"/>
    </row>
    <row r="1230" spans="2:4" x14ac:dyDescent="0.35">
      <c r="B1230" s="35">
        <v>34920</v>
      </c>
      <c r="C1230" s="34">
        <v>2221.8000000000002</v>
      </c>
      <c r="D1230" s="200"/>
    </row>
    <row r="1231" spans="2:4" x14ac:dyDescent="0.35">
      <c r="B1231" s="35">
        <v>34921</v>
      </c>
      <c r="C1231" s="34">
        <v>2218.6999999999998</v>
      </c>
      <c r="D1231" s="200"/>
    </row>
    <row r="1232" spans="2:4" x14ac:dyDescent="0.35">
      <c r="B1232" s="35">
        <v>34922</v>
      </c>
      <c r="C1232" s="34">
        <v>2232.9</v>
      </c>
      <c r="D1232" s="200"/>
    </row>
    <row r="1233" spans="2:4" x14ac:dyDescent="0.35">
      <c r="B1233" s="35">
        <v>34925</v>
      </c>
      <c r="C1233" s="34">
        <v>2208.5</v>
      </c>
      <c r="D1233" s="200"/>
    </row>
    <row r="1234" spans="2:4" x14ac:dyDescent="0.35">
      <c r="B1234" s="35">
        <v>34926</v>
      </c>
      <c r="C1234" s="34">
        <v>2227.6</v>
      </c>
      <c r="D1234" s="200"/>
    </row>
    <row r="1235" spans="2:4" x14ac:dyDescent="0.35">
      <c r="B1235" s="35">
        <v>34927</v>
      </c>
      <c r="C1235" s="34">
        <v>2252.9</v>
      </c>
      <c r="D1235" s="200"/>
    </row>
    <row r="1236" spans="2:4" x14ac:dyDescent="0.35">
      <c r="B1236" s="35">
        <v>34928</v>
      </c>
      <c r="C1236" s="34">
        <v>2260.3000000000002</v>
      </c>
      <c r="D1236" s="200"/>
    </row>
    <row r="1237" spans="2:4" x14ac:dyDescent="0.35">
      <c r="B1237" s="35">
        <v>34929</v>
      </c>
      <c r="C1237" s="34">
        <v>2263.5</v>
      </c>
      <c r="D1237" s="200"/>
    </row>
    <row r="1238" spans="2:4" x14ac:dyDescent="0.35">
      <c r="B1238" s="35">
        <v>34932</v>
      </c>
      <c r="C1238" s="34">
        <v>2269.4</v>
      </c>
      <c r="D1238" s="200"/>
    </row>
    <row r="1239" spans="2:4" x14ac:dyDescent="0.35">
      <c r="B1239" s="35">
        <v>34933</v>
      </c>
      <c r="C1239" s="34">
        <v>2258.9</v>
      </c>
      <c r="D1239" s="200"/>
    </row>
    <row r="1240" spans="2:4" x14ac:dyDescent="0.35">
      <c r="B1240" s="35">
        <v>34934</v>
      </c>
      <c r="C1240" s="34">
        <v>2263.4</v>
      </c>
      <c r="D1240" s="200"/>
    </row>
    <row r="1241" spans="2:4" x14ac:dyDescent="0.35">
      <c r="B1241" s="35">
        <v>34935</v>
      </c>
      <c r="C1241" s="34">
        <v>2262.9</v>
      </c>
      <c r="D1241" s="200"/>
    </row>
    <row r="1242" spans="2:4" x14ac:dyDescent="0.35">
      <c r="B1242" s="35">
        <v>34936</v>
      </c>
      <c r="C1242" s="34">
        <v>2249.3000000000002</v>
      </c>
      <c r="D1242" s="200"/>
    </row>
    <row r="1243" spans="2:4" x14ac:dyDescent="0.35">
      <c r="B1243" s="35">
        <v>34939</v>
      </c>
      <c r="C1243" s="34">
        <v>2241.1</v>
      </c>
      <c r="D1243" s="200"/>
    </row>
    <row r="1244" spans="2:4" x14ac:dyDescent="0.35">
      <c r="B1244" s="35">
        <v>34940</v>
      </c>
      <c r="C1244" s="34">
        <v>2231.6</v>
      </c>
      <c r="D1244" s="200"/>
    </row>
    <row r="1245" spans="2:4" x14ac:dyDescent="0.35">
      <c r="B1245" s="35">
        <v>34941</v>
      </c>
      <c r="C1245" s="34">
        <v>2240.1</v>
      </c>
      <c r="D1245" s="200"/>
    </row>
    <row r="1246" spans="2:4" x14ac:dyDescent="0.35">
      <c r="B1246" s="35">
        <v>34942</v>
      </c>
      <c r="C1246" s="34">
        <v>2238.3000000000002</v>
      </c>
      <c r="D1246" s="200"/>
    </row>
    <row r="1247" spans="2:4" x14ac:dyDescent="0.35">
      <c r="B1247" s="35">
        <v>34943</v>
      </c>
      <c r="C1247" s="34">
        <v>2233.1</v>
      </c>
      <c r="D1247" s="200"/>
    </row>
    <row r="1248" spans="2:4" x14ac:dyDescent="0.35">
      <c r="B1248" s="35">
        <v>34946</v>
      </c>
      <c r="C1248" s="34">
        <v>2250.3000000000002</v>
      </c>
      <c r="D1248" s="200"/>
    </row>
    <row r="1249" spans="2:4" x14ac:dyDescent="0.35">
      <c r="B1249" s="35">
        <v>34947</v>
      </c>
      <c r="C1249" s="34">
        <v>2264.8000000000002</v>
      </c>
      <c r="D1249" s="200"/>
    </row>
    <row r="1250" spans="2:4" x14ac:dyDescent="0.35">
      <c r="B1250" s="35">
        <v>34948</v>
      </c>
      <c r="C1250" s="34">
        <v>2277.1</v>
      </c>
      <c r="D1250" s="200"/>
    </row>
    <row r="1251" spans="2:4" x14ac:dyDescent="0.35">
      <c r="B1251" s="35">
        <v>34949</v>
      </c>
      <c r="C1251" s="34">
        <v>2268</v>
      </c>
      <c r="D1251" s="200"/>
    </row>
    <row r="1252" spans="2:4" x14ac:dyDescent="0.35">
      <c r="B1252" s="35">
        <v>34950</v>
      </c>
      <c r="C1252" s="34">
        <v>2273.6999999999998</v>
      </c>
      <c r="D1252" s="200"/>
    </row>
    <row r="1253" spans="2:4" x14ac:dyDescent="0.35">
      <c r="B1253" s="35">
        <v>34953</v>
      </c>
      <c r="C1253" s="34">
        <v>2260.8000000000002</v>
      </c>
      <c r="D1253" s="200"/>
    </row>
    <row r="1254" spans="2:4" x14ac:dyDescent="0.35">
      <c r="B1254" s="35">
        <v>34954</v>
      </c>
      <c r="C1254" s="34">
        <v>2270.8000000000002</v>
      </c>
      <c r="D1254" s="200"/>
    </row>
    <row r="1255" spans="2:4" x14ac:dyDescent="0.35">
      <c r="B1255" s="35">
        <v>34955</v>
      </c>
      <c r="C1255" s="34">
        <v>2295.5</v>
      </c>
      <c r="D1255" s="200"/>
    </row>
    <row r="1256" spans="2:4" x14ac:dyDescent="0.35">
      <c r="B1256" s="35">
        <v>34956</v>
      </c>
      <c r="C1256" s="34">
        <v>2300</v>
      </c>
      <c r="D1256" s="200"/>
    </row>
    <row r="1257" spans="2:4" x14ac:dyDescent="0.35">
      <c r="B1257" s="35">
        <v>34957</v>
      </c>
      <c r="C1257" s="34">
        <v>2317</v>
      </c>
      <c r="D1257" s="200"/>
    </row>
    <row r="1258" spans="2:4" x14ac:dyDescent="0.35">
      <c r="B1258" s="35">
        <v>34960</v>
      </c>
      <c r="C1258" s="34">
        <v>2301.4</v>
      </c>
      <c r="D1258" s="200"/>
    </row>
    <row r="1259" spans="2:4" x14ac:dyDescent="0.35">
      <c r="B1259" s="35">
        <v>34961</v>
      </c>
      <c r="C1259" s="34">
        <v>2311.3000000000002</v>
      </c>
      <c r="D1259" s="200"/>
    </row>
    <row r="1260" spans="2:4" x14ac:dyDescent="0.35">
      <c r="B1260" s="35">
        <v>34962</v>
      </c>
      <c r="C1260" s="34">
        <v>2305.1</v>
      </c>
      <c r="D1260" s="200"/>
    </row>
    <row r="1261" spans="2:4" x14ac:dyDescent="0.35">
      <c r="B1261" s="35">
        <v>34963</v>
      </c>
      <c r="C1261" s="34">
        <v>2287.3000000000002</v>
      </c>
      <c r="D1261" s="200"/>
    </row>
    <row r="1262" spans="2:4" x14ac:dyDescent="0.35">
      <c r="B1262" s="35">
        <v>34964</v>
      </c>
      <c r="C1262" s="34">
        <v>2211.8000000000002</v>
      </c>
      <c r="D1262" s="200"/>
    </row>
    <row r="1263" spans="2:4" x14ac:dyDescent="0.35">
      <c r="B1263" s="35">
        <v>34967</v>
      </c>
      <c r="C1263" s="34">
        <v>2208.4</v>
      </c>
      <c r="D1263" s="200"/>
    </row>
    <row r="1264" spans="2:4" x14ac:dyDescent="0.35">
      <c r="B1264" s="35">
        <v>34968</v>
      </c>
      <c r="C1264" s="34">
        <v>2227.9</v>
      </c>
      <c r="D1264" s="200"/>
    </row>
    <row r="1265" spans="2:4" x14ac:dyDescent="0.35">
      <c r="B1265" s="35">
        <v>34969</v>
      </c>
      <c r="C1265" s="34">
        <v>2185.4</v>
      </c>
      <c r="D1265" s="200"/>
    </row>
    <row r="1266" spans="2:4" x14ac:dyDescent="0.35">
      <c r="B1266" s="35">
        <v>34970</v>
      </c>
      <c r="C1266" s="34">
        <v>2171.9</v>
      </c>
      <c r="D1266" s="200"/>
    </row>
    <row r="1267" spans="2:4" x14ac:dyDescent="0.35">
      <c r="B1267" s="35">
        <v>34971</v>
      </c>
      <c r="C1267" s="34">
        <v>2187</v>
      </c>
      <c r="D1267" s="200"/>
    </row>
    <row r="1268" spans="2:4" x14ac:dyDescent="0.35">
      <c r="B1268" s="35">
        <v>34974</v>
      </c>
      <c r="C1268" s="34">
        <v>2205</v>
      </c>
      <c r="D1268" s="200"/>
    </row>
    <row r="1269" spans="2:4" x14ac:dyDescent="0.35">
      <c r="B1269" s="35">
        <v>34976</v>
      </c>
      <c r="C1269" s="34">
        <v>2217.8000000000002</v>
      </c>
      <c r="D1269" s="200"/>
    </row>
    <row r="1270" spans="2:4" x14ac:dyDescent="0.35">
      <c r="B1270" s="35">
        <v>34977</v>
      </c>
      <c r="C1270" s="34">
        <v>2208.8000000000002</v>
      </c>
      <c r="D1270" s="200"/>
    </row>
    <row r="1271" spans="2:4" x14ac:dyDescent="0.35">
      <c r="B1271" s="35">
        <v>34978</v>
      </c>
      <c r="C1271" s="34">
        <v>2171.4</v>
      </c>
      <c r="D1271" s="200"/>
    </row>
    <row r="1272" spans="2:4" x14ac:dyDescent="0.35">
      <c r="B1272" s="35">
        <v>34981</v>
      </c>
      <c r="C1272" s="34">
        <v>2168.6999999999998</v>
      </c>
      <c r="D1272" s="200"/>
    </row>
    <row r="1273" spans="2:4" x14ac:dyDescent="0.35">
      <c r="B1273" s="35">
        <v>34982</v>
      </c>
      <c r="C1273" s="34">
        <v>2138.8000000000002</v>
      </c>
      <c r="D1273" s="200"/>
    </row>
    <row r="1274" spans="2:4" x14ac:dyDescent="0.35">
      <c r="B1274" s="35">
        <v>34983</v>
      </c>
      <c r="C1274" s="34">
        <v>2145.3000000000002</v>
      </c>
      <c r="D1274" s="200"/>
    </row>
    <row r="1275" spans="2:4" x14ac:dyDescent="0.35">
      <c r="B1275" s="35">
        <v>34984</v>
      </c>
      <c r="C1275" s="34">
        <v>2158.1</v>
      </c>
      <c r="D1275" s="200"/>
    </row>
    <row r="1276" spans="2:4" x14ac:dyDescent="0.35">
      <c r="B1276" s="35">
        <v>34985</v>
      </c>
      <c r="C1276" s="34">
        <v>2196.8000000000002</v>
      </c>
      <c r="D1276" s="200"/>
    </row>
    <row r="1277" spans="2:4" x14ac:dyDescent="0.35">
      <c r="B1277" s="35">
        <v>34988</v>
      </c>
      <c r="C1277" s="34">
        <v>2191.4</v>
      </c>
      <c r="D1277" s="200"/>
    </row>
    <row r="1278" spans="2:4" x14ac:dyDescent="0.35">
      <c r="B1278" s="35">
        <v>34989</v>
      </c>
      <c r="C1278" s="34">
        <v>2201</v>
      </c>
      <c r="D1278" s="200"/>
    </row>
    <row r="1279" spans="2:4" x14ac:dyDescent="0.35">
      <c r="B1279" s="35">
        <v>34990</v>
      </c>
      <c r="C1279" s="34">
        <v>2194.8000000000002</v>
      </c>
      <c r="D1279" s="200"/>
    </row>
    <row r="1280" spans="2:4" x14ac:dyDescent="0.35">
      <c r="B1280" s="35">
        <v>34991</v>
      </c>
      <c r="C1280" s="34">
        <v>2179.6</v>
      </c>
      <c r="D1280" s="200"/>
    </row>
    <row r="1281" spans="2:4" x14ac:dyDescent="0.35">
      <c r="B1281" s="35">
        <v>34992</v>
      </c>
      <c r="C1281" s="34">
        <v>2170.5</v>
      </c>
      <c r="D1281" s="200"/>
    </row>
    <row r="1282" spans="2:4" x14ac:dyDescent="0.35">
      <c r="B1282" s="35">
        <v>34995</v>
      </c>
      <c r="C1282" s="34">
        <v>2107.4</v>
      </c>
      <c r="D1282" s="200"/>
    </row>
    <row r="1283" spans="2:4" x14ac:dyDescent="0.35">
      <c r="B1283" s="35">
        <v>34996</v>
      </c>
      <c r="C1283" s="34">
        <v>2113.6</v>
      </c>
      <c r="D1283" s="200"/>
    </row>
    <row r="1284" spans="2:4" x14ac:dyDescent="0.35">
      <c r="B1284" s="35">
        <v>34997</v>
      </c>
      <c r="C1284" s="34">
        <v>2150.1</v>
      </c>
      <c r="D1284" s="200"/>
    </row>
    <row r="1285" spans="2:4" x14ac:dyDescent="0.35">
      <c r="B1285" s="35">
        <v>34998</v>
      </c>
      <c r="C1285" s="34">
        <v>2131.8000000000002</v>
      </c>
      <c r="D1285" s="200"/>
    </row>
    <row r="1286" spans="2:4" x14ac:dyDescent="0.35">
      <c r="B1286" s="35">
        <v>34999</v>
      </c>
      <c r="C1286" s="34">
        <v>2096.1</v>
      </c>
      <c r="D1286" s="200"/>
    </row>
    <row r="1287" spans="2:4" x14ac:dyDescent="0.35">
      <c r="B1287" s="35">
        <v>35002</v>
      </c>
      <c r="C1287" s="34">
        <v>2146.1</v>
      </c>
      <c r="D1287" s="200"/>
    </row>
    <row r="1288" spans="2:4" x14ac:dyDescent="0.35">
      <c r="B1288" s="35">
        <v>35003</v>
      </c>
      <c r="C1288" s="34">
        <v>2167.9</v>
      </c>
      <c r="D1288" s="200"/>
    </row>
    <row r="1289" spans="2:4" x14ac:dyDescent="0.35">
      <c r="B1289" s="35">
        <v>35004</v>
      </c>
      <c r="C1289" s="34">
        <v>2163.1999999999998</v>
      </c>
      <c r="D1289" s="200"/>
    </row>
    <row r="1290" spans="2:4" x14ac:dyDescent="0.35">
      <c r="B1290" s="35">
        <v>35005</v>
      </c>
      <c r="C1290" s="34">
        <v>2184</v>
      </c>
      <c r="D1290" s="200"/>
    </row>
    <row r="1291" spans="2:4" x14ac:dyDescent="0.35">
      <c r="B1291" s="35">
        <v>35006</v>
      </c>
      <c r="C1291" s="34">
        <v>2181.6999999999998</v>
      </c>
      <c r="D1291" s="200"/>
    </row>
    <row r="1292" spans="2:4" x14ac:dyDescent="0.35">
      <c r="B1292" s="35">
        <v>35009</v>
      </c>
      <c r="C1292" s="34">
        <v>2165.8000000000002</v>
      </c>
      <c r="D1292" s="200"/>
    </row>
    <row r="1293" spans="2:4" x14ac:dyDescent="0.35">
      <c r="B1293" s="35">
        <v>35010</v>
      </c>
      <c r="C1293" s="34">
        <v>2175</v>
      </c>
      <c r="D1293" s="200"/>
    </row>
    <row r="1294" spans="2:4" x14ac:dyDescent="0.35">
      <c r="B1294" s="35">
        <v>35011</v>
      </c>
      <c r="C1294" s="34">
        <v>2172.3000000000002</v>
      </c>
      <c r="D1294" s="200"/>
    </row>
    <row r="1295" spans="2:4" x14ac:dyDescent="0.35">
      <c r="B1295" s="35">
        <v>35012</v>
      </c>
      <c r="C1295" s="34">
        <v>2192.8000000000002</v>
      </c>
      <c r="D1295" s="200"/>
    </row>
    <row r="1296" spans="2:4" x14ac:dyDescent="0.35">
      <c r="B1296" s="35">
        <v>35013</v>
      </c>
      <c r="C1296" s="34">
        <v>2172.1999999999998</v>
      </c>
      <c r="D1296" s="200"/>
    </row>
    <row r="1297" spans="2:4" x14ac:dyDescent="0.35">
      <c r="B1297" s="35">
        <v>35016</v>
      </c>
      <c r="C1297" s="34">
        <v>2175.3000000000002</v>
      </c>
      <c r="D1297" s="200"/>
    </row>
    <row r="1298" spans="2:4" x14ac:dyDescent="0.35">
      <c r="B1298" s="35">
        <v>35017</v>
      </c>
      <c r="C1298" s="34">
        <v>2197.3000000000002</v>
      </c>
      <c r="D1298" s="200"/>
    </row>
    <row r="1299" spans="2:4" x14ac:dyDescent="0.35">
      <c r="B1299" s="35">
        <v>35018</v>
      </c>
      <c r="C1299" s="34">
        <v>2186.1999999999998</v>
      </c>
      <c r="D1299" s="200"/>
    </row>
    <row r="1300" spans="2:4" x14ac:dyDescent="0.35">
      <c r="B1300" s="35">
        <v>35019</v>
      </c>
      <c r="C1300" s="34">
        <v>2200.6999999999998</v>
      </c>
      <c r="D1300" s="200"/>
    </row>
    <row r="1301" spans="2:4" x14ac:dyDescent="0.35">
      <c r="B1301" s="35">
        <v>35020</v>
      </c>
      <c r="C1301" s="34">
        <v>2201.3000000000002</v>
      </c>
      <c r="D1301" s="200"/>
    </row>
    <row r="1302" spans="2:4" x14ac:dyDescent="0.35">
      <c r="B1302" s="35">
        <v>35023</v>
      </c>
      <c r="C1302" s="34">
        <v>2218.3000000000002</v>
      </c>
      <c r="D1302" s="200"/>
    </row>
    <row r="1303" spans="2:4" x14ac:dyDescent="0.35">
      <c r="B1303" s="35">
        <v>35024</v>
      </c>
      <c r="C1303" s="34">
        <v>2205.1</v>
      </c>
      <c r="D1303" s="200"/>
    </row>
    <row r="1304" spans="2:4" x14ac:dyDescent="0.35">
      <c r="B1304" s="35">
        <v>35025</v>
      </c>
      <c r="C1304" s="34">
        <v>2193.3000000000002</v>
      </c>
      <c r="D1304" s="200"/>
    </row>
    <row r="1305" spans="2:4" x14ac:dyDescent="0.35">
      <c r="B1305" s="35">
        <v>35026</v>
      </c>
      <c r="C1305" s="34">
        <v>2192.3000000000002</v>
      </c>
      <c r="D1305" s="200"/>
    </row>
    <row r="1306" spans="2:4" x14ac:dyDescent="0.35">
      <c r="B1306" s="35">
        <v>35027</v>
      </c>
      <c r="C1306" s="34">
        <v>2198.1999999999998</v>
      </c>
      <c r="D1306" s="200"/>
    </row>
    <row r="1307" spans="2:4" x14ac:dyDescent="0.35">
      <c r="B1307" s="35">
        <v>35030</v>
      </c>
      <c r="C1307" s="34">
        <v>2238.1</v>
      </c>
      <c r="D1307" s="200"/>
    </row>
    <row r="1308" spans="2:4" x14ac:dyDescent="0.35">
      <c r="B1308" s="35">
        <v>35031</v>
      </c>
      <c r="C1308" s="34">
        <v>2241.5</v>
      </c>
      <c r="D1308" s="200"/>
    </row>
    <row r="1309" spans="2:4" x14ac:dyDescent="0.35">
      <c r="B1309" s="35">
        <v>35032</v>
      </c>
      <c r="C1309" s="34">
        <v>2245.6</v>
      </c>
      <c r="D1309" s="200"/>
    </row>
    <row r="1310" spans="2:4" x14ac:dyDescent="0.35">
      <c r="B1310" s="35">
        <v>35033</v>
      </c>
      <c r="C1310" s="34">
        <v>2242.8000000000002</v>
      </c>
      <c r="D1310" s="200"/>
    </row>
    <row r="1311" spans="2:4" x14ac:dyDescent="0.35">
      <c r="B1311" s="35">
        <v>35034</v>
      </c>
      <c r="C1311" s="34">
        <v>2260.6999999999998</v>
      </c>
      <c r="D1311" s="200"/>
    </row>
    <row r="1312" spans="2:4" x14ac:dyDescent="0.35">
      <c r="B1312" s="35">
        <v>35037</v>
      </c>
      <c r="C1312" s="34">
        <v>2252.1999999999998</v>
      </c>
      <c r="D1312" s="200"/>
    </row>
    <row r="1313" spans="2:4" x14ac:dyDescent="0.35">
      <c r="B1313" s="35">
        <v>35038</v>
      </c>
      <c r="C1313" s="34">
        <v>2261</v>
      </c>
      <c r="D1313" s="200"/>
    </row>
    <row r="1314" spans="2:4" x14ac:dyDescent="0.35">
      <c r="B1314" s="35">
        <v>35039</v>
      </c>
      <c r="C1314" s="34">
        <v>2267.1999999999998</v>
      </c>
      <c r="D1314" s="200"/>
    </row>
    <row r="1315" spans="2:4" x14ac:dyDescent="0.35">
      <c r="B1315" s="35">
        <v>35040</v>
      </c>
      <c r="C1315" s="34">
        <v>2263.1</v>
      </c>
      <c r="D1315" s="200"/>
    </row>
    <row r="1316" spans="2:4" x14ac:dyDescent="0.35">
      <c r="B1316" s="35">
        <v>35041</v>
      </c>
      <c r="C1316" s="34">
        <v>2267.5</v>
      </c>
      <c r="D1316" s="200"/>
    </row>
    <row r="1317" spans="2:4" x14ac:dyDescent="0.35">
      <c r="B1317" s="35">
        <v>35044</v>
      </c>
      <c r="C1317" s="34">
        <v>2272.8000000000002</v>
      </c>
      <c r="D1317" s="200"/>
    </row>
    <row r="1318" spans="2:4" x14ac:dyDescent="0.35">
      <c r="B1318" s="35">
        <v>35045</v>
      </c>
      <c r="C1318" s="34">
        <v>2289.8000000000002</v>
      </c>
      <c r="D1318" s="200"/>
    </row>
    <row r="1319" spans="2:4" x14ac:dyDescent="0.35">
      <c r="B1319" s="35">
        <v>35046</v>
      </c>
      <c r="C1319" s="34">
        <v>2277.8000000000002</v>
      </c>
      <c r="D1319" s="200"/>
    </row>
    <row r="1320" spans="2:4" x14ac:dyDescent="0.35">
      <c r="B1320" s="35">
        <v>35047</v>
      </c>
      <c r="C1320" s="34">
        <v>2285.9</v>
      </c>
      <c r="D1320" s="200"/>
    </row>
    <row r="1321" spans="2:4" x14ac:dyDescent="0.35">
      <c r="B1321" s="35">
        <v>35048</v>
      </c>
      <c r="C1321" s="34">
        <v>2284.8000000000002</v>
      </c>
      <c r="D1321" s="200"/>
    </row>
    <row r="1322" spans="2:4" x14ac:dyDescent="0.35">
      <c r="B1322" s="35">
        <v>35051</v>
      </c>
      <c r="C1322" s="34">
        <v>2266.1999999999998</v>
      </c>
      <c r="D1322" s="200"/>
    </row>
    <row r="1323" spans="2:4" x14ac:dyDescent="0.35">
      <c r="B1323" s="35">
        <v>35052</v>
      </c>
      <c r="C1323" s="34">
        <v>2235.6</v>
      </c>
      <c r="D1323" s="200"/>
    </row>
    <row r="1324" spans="2:4" x14ac:dyDescent="0.35">
      <c r="B1324" s="35">
        <v>35053</v>
      </c>
      <c r="C1324" s="34">
        <v>2262.1</v>
      </c>
      <c r="D1324" s="200"/>
    </row>
    <row r="1325" spans="2:4" x14ac:dyDescent="0.35">
      <c r="B1325" s="35">
        <v>35054</v>
      </c>
      <c r="C1325" s="34">
        <v>2265.1</v>
      </c>
      <c r="D1325" s="200"/>
    </row>
    <row r="1326" spans="2:4" x14ac:dyDescent="0.35">
      <c r="B1326" s="35">
        <v>35055</v>
      </c>
      <c r="C1326" s="34">
        <v>2280.4</v>
      </c>
      <c r="D1326" s="200"/>
    </row>
    <row r="1327" spans="2:4" x14ac:dyDescent="0.35">
      <c r="B1327" s="35">
        <v>35060</v>
      </c>
      <c r="C1327" s="34">
        <v>2280.4</v>
      </c>
      <c r="D1327" s="200"/>
    </row>
    <row r="1328" spans="2:4" x14ac:dyDescent="0.35">
      <c r="B1328" s="35">
        <v>35061</v>
      </c>
      <c r="C1328" s="34">
        <v>2275.8000000000002</v>
      </c>
      <c r="D1328" s="200"/>
    </row>
    <row r="1329" spans="2:4" x14ac:dyDescent="0.35">
      <c r="B1329" s="35">
        <v>35062</v>
      </c>
      <c r="C1329" s="34">
        <v>2253.9</v>
      </c>
      <c r="D1329" s="200"/>
    </row>
    <row r="1330" spans="2:4" x14ac:dyDescent="0.35">
      <c r="B1330" s="35">
        <v>35066</v>
      </c>
      <c r="C1330" s="34">
        <v>2284.9</v>
      </c>
      <c r="D1330" s="200"/>
    </row>
    <row r="1331" spans="2:4" x14ac:dyDescent="0.35">
      <c r="B1331" s="35">
        <v>35067</v>
      </c>
      <c r="C1331" s="34">
        <v>2329.1999999999998</v>
      </c>
      <c r="D1331" s="200"/>
    </row>
    <row r="1332" spans="2:4" x14ac:dyDescent="0.35">
      <c r="B1332" s="35">
        <v>35068</v>
      </c>
      <c r="C1332" s="34">
        <v>2324.3000000000002</v>
      </c>
      <c r="D1332" s="200"/>
    </row>
    <row r="1333" spans="2:4" x14ac:dyDescent="0.35">
      <c r="B1333" s="35">
        <v>35069</v>
      </c>
      <c r="C1333" s="34">
        <v>2331.9</v>
      </c>
      <c r="D1333" s="200"/>
    </row>
    <row r="1334" spans="2:4" x14ac:dyDescent="0.35">
      <c r="B1334" s="35">
        <v>35072</v>
      </c>
      <c r="C1334" s="34">
        <v>2323.5</v>
      </c>
      <c r="D1334" s="200"/>
    </row>
    <row r="1335" spans="2:4" x14ac:dyDescent="0.35">
      <c r="B1335" s="35">
        <v>35073</v>
      </c>
      <c r="C1335" s="34">
        <v>2349.6999999999998</v>
      </c>
      <c r="D1335" s="200"/>
    </row>
    <row r="1336" spans="2:4" x14ac:dyDescent="0.35">
      <c r="B1336" s="35">
        <v>35074</v>
      </c>
      <c r="C1336" s="34">
        <v>2338.1999999999998</v>
      </c>
      <c r="D1336" s="200"/>
    </row>
    <row r="1337" spans="2:4" x14ac:dyDescent="0.35">
      <c r="B1337" s="35">
        <v>35075</v>
      </c>
      <c r="C1337" s="34">
        <v>2329.5</v>
      </c>
      <c r="D1337" s="200"/>
    </row>
    <row r="1338" spans="2:4" x14ac:dyDescent="0.35">
      <c r="B1338" s="35">
        <v>35076</v>
      </c>
      <c r="C1338" s="34">
        <v>2356.5</v>
      </c>
      <c r="D1338" s="200"/>
    </row>
    <row r="1339" spans="2:4" x14ac:dyDescent="0.35">
      <c r="B1339" s="35">
        <v>35079</v>
      </c>
      <c r="C1339" s="34">
        <v>2359.1</v>
      </c>
      <c r="D1339" s="200"/>
    </row>
    <row r="1340" spans="2:4" x14ac:dyDescent="0.35">
      <c r="B1340" s="35">
        <v>35080</v>
      </c>
      <c r="C1340" s="34">
        <v>2376.9</v>
      </c>
      <c r="D1340" s="200"/>
    </row>
    <row r="1341" spans="2:4" x14ac:dyDescent="0.35">
      <c r="B1341" s="35">
        <v>35081</v>
      </c>
      <c r="C1341" s="34">
        <v>2371.3000000000002</v>
      </c>
      <c r="D1341" s="200"/>
    </row>
    <row r="1342" spans="2:4" x14ac:dyDescent="0.35">
      <c r="B1342" s="35">
        <v>35082</v>
      </c>
      <c r="C1342" s="34">
        <v>2380.9</v>
      </c>
      <c r="D1342" s="200"/>
    </row>
    <row r="1343" spans="2:4" x14ac:dyDescent="0.35">
      <c r="B1343" s="35">
        <v>35083</v>
      </c>
      <c r="C1343" s="34">
        <v>2398.8000000000002</v>
      </c>
      <c r="D1343" s="200"/>
    </row>
    <row r="1344" spans="2:4" x14ac:dyDescent="0.35">
      <c r="B1344" s="35">
        <v>35086</v>
      </c>
      <c r="C1344" s="34">
        <v>2390.5</v>
      </c>
      <c r="D1344" s="200"/>
    </row>
    <row r="1345" spans="2:4" x14ac:dyDescent="0.35">
      <c r="B1345" s="35">
        <v>35087</v>
      </c>
      <c r="C1345" s="34">
        <v>2384.5</v>
      </c>
      <c r="D1345" s="200"/>
    </row>
    <row r="1346" spans="2:4" x14ac:dyDescent="0.35">
      <c r="B1346" s="35">
        <v>35088</v>
      </c>
      <c r="C1346" s="34">
        <v>2423.1</v>
      </c>
      <c r="D1346" s="200"/>
    </row>
    <row r="1347" spans="2:4" x14ac:dyDescent="0.35">
      <c r="B1347" s="35">
        <v>35089</v>
      </c>
      <c r="C1347" s="34">
        <v>2443.6999999999998</v>
      </c>
      <c r="D1347" s="200"/>
    </row>
    <row r="1348" spans="2:4" x14ac:dyDescent="0.35">
      <c r="B1348" s="35">
        <v>35090</v>
      </c>
      <c r="C1348" s="34">
        <v>2432.9</v>
      </c>
      <c r="D1348" s="200"/>
    </row>
    <row r="1349" spans="2:4" x14ac:dyDescent="0.35">
      <c r="B1349" s="35">
        <v>35093</v>
      </c>
      <c r="C1349" s="34">
        <v>2446.1</v>
      </c>
      <c r="D1349" s="200"/>
    </row>
    <row r="1350" spans="2:4" x14ac:dyDescent="0.35">
      <c r="B1350" s="35">
        <v>35094</v>
      </c>
      <c r="C1350" s="34">
        <v>2435.8000000000002</v>
      </c>
      <c r="D1350" s="200"/>
    </row>
    <row r="1351" spans="2:4" x14ac:dyDescent="0.35">
      <c r="B1351" s="35">
        <v>35095</v>
      </c>
      <c r="C1351" s="34">
        <v>2470.1</v>
      </c>
      <c r="D1351" s="200"/>
    </row>
    <row r="1352" spans="2:4" x14ac:dyDescent="0.35">
      <c r="B1352" s="35">
        <v>35096</v>
      </c>
      <c r="C1352" s="34">
        <v>2459.3000000000002</v>
      </c>
      <c r="D1352" s="200"/>
    </row>
    <row r="1353" spans="2:4" x14ac:dyDescent="0.35">
      <c r="B1353" s="35">
        <v>35097</v>
      </c>
      <c r="C1353" s="34">
        <v>2452.1</v>
      </c>
      <c r="D1353" s="200"/>
    </row>
    <row r="1354" spans="2:4" x14ac:dyDescent="0.35">
      <c r="B1354" s="35">
        <v>35100</v>
      </c>
      <c r="C1354" s="34">
        <v>2419</v>
      </c>
      <c r="D1354" s="200"/>
    </row>
    <row r="1355" spans="2:4" x14ac:dyDescent="0.35">
      <c r="B1355" s="35">
        <v>35101</v>
      </c>
      <c r="C1355" s="34">
        <v>2428.3000000000002</v>
      </c>
      <c r="D1355" s="200"/>
    </row>
    <row r="1356" spans="2:4" x14ac:dyDescent="0.35">
      <c r="B1356" s="35">
        <v>35102</v>
      </c>
      <c r="C1356" s="34">
        <v>2446.1999999999998</v>
      </c>
      <c r="D1356" s="200"/>
    </row>
    <row r="1357" spans="2:4" x14ac:dyDescent="0.35">
      <c r="B1357" s="35">
        <v>35103</v>
      </c>
      <c r="C1357" s="34">
        <v>2430.1999999999998</v>
      </c>
      <c r="D1357" s="200"/>
    </row>
    <row r="1358" spans="2:4" x14ac:dyDescent="0.35">
      <c r="B1358" s="35">
        <v>35104</v>
      </c>
      <c r="C1358" s="34">
        <v>2411.9</v>
      </c>
      <c r="D1358" s="200"/>
    </row>
    <row r="1359" spans="2:4" x14ac:dyDescent="0.35">
      <c r="B1359" s="35">
        <v>35107</v>
      </c>
      <c r="C1359" s="34">
        <v>2428.1</v>
      </c>
      <c r="D1359" s="200"/>
    </row>
    <row r="1360" spans="2:4" x14ac:dyDescent="0.35">
      <c r="B1360" s="35">
        <v>35108</v>
      </c>
      <c r="C1360" s="34">
        <v>2433.9</v>
      </c>
      <c r="D1360" s="200"/>
    </row>
    <row r="1361" spans="2:4" x14ac:dyDescent="0.35">
      <c r="B1361" s="35">
        <v>35109</v>
      </c>
      <c r="C1361" s="34">
        <v>2427.1</v>
      </c>
      <c r="D1361" s="200"/>
    </row>
    <row r="1362" spans="2:4" x14ac:dyDescent="0.35">
      <c r="B1362" s="35">
        <v>35110</v>
      </c>
      <c r="C1362" s="34">
        <v>2423</v>
      </c>
      <c r="D1362" s="200"/>
    </row>
    <row r="1363" spans="2:4" x14ac:dyDescent="0.35">
      <c r="B1363" s="35">
        <v>35111</v>
      </c>
      <c r="C1363" s="34">
        <v>2429</v>
      </c>
      <c r="D1363" s="200"/>
    </row>
    <row r="1364" spans="2:4" x14ac:dyDescent="0.35">
      <c r="B1364" s="35">
        <v>35114</v>
      </c>
      <c r="C1364" s="34">
        <v>2398.6</v>
      </c>
      <c r="D1364" s="200"/>
    </row>
    <row r="1365" spans="2:4" x14ac:dyDescent="0.35">
      <c r="B1365" s="35">
        <v>35115</v>
      </c>
      <c r="C1365" s="34">
        <v>2382.6</v>
      </c>
      <c r="D1365" s="200"/>
    </row>
    <row r="1366" spans="2:4" x14ac:dyDescent="0.35">
      <c r="B1366" s="35">
        <v>35116</v>
      </c>
      <c r="C1366" s="34">
        <v>2391.1</v>
      </c>
      <c r="D1366" s="200"/>
    </row>
    <row r="1367" spans="2:4" x14ac:dyDescent="0.35">
      <c r="B1367" s="35">
        <v>35117</v>
      </c>
      <c r="C1367" s="34">
        <v>2412</v>
      </c>
      <c r="D1367" s="200"/>
    </row>
    <row r="1368" spans="2:4" x14ac:dyDescent="0.35">
      <c r="B1368" s="35">
        <v>35118</v>
      </c>
      <c r="C1368" s="34">
        <v>2451.8000000000002</v>
      </c>
      <c r="D1368" s="200"/>
    </row>
    <row r="1369" spans="2:4" x14ac:dyDescent="0.35">
      <c r="B1369" s="35">
        <v>35121</v>
      </c>
      <c r="C1369" s="34">
        <v>2442.3000000000002</v>
      </c>
      <c r="D1369" s="200"/>
    </row>
    <row r="1370" spans="2:4" x14ac:dyDescent="0.35">
      <c r="B1370" s="35">
        <v>35122</v>
      </c>
      <c r="C1370" s="34">
        <v>2444.9</v>
      </c>
      <c r="D1370" s="200"/>
    </row>
    <row r="1371" spans="2:4" x14ac:dyDescent="0.35">
      <c r="B1371" s="35">
        <v>35123</v>
      </c>
      <c r="C1371" s="34">
        <v>2472.5</v>
      </c>
      <c r="D1371" s="200"/>
    </row>
    <row r="1372" spans="2:4" x14ac:dyDescent="0.35">
      <c r="B1372" s="35">
        <v>35124</v>
      </c>
      <c r="C1372" s="34">
        <v>2473.6</v>
      </c>
      <c r="D1372" s="200"/>
    </row>
    <row r="1373" spans="2:4" x14ac:dyDescent="0.35">
      <c r="B1373" s="35">
        <v>35125</v>
      </c>
      <c r="C1373" s="34">
        <v>2501.1999999999998</v>
      </c>
      <c r="D1373" s="200"/>
    </row>
    <row r="1374" spans="2:4" x14ac:dyDescent="0.35">
      <c r="B1374" s="35">
        <v>35128</v>
      </c>
      <c r="C1374" s="34">
        <v>2488</v>
      </c>
      <c r="D1374" s="200"/>
    </row>
    <row r="1375" spans="2:4" x14ac:dyDescent="0.35">
      <c r="B1375" s="35">
        <v>35129</v>
      </c>
      <c r="C1375" s="34">
        <v>2479</v>
      </c>
      <c r="D1375" s="200"/>
    </row>
    <row r="1376" spans="2:4" x14ac:dyDescent="0.35">
      <c r="B1376" s="35">
        <v>35130</v>
      </c>
      <c r="C1376" s="34">
        <v>2466</v>
      </c>
      <c r="D1376" s="200"/>
    </row>
    <row r="1377" spans="2:4" x14ac:dyDescent="0.35">
      <c r="B1377" s="35">
        <v>35131</v>
      </c>
      <c r="C1377" s="34">
        <v>2480.9</v>
      </c>
      <c r="D1377" s="200"/>
    </row>
    <row r="1378" spans="2:4" x14ac:dyDescent="0.35">
      <c r="B1378" s="35">
        <v>35132</v>
      </c>
      <c r="C1378" s="34">
        <v>2469.1</v>
      </c>
      <c r="D1378" s="200"/>
    </row>
    <row r="1379" spans="2:4" x14ac:dyDescent="0.35">
      <c r="B1379" s="35">
        <v>35135</v>
      </c>
      <c r="C1379" s="34">
        <v>2407.8000000000002</v>
      </c>
      <c r="D1379" s="200"/>
    </row>
    <row r="1380" spans="2:4" x14ac:dyDescent="0.35">
      <c r="B1380" s="35">
        <v>35136</v>
      </c>
      <c r="C1380" s="34">
        <v>2436</v>
      </c>
      <c r="D1380" s="200"/>
    </row>
    <row r="1381" spans="2:4" x14ac:dyDescent="0.35">
      <c r="B1381" s="35">
        <v>35137</v>
      </c>
      <c r="C1381" s="34">
        <v>2426.4</v>
      </c>
      <c r="D1381" s="200"/>
    </row>
    <row r="1382" spans="2:4" x14ac:dyDescent="0.35">
      <c r="B1382" s="35">
        <v>35138</v>
      </c>
      <c r="C1382" s="34">
        <v>2426.5</v>
      </c>
      <c r="D1382" s="200"/>
    </row>
    <row r="1383" spans="2:4" x14ac:dyDescent="0.35">
      <c r="B1383" s="35">
        <v>35139</v>
      </c>
      <c r="C1383" s="34">
        <v>2458.1999999999998</v>
      </c>
      <c r="D1383" s="200"/>
    </row>
    <row r="1384" spans="2:4" x14ac:dyDescent="0.35">
      <c r="B1384" s="35">
        <v>35142</v>
      </c>
      <c r="C1384" s="34">
        <v>2463.1999999999998</v>
      </c>
      <c r="D1384" s="200"/>
    </row>
    <row r="1385" spans="2:4" x14ac:dyDescent="0.35">
      <c r="B1385" s="35">
        <v>35143</v>
      </c>
      <c r="C1385" s="34">
        <v>2493.3000000000002</v>
      </c>
      <c r="D1385" s="200"/>
    </row>
    <row r="1386" spans="2:4" x14ac:dyDescent="0.35">
      <c r="B1386" s="35">
        <v>35144</v>
      </c>
      <c r="C1386" s="34">
        <v>2485.9</v>
      </c>
      <c r="D1386" s="200"/>
    </row>
    <row r="1387" spans="2:4" x14ac:dyDescent="0.35">
      <c r="B1387" s="35">
        <v>35145</v>
      </c>
      <c r="C1387" s="34">
        <v>2504.1</v>
      </c>
      <c r="D1387" s="200"/>
    </row>
    <row r="1388" spans="2:4" x14ac:dyDescent="0.35">
      <c r="B1388" s="35">
        <v>35146</v>
      </c>
      <c r="C1388" s="34">
        <v>2504.1999999999998</v>
      </c>
      <c r="D1388" s="200"/>
    </row>
    <row r="1389" spans="2:4" x14ac:dyDescent="0.35">
      <c r="B1389" s="35">
        <v>35149</v>
      </c>
      <c r="C1389" s="34">
        <v>2510.3000000000002</v>
      </c>
      <c r="D1389" s="200"/>
    </row>
    <row r="1390" spans="2:4" x14ac:dyDescent="0.35">
      <c r="B1390" s="35">
        <v>35150</v>
      </c>
      <c r="C1390" s="34">
        <v>2499.3000000000002</v>
      </c>
      <c r="D1390" s="200"/>
    </row>
    <row r="1391" spans="2:4" x14ac:dyDescent="0.35">
      <c r="B1391" s="35">
        <v>35151</v>
      </c>
      <c r="C1391" s="34">
        <v>2525.4</v>
      </c>
      <c r="D1391" s="200"/>
    </row>
    <row r="1392" spans="2:4" x14ac:dyDescent="0.35">
      <c r="B1392" s="35">
        <v>35152</v>
      </c>
      <c r="C1392" s="34">
        <v>2508.4</v>
      </c>
      <c r="D1392" s="200"/>
    </row>
    <row r="1393" spans="2:4" x14ac:dyDescent="0.35">
      <c r="B1393" s="35">
        <v>35153</v>
      </c>
      <c r="C1393" s="34">
        <v>2485.9</v>
      </c>
      <c r="D1393" s="200"/>
    </row>
    <row r="1394" spans="2:4" x14ac:dyDescent="0.35">
      <c r="B1394" s="35">
        <v>35156</v>
      </c>
      <c r="C1394" s="34">
        <v>2489.1</v>
      </c>
      <c r="D1394" s="200"/>
    </row>
    <row r="1395" spans="2:4" x14ac:dyDescent="0.35">
      <c r="B1395" s="35">
        <v>35157</v>
      </c>
      <c r="C1395" s="34">
        <v>2501.1999999999998</v>
      </c>
      <c r="D1395" s="200"/>
    </row>
    <row r="1396" spans="2:4" x14ac:dyDescent="0.35">
      <c r="B1396" s="35">
        <v>35158</v>
      </c>
      <c r="C1396" s="34">
        <v>2494.4</v>
      </c>
      <c r="D1396" s="200"/>
    </row>
    <row r="1397" spans="2:4" x14ac:dyDescent="0.35">
      <c r="B1397" s="35">
        <v>35159</v>
      </c>
      <c r="C1397" s="34">
        <v>2495.1999999999998</v>
      </c>
      <c r="D1397" s="200"/>
    </row>
    <row r="1398" spans="2:4" x14ac:dyDescent="0.35">
      <c r="B1398" s="35">
        <v>35164</v>
      </c>
      <c r="C1398" s="34">
        <v>2503.3000000000002</v>
      </c>
      <c r="D1398" s="200"/>
    </row>
    <row r="1399" spans="2:4" x14ac:dyDescent="0.35">
      <c r="B1399" s="35">
        <v>35165</v>
      </c>
      <c r="C1399" s="34">
        <v>2530</v>
      </c>
      <c r="D1399" s="200"/>
    </row>
    <row r="1400" spans="2:4" x14ac:dyDescent="0.35">
      <c r="B1400" s="35">
        <v>35166</v>
      </c>
      <c r="C1400" s="34">
        <v>2509.6999999999998</v>
      </c>
      <c r="D1400" s="200"/>
    </row>
    <row r="1401" spans="2:4" x14ac:dyDescent="0.35">
      <c r="B1401" s="35">
        <v>35167</v>
      </c>
      <c r="C1401" s="34">
        <v>2511.8000000000002</v>
      </c>
      <c r="D1401" s="200"/>
    </row>
    <row r="1402" spans="2:4" x14ac:dyDescent="0.35">
      <c r="B1402" s="35">
        <v>35170</v>
      </c>
      <c r="C1402" s="34">
        <v>2545.9</v>
      </c>
      <c r="D1402" s="200"/>
    </row>
    <row r="1403" spans="2:4" x14ac:dyDescent="0.35">
      <c r="B1403" s="35">
        <v>35171</v>
      </c>
      <c r="C1403" s="34">
        <v>2538.4</v>
      </c>
      <c r="D1403" s="200"/>
    </row>
    <row r="1404" spans="2:4" x14ac:dyDescent="0.35">
      <c r="B1404" s="35">
        <v>35172</v>
      </c>
      <c r="C1404" s="34">
        <v>2524.1999999999998</v>
      </c>
      <c r="D1404" s="200"/>
    </row>
    <row r="1405" spans="2:4" x14ac:dyDescent="0.35">
      <c r="B1405" s="35">
        <v>35173</v>
      </c>
      <c r="C1405" s="34">
        <v>2535.5</v>
      </c>
      <c r="D1405" s="200"/>
    </row>
    <row r="1406" spans="2:4" x14ac:dyDescent="0.35">
      <c r="B1406" s="35">
        <v>35174</v>
      </c>
      <c r="C1406" s="34">
        <v>2536.5</v>
      </c>
      <c r="D1406" s="200"/>
    </row>
    <row r="1407" spans="2:4" x14ac:dyDescent="0.35">
      <c r="B1407" s="35">
        <v>35177</v>
      </c>
      <c r="C1407" s="34">
        <v>2545.9</v>
      </c>
      <c r="D1407" s="200"/>
    </row>
    <row r="1408" spans="2:4" x14ac:dyDescent="0.35">
      <c r="B1408" s="35">
        <v>35178</v>
      </c>
      <c r="C1408" s="34">
        <v>2550.1999999999998</v>
      </c>
      <c r="D1408" s="200"/>
    </row>
    <row r="1409" spans="2:4" x14ac:dyDescent="0.35">
      <c r="B1409" s="35">
        <v>35179</v>
      </c>
      <c r="C1409" s="34">
        <v>2538.3000000000002</v>
      </c>
      <c r="D1409" s="200"/>
    </row>
    <row r="1410" spans="2:4" x14ac:dyDescent="0.35">
      <c r="B1410" s="35">
        <v>35180</v>
      </c>
      <c r="C1410" s="34">
        <v>2532.4</v>
      </c>
      <c r="D1410" s="200"/>
    </row>
    <row r="1411" spans="2:4" x14ac:dyDescent="0.35">
      <c r="B1411" s="35">
        <v>35181</v>
      </c>
      <c r="C1411" s="34">
        <v>2537.1999999999998</v>
      </c>
      <c r="D1411" s="200"/>
    </row>
    <row r="1412" spans="2:4" x14ac:dyDescent="0.35">
      <c r="B1412" s="35">
        <v>35184</v>
      </c>
      <c r="C1412" s="34">
        <v>2506.5</v>
      </c>
      <c r="D1412" s="200"/>
    </row>
    <row r="1413" spans="2:4" x14ac:dyDescent="0.35">
      <c r="B1413" s="35">
        <v>35185</v>
      </c>
      <c r="C1413" s="34">
        <v>2505.3000000000002</v>
      </c>
      <c r="D1413" s="200"/>
    </row>
    <row r="1414" spans="2:4" x14ac:dyDescent="0.35">
      <c r="B1414" s="35">
        <v>35187</v>
      </c>
      <c r="C1414" s="34">
        <v>2502.3000000000002</v>
      </c>
      <c r="D1414" s="200"/>
    </row>
    <row r="1415" spans="2:4" x14ac:dyDescent="0.35">
      <c r="B1415" s="35">
        <v>35188</v>
      </c>
      <c r="C1415" s="34">
        <v>2457.5</v>
      </c>
      <c r="D1415" s="200"/>
    </row>
    <row r="1416" spans="2:4" x14ac:dyDescent="0.35">
      <c r="B1416" s="35">
        <v>35191</v>
      </c>
      <c r="C1416" s="34">
        <v>2468.9</v>
      </c>
      <c r="D1416" s="200"/>
    </row>
    <row r="1417" spans="2:4" x14ac:dyDescent="0.35">
      <c r="B1417" s="35">
        <v>35192</v>
      </c>
      <c r="C1417" s="34">
        <v>2479.5</v>
      </c>
      <c r="D1417" s="200"/>
    </row>
    <row r="1418" spans="2:4" x14ac:dyDescent="0.35">
      <c r="B1418" s="35">
        <v>35193</v>
      </c>
      <c r="C1418" s="34">
        <v>2472.6</v>
      </c>
      <c r="D1418" s="200"/>
    </row>
    <row r="1419" spans="2:4" x14ac:dyDescent="0.35">
      <c r="B1419" s="35">
        <v>35194</v>
      </c>
      <c r="C1419" s="34">
        <v>2469.4</v>
      </c>
      <c r="D1419" s="200"/>
    </row>
    <row r="1420" spans="2:4" x14ac:dyDescent="0.35">
      <c r="B1420" s="35">
        <v>35195</v>
      </c>
      <c r="C1420" s="34">
        <v>2468.8000000000002</v>
      </c>
      <c r="D1420" s="200"/>
    </row>
    <row r="1421" spans="2:4" x14ac:dyDescent="0.35">
      <c r="B1421" s="35">
        <v>35198</v>
      </c>
      <c r="C1421" s="34">
        <v>2496.1999999999998</v>
      </c>
      <c r="D1421" s="200"/>
    </row>
    <row r="1422" spans="2:4" x14ac:dyDescent="0.35">
      <c r="B1422" s="35">
        <v>35199</v>
      </c>
      <c r="C1422" s="34">
        <v>2519.6999999999998</v>
      </c>
      <c r="D1422" s="200"/>
    </row>
    <row r="1423" spans="2:4" x14ac:dyDescent="0.35">
      <c r="B1423" s="35">
        <v>35200</v>
      </c>
      <c r="C1423" s="34">
        <v>2528.8000000000002</v>
      </c>
      <c r="D1423" s="200"/>
    </row>
    <row r="1424" spans="2:4" x14ac:dyDescent="0.35">
      <c r="B1424" s="35">
        <v>35202</v>
      </c>
      <c r="C1424" s="34">
        <v>2537.3000000000002</v>
      </c>
      <c r="D1424" s="200"/>
    </row>
    <row r="1425" spans="2:4" x14ac:dyDescent="0.35">
      <c r="B1425" s="35">
        <v>35205</v>
      </c>
      <c r="C1425" s="34">
        <v>2550</v>
      </c>
      <c r="D1425" s="200"/>
    </row>
    <row r="1426" spans="2:4" x14ac:dyDescent="0.35">
      <c r="B1426" s="35">
        <v>35206</v>
      </c>
      <c r="C1426" s="34">
        <v>2570.8000000000002</v>
      </c>
      <c r="D1426" s="200"/>
    </row>
    <row r="1427" spans="2:4" x14ac:dyDescent="0.35">
      <c r="B1427" s="35">
        <v>35207</v>
      </c>
      <c r="C1427" s="34">
        <v>2556.9</v>
      </c>
      <c r="D1427" s="200"/>
    </row>
    <row r="1428" spans="2:4" x14ac:dyDescent="0.35">
      <c r="B1428" s="35">
        <v>35208</v>
      </c>
      <c r="C1428" s="34">
        <v>2560.5</v>
      </c>
      <c r="D1428" s="200"/>
    </row>
    <row r="1429" spans="2:4" x14ac:dyDescent="0.35">
      <c r="B1429" s="35">
        <v>35209</v>
      </c>
      <c r="C1429" s="34">
        <v>2542.1999999999998</v>
      </c>
      <c r="D1429" s="200"/>
    </row>
    <row r="1430" spans="2:4" x14ac:dyDescent="0.35">
      <c r="B1430" s="35">
        <v>35213</v>
      </c>
      <c r="C1430" s="34">
        <v>2558.3000000000002</v>
      </c>
      <c r="D1430" s="200"/>
    </row>
    <row r="1431" spans="2:4" x14ac:dyDescent="0.35">
      <c r="B1431" s="35">
        <v>35214</v>
      </c>
      <c r="C1431" s="34">
        <v>2551.5</v>
      </c>
      <c r="D1431" s="200"/>
    </row>
    <row r="1432" spans="2:4" x14ac:dyDescent="0.35">
      <c r="B1432" s="35">
        <v>35215</v>
      </c>
      <c r="C1432" s="34">
        <v>2527.3000000000002</v>
      </c>
      <c r="D1432" s="200"/>
    </row>
    <row r="1433" spans="2:4" x14ac:dyDescent="0.35">
      <c r="B1433" s="35">
        <v>35216</v>
      </c>
      <c r="C1433" s="34">
        <v>2542.8000000000002</v>
      </c>
      <c r="D1433" s="200"/>
    </row>
    <row r="1434" spans="2:4" x14ac:dyDescent="0.35">
      <c r="B1434" s="35">
        <v>35219</v>
      </c>
      <c r="C1434" s="34">
        <v>2532.8000000000002</v>
      </c>
      <c r="D1434" s="200"/>
    </row>
    <row r="1435" spans="2:4" x14ac:dyDescent="0.35">
      <c r="B1435" s="35">
        <v>35220</v>
      </c>
      <c r="C1435" s="34">
        <v>2546.3000000000002</v>
      </c>
      <c r="D1435" s="200"/>
    </row>
    <row r="1436" spans="2:4" x14ac:dyDescent="0.35">
      <c r="B1436" s="35">
        <v>35221</v>
      </c>
      <c r="C1436" s="34">
        <v>2552.5</v>
      </c>
      <c r="D1436" s="200"/>
    </row>
    <row r="1437" spans="2:4" x14ac:dyDescent="0.35">
      <c r="B1437" s="35">
        <v>35223</v>
      </c>
      <c r="C1437" s="34">
        <v>2557.4</v>
      </c>
      <c r="D1437" s="200"/>
    </row>
    <row r="1438" spans="2:4" x14ac:dyDescent="0.35">
      <c r="B1438" s="35">
        <v>35226</v>
      </c>
      <c r="C1438" s="34">
        <v>2558.8000000000002</v>
      </c>
      <c r="D1438" s="200"/>
    </row>
    <row r="1439" spans="2:4" x14ac:dyDescent="0.35">
      <c r="B1439" s="35">
        <v>35227</v>
      </c>
      <c r="C1439" s="34">
        <v>2546.4</v>
      </c>
      <c r="D1439" s="200"/>
    </row>
    <row r="1440" spans="2:4" x14ac:dyDescent="0.35">
      <c r="B1440" s="35">
        <v>35228</v>
      </c>
      <c r="C1440" s="34">
        <v>2568.9</v>
      </c>
      <c r="D1440" s="200"/>
    </row>
    <row r="1441" spans="2:4" x14ac:dyDescent="0.35">
      <c r="B1441" s="35">
        <v>35229</v>
      </c>
      <c r="C1441" s="34">
        <v>2567.5</v>
      </c>
      <c r="D1441" s="200"/>
    </row>
    <row r="1442" spans="2:4" x14ac:dyDescent="0.35">
      <c r="B1442" s="35">
        <v>35230</v>
      </c>
      <c r="C1442" s="34">
        <v>2548.8000000000002</v>
      </c>
      <c r="D1442" s="200"/>
    </row>
    <row r="1443" spans="2:4" x14ac:dyDescent="0.35">
      <c r="B1443" s="35">
        <v>35233</v>
      </c>
      <c r="C1443" s="34">
        <v>2546.1</v>
      </c>
      <c r="D1443" s="200"/>
    </row>
    <row r="1444" spans="2:4" x14ac:dyDescent="0.35">
      <c r="B1444" s="35">
        <v>35234</v>
      </c>
      <c r="C1444" s="34">
        <v>2549.3000000000002</v>
      </c>
      <c r="D1444" s="200"/>
    </row>
    <row r="1445" spans="2:4" x14ac:dyDescent="0.35">
      <c r="B1445" s="35">
        <v>35235</v>
      </c>
      <c r="C1445" s="34">
        <v>2554.3000000000002</v>
      </c>
      <c r="D1445" s="200"/>
    </row>
    <row r="1446" spans="2:4" x14ac:dyDescent="0.35">
      <c r="B1446" s="35">
        <v>35236</v>
      </c>
      <c r="C1446" s="34">
        <v>2539.6999999999998</v>
      </c>
      <c r="D1446" s="200"/>
    </row>
    <row r="1447" spans="2:4" x14ac:dyDescent="0.35">
      <c r="B1447" s="35">
        <v>35237</v>
      </c>
      <c r="C1447" s="34">
        <v>2540.1</v>
      </c>
      <c r="D1447" s="200"/>
    </row>
    <row r="1448" spans="2:4" x14ac:dyDescent="0.35">
      <c r="B1448" s="35">
        <v>35240</v>
      </c>
      <c r="C1448" s="34">
        <v>2566.4</v>
      </c>
      <c r="D1448" s="200"/>
    </row>
    <row r="1449" spans="2:4" x14ac:dyDescent="0.35">
      <c r="B1449" s="35">
        <v>35241</v>
      </c>
      <c r="C1449" s="34">
        <v>2573</v>
      </c>
      <c r="D1449" s="200"/>
    </row>
    <row r="1450" spans="2:4" x14ac:dyDescent="0.35">
      <c r="B1450" s="35">
        <v>35242</v>
      </c>
      <c r="C1450" s="34">
        <v>2573.6999999999998</v>
      </c>
      <c r="D1450" s="200"/>
    </row>
    <row r="1451" spans="2:4" x14ac:dyDescent="0.35">
      <c r="B1451" s="35">
        <v>35243</v>
      </c>
      <c r="C1451" s="34">
        <v>2551.6</v>
      </c>
      <c r="D1451" s="200"/>
    </row>
    <row r="1452" spans="2:4" x14ac:dyDescent="0.35">
      <c r="B1452" s="35">
        <v>35244</v>
      </c>
      <c r="C1452" s="34">
        <v>2561.4</v>
      </c>
      <c r="D1452" s="200"/>
    </row>
    <row r="1453" spans="2:4" x14ac:dyDescent="0.35">
      <c r="B1453" s="35">
        <v>35247</v>
      </c>
      <c r="C1453" s="34">
        <v>2564</v>
      </c>
      <c r="D1453" s="200"/>
    </row>
    <row r="1454" spans="2:4" x14ac:dyDescent="0.35">
      <c r="B1454" s="35">
        <v>35248</v>
      </c>
      <c r="C1454" s="34">
        <v>2572.3000000000002</v>
      </c>
      <c r="D1454" s="200"/>
    </row>
    <row r="1455" spans="2:4" x14ac:dyDescent="0.35">
      <c r="B1455" s="35">
        <v>35249</v>
      </c>
      <c r="C1455" s="34">
        <v>2569</v>
      </c>
      <c r="D1455" s="200"/>
    </row>
    <row r="1456" spans="2:4" x14ac:dyDescent="0.35">
      <c r="B1456" s="35">
        <v>35250</v>
      </c>
      <c r="C1456" s="34">
        <v>2577.4</v>
      </c>
      <c r="D1456" s="200"/>
    </row>
    <row r="1457" spans="2:4" x14ac:dyDescent="0.35">
      <c r="B1457" s="35">
        <v>35251</v>
      </c>
      <c r="C1457" s="34">
        <v>2583.5</v>
      </c>
      <c r="D1457" s="200"/>
    </row>
    <row r="1458" spans="2:4" x14ac:dyDescent="0.35">
      <c r="B1458" s="35">
        <v>35254</v>
      </c>
      <c r="C1458" s="34">
        <v>2551</v>
      </c>
      <c r="D1458" s="200"/>
    </row>
    <row r="1459" spans="2:4" x14ac:dyDescent="0.35">
      <c r="B1459" s="35">
        <v>35255</v>
      </c>
      <c r="C1459" s="34">
        <v>2562.1999999999998</v>
      </c>
      <c r="D1459" s="200"/>
    </row>
    <row r="1460" spans="2:4" x14ac:dyDescent="0.35">
      <c r="B1460" s="35">
        <v>35256</v>
      </c>
      <c r="C1460" s="34">
        <v>2567.4</v>
      </c>
      <c r="D1460" s="200"/>
    </row>
    <row r="1461" spans="2:4" x14ac:dyDescent="0.35">
      <c r="B1461" s="35">
        <v>35257</v>
      </c>
      <c r="C1461" s="34">
        <v>2575.5</v>
      </c>
      <c r="D1461" s="200"/>
    </row>
    <row r="1462" spans="2:4" x14ac:dyDescent="0.35">
      <c r="B1462" s="35">
        <v>35258</v>
      </c>
      <c r="C1462" s="34">
        <v>2544.3000000000002</v>
      </c>
      <c r="D1462" s="200"/>
    </row>
    <row r="1463" spans="2:4" x14ac:dyDescent="0.35">
      <c r="B1463" s="35">
        <v>35261</v>
      </c>
      <c r="C1463" s="34">
        <v>2550.5</v>
      </c>
      <c r="D1463" s="200"/>
    </row>
    <row r="1464" spans="2:4" x14ac:dyDescent="0.35">
      <c r="B1464" s="35">
        <v>35262</v>
      </c>
      <c r="C1464" s="34">
        <v>2469.8000000000002</v>
      </c>
      <c r="D1464" s="200"/>
    </row>
    <row r="1465" spans="2:4" x14ac:dyDescent="0.35">
      <c r="B1465" s="35">
        <v>35263</v>
      </c>
      <c r="C1465" s="34">
        <v>2497.1999999999998</v>
      </c>
      <c r="D1465" s="200"/>
    </row>
    <row r="1466" spans="2:4" x14ac:dyDescent="0.35">
      <c r="B1466" s="35">
        <v>35264</v>
      </c>
      <c r="C1466" s="34">
        <v>2506.1999999999998</v>
      </c>
      <c r="D1466" s="200"/>
    </row>
    <row r="1467" spans="2:4" x14ac:dyDescent="0.35">
      <c r="B1467" s="35">
        <v>35265</v>
      </c>
      <c r="C1467" s="34">
        <v>2520.1999999999998</v>
      </c>
      <c r="D1467" s="200"/>
    </row>
    <row r="1468" spans="2:4" x14ac:dyDescent="0.35">
      <c r="B1468" s="35">
        <v>35268</v>
      </c>
      <c r="C1468" s="34">
        <v>2482.4</v>
      </c>
      <c r="D1468" s="200"/>
    </row>
    <row r="1469" spans="2:4" x14ac:dyDescent="0.35">
      <c r="B1469" s="35">
        <v>35269</v>
      </c>
      <c r="C1469" s="34">
        <v>2475.1</v>
      </c>
      <c r="D1469" s="200"/>
    </row>
    <row r="1470" spans="2:4" x14ac:dyDescent="0.35">
      <c r="B1470" s="35">
        <v>35270</v>
      </c>
      <c r="C1470" s="34">
        <v>2447.8000000000002</v>
      </c>
      <c r="D1470" s="200"/>
    </row>
    <row r="1471" spans="2:4" x14ac:dyDescent="0.35">
      <c r="B1471" s="35">
        <v>35271</v>
      </c>
      <c r="C1471" s="34">
        <v>2465</v>
      </c>
      <c r="D1471" s="200"/>
    </row>
    <row r="1472" spans="2:4" x14ac:dyDescent="0.35">
      <c r="B1472" s="35">
        <v>35272</v>
      </c>
      <c r="C1472" s="34">
        <v>2470.3000000000002</v>
      </c>
      <c r="D1472" s="200"/>
    </row>
    <row r="1473" spans="2:4" x14ac:dyDescent="0.35">
      <c r="B1473" s="35">
        <v>35275</v>
      </c>
      <c r="C1473" s="34">
        <v>2477.8000000000002</v>
      </c>
      <c r="D1473" s="200"/>
    </row>
    <row r="1474" spans="2:4" x14ac:dyDescent="0.35">
      <c r="B1474" s="35">
        <v>35276</v>
      </c>
      <c r="C1474" s="34">
        <v>2457.5</v>
      </c>
      <c r="D1474" s="200"/>
    </row>
    <row r="1475" spans="2:4" x14ac:dyDescent="0.35">
      <c r="B1475" s="35">
        <v>35277</v>
      </c>
      <c r="C1475" s="34">
        <v>2473.4</v>
      </c>
      <c r="D1475" s="200"/>
    </row>
    <row r="1476" spans="2:4" x14ac:dyDescent="0.35">
      <c r="B1476" s="35">
        <v>35278</v>
      </c>
      <c r="C1476" s="34">
        <v>2494.5</v>
      </c>
      <c r="D1476" s="200"/>
    </row>
    <row r="1477" spans="2:4" x14ac:dyDescent="0.35">
      <c r="B1477" s="35">
        <v>35279</v>
      </c>
      <c r="C1477" s="34">
        <v>2508.6999999999998</v>
      </c>
      <c r="D1477" s="200"/>
    </row>
    <row r="1478" spans="2:4" x14ac:dyDescent="0.35">
      <c r="B1478" s="35">
        <v>35282</v>
      </c>
      <c r="C1478" s="34">
        <v>2520.9</v>
      </c>
      <c r="D1478" s="200"/>
    </row>
    <row r="1479" spans="2:4" x14ac:dyDescent="0.35">
      <c r="B1479" s="35">
        <v>35283</v>
      </c>
      <c r="C1479" s="34">
        <v>2522.5</v>
      </c>
      <c r="D1479" s="200"/>
    </row>
    <row r="1480" spans="2:4" x14ac:dyDescent="0.35">
      <c r="B1480" s="35">
        <v>35284</v>
      </c>
      <c r="C1480" s="34">
        <v>2531.9</v>
      </c>
      <c r="D1480" s="200"/>
    </row>
    <row r="1481" spans="2:4" x14ac:dyDescent="0.35">
      <c r="B1481" s="35">
        <v>35285</v>
      </c>
      <c r="C1481" s="34">
        <v>2538.1999999999998</v>
      </c>
      <c r="D1481" s="200"/>
    </row>
    <row r="1482" spans="2:4" x14ac:dyDescent="0.35">
      <c r="B1482" s="35">
        <v>35286</v>
      </c>
      <c r="C1482" s="34">
        <v>2525.6</v>
      </c>
      <c r="D1482" s="200"/>
    </row>
    <row r="1483" spans="2:4" x14ac:dyDescent="0.35">
      <c r="B1483" s="35">
        <v>35289</v>
      </c>
      <c r="C1483" s="34">
        <v>2528.1999999999998</v>
      </c>
      <c r="D1483" s="200"/>
    </row>
    <row r="1484" spans="2:4" x14ac:dyDescent="0.35">
      <c r="B1484" s="35">
        <v>35290</v>
      </c>
      <c r="C1484" s="34">
        <v>2539.4</v>
      </c>
      <c r="D1484" s="200"/>
    </row>
    <row r="1485" spans="2:4" x14ac:dyDescent="0.35">
      <c r="B1485" s="35">
        <v>35291</v>
      </c>
      <c r="C1485" s="34">
        <v>2538.6999999999998</v>
      </c>
      <c r="D1485" s="200"/>
    </row>
    <row r="1486" spans="2:4" x14ac:dyDescent="0.35">
      <c r="B1486" s="35">
        <v>35292</v>
      </c>
      <c r="C1486" s="34">
        <v>2546.3000000000002</v>
      </c>
      <c r="D1486" s="200"/>
    </row>
    <row r="1487" spans="2:4" x14ac:dyDescent="0.35">
      <c r="B1487" s="35">
        <v>35293</v>
      </c>
      <c r="C1487" s="34">
        <v>2548.4</v>
      </c>
      <c r="D1487" s="200"/>
    </row>
    <row r="1488" spans="2:4" x14ac:dyDescent="0.35">
      <c r="B1488" s="35">
        <v>35296</v>
      </c>
      <c r="C1488" s="34">
        <v>2562.8000000000002</v>
      </c>
      <c r="D1488" s="200"/>
    </row>
    <row r="1489" spans="2:4" x14ac:dyDescent="0.35">
      <c r="B1489" s="35">
        <v>35297</v>
      </c>
      <c r="C1489" s="34">
        <v>2560.3000000000002</v>
      </c>
      <c r="D1489" s="200"/>
    </row>
    <row r="1490" spans="2:4" x14ac:dyDescent="0.35">
      <c r="B1490" s="35">
        <v>35298</v>
      </c>
      <c r="C1490" s="34">
        <v>2543.6999999999998</v>
      </c>
      <c r="D1490" s="200"/>
    </row>
    <row r="1491" spans="2:4" x14ac:dyDescent="0.35">
      <c r="B1491" s="35">
        <v>35299</v>
      </c>
      <c r="C1491" s="34">
        <v>2557.3000000000002</v>
      </c>
      <c r="D1491" s="200"/>
    </row>
    <row r="1492" spans="2:4" x14ac:dyDescent="0.35">
      <c r="B1492" s="35">
        <v>35300</v>
      </c>
      <c r="C1492" s="34">
        <v>2555.1999999999998</v>
      </c>
      <c r="D1492" s="200"/>
    </row>
    <row r="1493" spans="2:4" x14ac:dyDescent="0.35">
      <c r="B1493" s="35">
        <v>35303</v>
      </c>
      <c r="C1493" s="34">
        <v>2552.4</v>
      </c>
      <c r="D1493" s="200"/>
    </row>
    <row r="1494" spans="2:4" x14ac:dyDescent="0.35">
      <c r="B1494" s="35">
        <v>35304</v>
      </c>
      <c r="C1494" s="34">
        <v>2558.8000000000002</v>
      </c>
      <c r="D1494" s="200"/>
    </row>
    <row r="1495" spans="2:4" x14ac:dyDescent="0.35">
      <c r="B1495" s="35">
        <v>35305</v>
      </c>
      <c r="C1495" s="34">
        <v>2563.1999999999998</v>
      </c>
      <c r="D1495" s="200"/>
    </row>
    <row r="1496" spans="2:4" x14ac:dyDescent="0.35">
      <c r="B1496" s="35">
        <v>35306</v>
      </c>
      <c r="C1496" s="34">
        <v>2560.1</v>
      </c>
      <c r="D1496" s="200"/>
    </row>
    <row r="1497" spans="2:4" x14ac:dyDescent="0.35">
      <c r="B1497" s="35">
        <v>35307</v>
      </c>
      <c r="C1497" s="34">
        <v>2543.8000000000002</v>
      </c>
      <c r="D1497" s="200"/>
    </row>
    <row r="1498" spans="2:4" x14ac:dyDescent="0.35">
      <c r="B1498" s="35">
        <v>35310</v>
      </c>
      <c r="C1498" s="34">
        <v>2532.9</v>
      </c>
      <c r="D1498" s="200"/>
    </row>
    <row r="1499" spans="2:4" x14ac:dyDescent="0.35">
      <c r="B1499" s="35">
        <v>35311</v>
      </c>
      <c r="C1499" s="34">
        <v>2510.8000000000002</v>
      </c>
      <c r="D1499" s="200"/>
    </row>
    <row r="1500" spans="2:4" x14ac:dyDescent="0.35">
      <c r="B1500" s="35">
        <v>35312</v>
      </c>
      <c r="C1500" s="34">
        <v>2532.4</v>
      </c>
      <c r="D1500" s="200"/>
    </row>
    <row r="1501" spans="2:4" x14ac:dyDescent="0.35">
      <c r="B1501" s="35">
        <v>35313</v>
      </c>
      <c r="C1501" s="34">
        <v>2529.5</v>
      </c>
      <c r="D1501" s="200"/>
    </row>
    <row r="1502" spans="2:4" x14ac:dyDescent="0.35">
      <c r="B1502" s="35">
        <v>35314</v>
      </c>
      <c r="C1502" s="34">
        <v>2517</v>
      </c>
      <c r="D1502" s="200"/>
    </row>
    <row r="1503" spans="2:4" x14ac:dyDescent="0.35">
      <c r="B1503" s="35">
        <v>35317</v>
      </c>
      <c r="C1503" s="34">
        <v>2548.6999999999998</v>
      </c>
      <c r="D1503" s="200"/>
    </row>
    <row r="1504" spans="2:4" x14ac:dyDescent="0.35">
      <c r="B1504" s="35">
        <v>35318</v>
      </c>
      <c r="C1504" s="34">
        <v>2570.1</v>
      </c>
      <c r="D1504" s="200"/>
    </row>
    <row r="1505" spans="2:4" x14ac:dyDescent="0.35">
      <c r="B1505" s="35">
        <v>35319</v>
      </c>
      <c r="C1505" s="34">
        <v>2566.8000000000002</v>
      </c>
      <c r="D1505" s="200"/>
    </row>
    <row r="1506" spans="2:4" x14ac:dyDescent="0.35">
      <c r="B1506" s="35">
        <v>35320</v>
      </c>
      <c r="C1506" s="34">
        <v>2570.3000000000002</v>
      </c>
      <c r="D1506" s="200"/>
    </row>
    <row r="1507" spans="2:4" x14ac:dyDescent="0.35">
      <c r="B1507" s="35">
        <v>35321</v>
      </c>
      <c r="C1507" s="34">
        <v>2596</v>
      </c>
      <c r="D1507" s="200"/>
    </row>
    <row r="1508" spans="2:4" x14ac:dyDescent="0.35">
      <c r="B1508" s="35">
        <v>35324</v>
      </c>
      <c r="C1508" s="34">
        <v>2629.9</v>
      </c>
      <c r="D1508" s="200"/>
    </row>
    <row r="1509" spans="2:4" x14ac:dyDescent="0.35">
      <c r="B1509" s="35">
        <v>35325</v>
      </c>
      <c r="C1509" s="34">
        <v>2628.1</v>
      </c>
      <c r="D1509" s="200"/>
    </row>
    <row r="1510" spans="2:4" x14ac:dyDescent="0.35">
      <c r="B1510" s="35">
        <v>35326</v>
      </c>
      <c r="C1510" s="34">
        <v>2625.7</v>
      </c>
      <c r="D1510" s="200"/>
    </row>
    <row r="1511" spans="2:4" x14ac:dyDescent="0.35">
      <c r="B1511" s="35">
        <v>35327</v>
      </c>
      <c r="C1511" s="34">
        <v>2624.4</v>
      </c>
      <c r="D1511" s="200"/>
    </row>
    <row r="1512" spans="2:4" x14ac:dyDescent="0.35">
      <c r="B1512" s="35">
        <v>35328</v>
      </c>
      <c r="C1512" s="34">
        <v>2646.1</v>
      </c>
      <c r="D1512" s="200"/>
    </row>
    <row r="1513" spans="2:4" x14ac:dyDescent="0.35">
      <c r="B1513" s="35">
        <v>35331</v>
      </c>
      <c r="C1513" s="34">
        <v>2627</v>
      </c>
      <c r="D1513" s="200"/>
    </row>
    <row r="1514" spans="2:4" x14ac:dyDescent="0.35">
      <c r="B1514" s="35">
        <v>35332</v>
      </c>
      <c r="C1514" s="34">
        <v>2638.5</v>
      </c>
      <c r="D1514" s="200"/>
    </row>
    <row r="1515" spans="2:4" x14ac:dyDescent="0.35">
      <c r="B1515" s="35">
        <v>35333</v>
      </c>
      <c r="C1515" s="34">
        <v>2659</v>
      </c>
      <c r="D1515" s="200"/>
    </row>
    <row r="1516" spans="2:4" x14ac:dyDescent="0.35">
      <c r="B1516" s="35">
        <v>35334</v>
      </c>
      <c r="C1516" s="34">
        <v>2666.6</v>
      </c>
      <c r="D1516" s="200"/>
    </row>
    <row r="1517" spans="2:4" x14ac:dyDescent="0.35">
      <c r="B1517" s="35">
        <v>35335</v>
      </c>
      <c r="C1517" s="34">
        <v>2659</v>
      </c>
      <c r="D1517" s="200"/>
    </row>
    <row r="1518" spans="2:4" x14ac:dyDescent="0.35">
      <c r="B1518" s="35">
        <v>35338</v>
      </c>
      <c r="C1518" s="34">
        <v>2651.9</v>
      </c>
      <c r="D1518" s="200"/>
    </row>
    <row r="1519" spans="2:4" x14ac:dyDescent="0.35">
      <c r="B1519" s="35">
        <v>35339</v>
      </c>
      <c r="C1519" s="34">
        <v>2655.7</v>
      </c>
      <c r="D1519" s="200"/>
    </row>
    <row r="1520" spans="2:4" x14ac:dyDescent="0.35">
      <c r="B1520" s="35">
        <v>35340</v>
      </c>
      <c r="C1520" s="34">
        <v>2676.5</v>
      </c>
      <c r="D1520" s="200"/>
    </row>
    <row r="1521" spans="2:4" x14ac:dyDescent="0.35">
      <c r="B1521" s="35">
        <v>35342</v>
      </c>
      <c r="C1521" s="34">
        <v>2683.3</v>
      </c>
      <c r="D1521" s="200"/>
    </row>
    <row r="1522" spans="2:4" x14ac:dyDescent="0.35">
      <c r="B1522" s="35">
        <v>35345</v>
      </c>
      <c r="C1522" s="34">
        <v>2702.6</v>
      </c>
      <c r="D1522" s="200"/>
    </row>
    <row r="1523" spans="2:4" x14ac:dyDescent="0.35">
      <c r="B1523" s="35">
        <v>35346</v>
      </c>
      <c r="C1523" s="34">
        <v>2691.2</v>
      </c>
      <c r="D1523" s="200"/>
    </row>
    <row r="1524" spans="2:4" x14ac:dyDescent="0.35">
      <c r="B1524" s="35">
        <v>35347</v>
      </c>
      <c r="C1524" s="34">
        <v>2703</v>
      </c>
      <c r="D1524" s="200"/>
    </row>
    <row r="1525" spans="2:4" x14ac:dyDescent="0.35">
      <c r="B1525" s="35">
        <v>35348</v>
      </c>
      <c r="C1525" s="34">
        <v>2680.8</v>
      </c>
      <c r="D1525" s="200"/>
    </row>
    <row r="1526" spans="2:4" x14ac:dyDescent="0.35">
      <c r="B1526" s="35">
        <v>35349</v>
      </c>
      <c r="C1526" s="34">
        <v>2686</v>
      </c>
      <c r="D1526" s="200"/>
    </row>
    <row r="1527" spans="2:4" x14ac:dyDescent="0.35">
      <c r="B1527" s="35">
        <v>35352</v>
      </c>
      <c r="C1527" s="34">
        <v>2693.9</v>
      </c>
      <c r="D1527" s="200"/>
    </row>
    <row r="1528" spans="2:4" x14ac:dyDescent="0.35">
      <c r="B1528" s="35">
        <v>35353</v>
      </c>
      <c r="C1528" s="34">
        <v>2728.5</v>
      </c>
      <c r="D1528" s="200"/>
    </row>
    <row r="1529" spans="2:4" x14ac:dyDescent="0.35">
      <c r="B1529" s="35">
        <v>35354</v>
      </c>
      <c r="C1529" s="34">
        <v>2714.9</v>
      </c>
      <c r="D1529" s="200"/>
    </row>
    <row r="1530" spans="2:4" x14ac:dyDescent="0.35">
      <c r="B1530" s="35">
        <v>35355</v>
      </c>
      <c r="C1530" s="34">
        <v>2716.3</v>
      </c>
      <c r="D1530" s="200"/>
    </row>
    <row r="1531" spans="2:4" x14ac:dyDescent="0.35">
      <c r="B1531" s="35">
        <v>35356</v>
      </c>
      <c r="C1531" s="34">
        <v>2734.8</v>
      </c>
      <c r="D1531" s="200"/>
    </row>
    <row r="1532" spans="2:4" x14ac:dyDescent="0.35">
      <c r="B1532" s="35">
        <v>35359</v>
      </c>
      <c r="C1532" s="34">
        <v>2729</v>
      </c>
      <c r="D1532" s="200"/>
    </row>
    <row r="1533" spans="2:4" x14ac:dyDescent="0.35">
      <c r="B1533" s="35">
        <v>35360</v>
      </c>
      <c r="C1533" s="34">
        <v>2719</v>
      </c>
      <c r="D1533" s="200"/>
    </row>
    <row r="1534" spans="2:4" x14ac:dyDescent="0.35">
      <c r="B1534" s="35">
        <v>35361</v>
      </c>
      <c r="C1534" s="34">
        <v>2699.5</v>
      </c>
      <c r="D1534" s="200"/>
    </row>
    <row r="1535" spans="2:4" x14ac:dyDescent="0.35">
      <c r="B1535" s="35">
        <v>35362</v>
      </c>
      <c r="C1535" s="34">
        <v>2678.4</v>
      </c>
      <c r="D1535" s="200"/>
    </row>
    <row r="1536" spans="2:4" x14ac:dyDescent="0.35">
      <c r="B1536" s="35">
        <v>35363</v>
      </c>
      <c r="C1536" s="34">
        <v>2674.2</v>
      </c>
      <c r="D1536" s="200"/>
    </row>
    <row r="1537" spans="2:4" x14ac:dyDescent="0.35">
      <c r="B1537" s="35">
        <v>35366</v>
      </c>
      <c r="C1537" s="34">
        <v>2703.8</v>
      </c>
      <c r="D1537" s="200"/>
    </row>
    <row r="1538" spans="2:4" x14ac:dyDescent="0.35">
      <c r="B1538" s="35">
        <v>35367</v>
      </c>
      <c r="C1538" s="34">
        <v>2673.6</v>
      </c>
      <c r="D1538" s="200"/>
    </row>
    <row r="1539" spans="2:4" x14ac:dyDescent="0.35">
      <c r="B1539" s="35">
        <v>35368</v>
      </c>
      <c r="C1539" s="34">
        <v>2678.7</v>
      </c>
      <c r="D1539" s="200"/>
    </row>
    <row r="1540" spans="2:4" x14ac:dyDescent="0.35">
      <c r="B1540" s="35">
        <v>35369</v>
      </c>
      <c r="C1540" s="34">
        <v>2659.3</v>
      </c>
      <c r="D1540" s="200"/>
    </row>
    <row r="1541" spans="2:4" x14ac:dyDescent="0.35">
      <c r="B1541" s="35">
        <v>35370</v>
      </c>
      <c r="C1541" s="34">
        <v>2683.3</v>
      </c>
      <c r="D1541" s="200"/>
    </row>
    <row r="1542" spans="2:4" x14ac:dyDescent="0.35">
      <c r="B1542" s="35">
        <v>35373</v>
      </c>
      <c r="C1542" s="34">
        <v>2671.9</v>
      </c>
      <c r="D1542" s="200"/>
    </row>
    <row r="1543" spans="2:4" x14ac:dyDescent="0.35">
      <c r="B1543" s="35">
        <v>35374</v>
      </c>
      <c r="C1543" s="34">
        <v>2691.3</v>
      </c>
      <c r="D1543" s="200"/>
    </row>
    <row r="1544" spans="2:4" x14ac:dyDescent="0.35">
      <c r="B1544" s="35">
        <v>35375</v>
      </c>
      <c r="C1544" s="34">
        <v>2729.2</v>
      </c>
      <c r="D1544" s="200"/>
    </row>
    <row r="1545" spans="2:4" x14ac:dyDescent="0.35">
      <c r="B1545" s="35">
        <v>35376</v>
      </c>
      <c r="C1545" s="34">
        <v>2713.2</v>
      </c>
      <c r="D1545" s="200"/>
    </row>
    <row r="1546" spans="2:4" x14ac:dyDescent="0.35">
      <c r="B1546" s="35">
        <v>35377</v>
      </c>
      <c r="C1546" s="34">
        <v>2739.8</v>
      </c>
      <c r="D1546" s="200"/>
    </row>
    <row r="1547" spans="2:4" x14ac:dyDescent="0.35">
      <c r="B1547" s="35">
        <v>35380</v>
      </c>
      <c r="C1547" s="34">
        <v>2728.3</v>
      </c>
      <c r="D1547" s="200"/>
    </row>
    <row r="1548" spans="2:4" x14ac:dyDescent="0.35">
      <c r="B1548" s="35">
        <v>35381</v>
      </c>
      <c r="C1548" s="34">
        <v>2734.3</v>
      </c>
      <c r="D1548" s="200"/>
    </row>
    <row r="1549" spans="2:4" x14ac:dyDescent="0.35">
      <c r="B1549" s="35">
        <v>35382</v>
      </c>
      <c r="C1549" s="34">
        <v>2773.4</v>
      </c>
      <c r="D1549" s="200"/>
    </row>
    <row r="1550" spans="2:4" x14ac:dyDescent="0.35">
      <c r="B1550" s="35">
        <v>35383</v>
      </c>
      <c r="C1550" s="34">
        <v>2777</v>
      </c>
      <c r="D1550" s="200"/>
    </row>
    <row r="1551" spans="2:4" x14ac:dyDescent="0.35">
      <c r="B1551" s="35">
        <v>35384</v>
      </c>
      <c r="C1551" s="34">
        <v>2795.8</v>
      </c>
      <c r="D1551" s="200"/>
    </row>
    <row r="1552" spans="2:4" x14ac:dyDescent="0.35">
      <c r="B1552" s="35">
        <v>35387</v>
      </c>
      <c r="C1552" s="34">
        <v>2763.8</v>
      </c>
      <c r="D1552" s="200"/>
    </row>
    <row r="1553" spans="2:4" x14ac:dyDescent="0.35">
      <c r="B1553" s="35">
        <v>35388</v>
      </c>
      <c r="C1553" s="34">
        <v>2764.1</v>
      </c>
      <c r="D1553" s="200"/>
    </row>
    <row r="1554" spans="2:4" x14ac:dyDescent="0.35">
      <c r="B1554" s="35">
        <v>35389</v>
      </c>
      <c r="C1554" s="34">
        <v>2774.5</v>
      </c>
      <c r="D1554" s="200"/>
    </row>
    <row r="1555" spans="2:4" x14ac:dyDescent="0.35">
      <c r="B1555" s="35">
        <v>35390</v>
      </c>
      <c r="C1555" s="34">
        <v>2772.3</v>
      </c>
      <c r="D1555" s="200"/>
    </row>
    <row r="1556" spans="2:4" x14ac:dyDescent="0.35">
      <c r="B1556" s="35">
        <v>35391</v>
      </c>
      <c r="C1556" s="34">
        <v>2763.7</v>
      </c>
      <c r="D1556" s="200"/>
    </row>
    <row r="1557" spans="2:4" x14ac:dyDescent="0.35">
      <c r="B1557" s="35">
        <v>35394</v>
      </c>
      <c r="C1557" s="34">
        <v>2799.2</v>
      </c>
      <c r="D1557" s="200"/>
    </row>
    <row r="1558" spans="2:4" x14ac:dyDescent="0.35">
      <c r="B1558" s="35">
        <v>35395</v>
      </c>
      <c r="C1558" s="34">
        <v>2810.6</v>
      </c>
      <c r="D1558" s="200"/>
    </row>
    <row r="1559" spans="2:4" x14ac:dyDescent="0.35">
      <c r="B1559" s="35">
        <v>35396</v>
      </c>
      <c r="C1559" s="34">
        <v>2797</v>
      </c>
      <c r="D1559" s="200"/>
    </row>
    <row r="1560" spans="2:4" x14ac:dyDescent="0.35">
      <c r="B1560" s="35">
        <v>35397</v>
      </c>
      <c r="C1560" s="34">
        <v>2817.5</v>
      </c>
      <c r="D1560" s="200"/>
    </row>
    <row r="1561" spans="2:4" x14ac:dyDescent="0.35">
      <c r="B1561" s="35">
        <v>35398</v>
      </c>
      <c r="C1561" s="34">
        <v>2845.5</v>
      </c>
      <c r="D1561" s="200"/>
    </row>
    <row r="1562" spans="2:4" x14ac:dyDescent="0.35">
      <c r="B1562" s="35">
        <v>35401</v>
      </c>
      <c r="C1562" s="34">
        <v>2858.6</v>
      </c>
      <c r="D1562" s="200"/>
    </row>
    <row r="1563" spans="2:4" x14ac:dyDescent="0.35">
      <c r="B1563" s="35">
        <v>35402</v>
      </c>
      <c r="C1563" s="34">
        <v>2887</v>
      </c>
      <c r="D1563" s="200"/>
    </row>
    <row r="1564" spans="2:4" x14ac:dyDescent="0.35">
      <c r="B1564" s="35">
        <v>35403</v>
      </c>
      <c r="C1564" s="34">
        <v>2866.1</v>
      </c>
      <c r="D1564" s="200"/>
    </row>
    <row r="1565" spans="2:4" x14ac:dyDescent="0.35">
      <c r="B1565" s="35">
        <v>35404</v>
      </c>
      <c r="C1565" s="34">
        <v>2909.9</v>
      </c>
      <c r="D1565" s="200"/>
    </row>
    <row r="1566" spans="2:4" x14ac:dyDescent="0.35">
      <c r="B1566" s="35">
        <v>35405</v>
      </c>
      <c r="C1566" s="34">
        <v>2792</v>
      </c>
      <c r="D1566" s="200"/>
    </row>
    <row r="1567" spans="2:4" x14ac:dyDescent="0.35">
      <c r="B1567" s="35">
        <v>35408</v>
      </c>
      <c r="C1567" s="34">
        <v>2857.2</v>
      </c>
      <c r="D1567" s="200"/>
    </row>
    <row r="1568" spans="2:4" x14ac:dyDescent="0.35">
      <c r="B1568" s="35">
        <v>35409</v>
      </c>
      <c r="C1568" s="34">
        <v>2891</v>
      </c>
      <c r="D1568" s="200"/>
    </row>
    <row r="1569" spans="2:4" x14ac:dyDescent="0.35">
      <c r="B1569" s="35">
        <v>35410</v>
      </c>
      <c r="C1569" s="34">
        <v>2841.1</v>
      </c>
      <c r="D1569" s="200"/>
    </row>
    <row r="1570" spans="2:4" x14ac:dyDescent="0.35">
      <c r="B1570" s="35">
        <v>35411</v>
      </c>
      <c r="C1570" s="34">
        <v>2847.1</v>
      </c>
      <c r="D1570" s="200"/>
    </row>
    <row r="1571" spans="2:4" x14ac:dyDescent="0.35">
      <c r="B1571" s="35">
        <v>35412</v>
      </c>
      <c r="C1571" s="34">
        <v>2799.7</v>
      </c>
      <c r="D1571" s="200"/>
    </row>
    <row r="1572" spans="2:4" x14ac:dyDescent="0.35">
      <c r="B1572" s="35">
        <v>35415</v>
      </c>
      <c r="C1572" s="34">
        <v>2855.8</v>
      </c>
      <c r="D1572" s="200"/>
    </row>
    <row r="1573" spans="2:4" x14ac:dyDescent="0.35">
      <c r="B1573" s="35">
        <v>35416</v>
      </c>
      <c r="C1573" s="34">
        <v>2815.1</v>
      </c>
      <c r="D1573" s="200"/>
    </row>
    <row r="1574" spans="2:4" x14ac:dyDescent="0.35">
      <c r="B1574" s="35">
        <v>35417</v>
      </c>
      <c r="C1574" s="34">
        <v>2820.8</v>
      </c>
      <c r="D1574" s="200"/>
    </row>
    <row r="1575" spans="2:4" x14ac:dyDescent="0.35">
      <c r="B1575" s="35">
        <v>35418</v>
      </c>
      <c r="C1575" s="34">
        <v>2807.8</v>
      </c>
      <c r="D1575" s="200"/>
    </row>
    <row r="1576" spans="2:4" x14ac:dyDescent="0.35">
      <c r="B1576" s="35">
        <v>35419</v>
      </c>
      <c r="C1576" s="34">
        <v>2854.5</v>
      </c>
      <c r="D1576" s="200"/>
    </row>
    <row r="1577" spans="2:4" x14ac:dyDescent="0.35">
      <c r="B1577" s="35">
        <v>35422</v>
      </c>
      <c r="C1577" s="34">
        <v>2845.6</v>
      </c>
      <c r="D1577" s="200"/>
    </row>
    <row r="1578" spans="2:4" x14ac:dyDescent="0.35">
      <c r="B1578" s="35">
        <v>35426</v>
      </c>
      <c r="C1578" s="34">
        <v>2852.9</v>
      </c>
      <c r="D1578" s="200"/>
    </row>
    <row r="1579" spans="2:4" x14ac:dyDescent="0.35">
      <c r="B1579" s="35">
        <v>35429</v>
      </c>
      <c r="C1579" s="34">
        <v>2888.7</v>
      </c>
      <c r="D1579" s="200"/>
    </row>
    <row r="1580" spans="2:4" x14ac:dyDescent="0.35">
      <c r="B1580" s="35">
        <v>35432</v>
      </c>
      <c r="C1580" s="34">
        <v>2848.8</v>
      </c>
      <c r="D1580" s="200"/>
    </row>
    <row r="1581" spans="2:4" x14ac:dyDescent="0.35">
      <c r="B1581" s="35">
        <v>35433</v>
      </c>
      <c r="C1581" s="34">
        <v>2859.3</v>
      </c>
      <c r="D1581" s="200"/>
    </row>
    <row r="1582" spans="2:4" x14ac:dyDescent="0.35">
      <c r="B1582" s="35">
        <v>35436</v>
      </c>
      <c r="C1582" s="34">
        <v>2881.3</v>
      </c>
      <c r="D1582" s="200"/>
    </row>
    <row r="1583" spans="2:4" x14ac:dyDescent="0.35">
      <c r="B1583" s="35">
        <v>35437</v>
      </c>
      <c r="C1583" s="34">
        <v>2886.1</v>
      </c>
      <c r="D1583" s="200"/>
    </row>
    <row r="1584" spans="2:4" x14ac:dyDescent="0.35">
      <c r="B1584" s="35">
        <v>35438</v>
      </c>
      <c r="C1584" s="34">
        <v>2906.3</v>
      </c>
      <c r="D1584" s="200"/>
    </row>
    <row r="1585" spans="2:4" x14ac:dyDescent="0.35">
      <c r="B1585" s="35">
        <v>35439</v>
      </c>
      <c r="C1585" s="34">
        <v>2892.6</v>
      </c>
      <c r="D1585" s="200"/>
    </row>
    <row r="1586" spans="2:4" x14ac:dyDescent="0.35">
      <c r="B1586" s="35">
        <v>35440</v>
      </c>
      <c r="C1586" s="34">
        <v>2933.4</v>
      </c>
      <c r="D1586" s="200"/>
    </row>
    <row r="1587" spans="2:4" x14ac:dyDescent="0.35">
      <c r="B1587" s="35">
        <v>35443</v>
      </c>
      <c r="C1587" s="34">
        <v>2955</v>
      </c>
      <c r="D1587" s="200"/>
    </row>
    <row r="1588" spans="2:4" x14ac:dyDescent="0.35">
      <c r="B1588" s="35">
        <v>35444</v>
      </c>
      <c r="C1588" s="34">
        <v>2949</v>
      </c>
      <c r="D1588" s="200"/>
    </row>
    <row r="1589" spans="2:4" x14ac:dyDescent="0.35">
      <c r="B1589" s="35">
        <v>35445</v>
      </c>
      <c r="C1589" s="34">
        <v>2988.5</v>
      </c>
      <c r="D1589" s="200"/>
    </row>
    <row r="1590" spans="2:4" x14ac:dyDescent="0.35">
      <c r="B1590" s="35">
        <v>35446</v>
      </c>
      <c r="C1590" s="34">
        <v>2993.3</v>
      </c>
      <c r="D1590" s="200"/>
    </row>
    <row r="1591" spans="2:4" x14ac:dyDescent="0.35">
      <c r="B1591" s="35">
        <v>35447</v>
      </c>
      <c r="C1591" s="34">
        <v>3001.4</v>
      </c>
      <c r="D1591" s="200"/>
    </row>
    <row r="1592" spans="2:4" x14ac:dyDescent="0.35">
      <c r="B1592" s="35">
        <v>35450</v>
      </c>
      <c r="C1592" s="34">
        <v>3030.7</v>
      </c>
      <c r="D1592" s="200"/>
    </row>
    <row r="1593" spans="2:4" x14ac:dyDescent="0.35">
      <c r="B1593" s="35">
        <v>35451</v>
      </c>
      <c r="C1593" s="34">
        <v>2976.7</v>
      </c>
      <c r="D1593" s="200"/>
    </row>
    <row r="1594" spans="2:4" x14ac:dyDescent="0.35">
      <c r="B1594" s="35">
        <v>35452</v>
      </c>
      <c r="C1594" s="34">
        <v>3028.7</v>
      </c>
      <c r="D1594" s="200"/>
    </row>
    <row r="1595" spans="2:4" x14ac:dyDescent="0.35">
      <c r="B1595" s="35">
        <v>35453</v>
      </c>
      <c r="C1595" s="34">
        <v>3033.5</v>
      </c>
      <c r="D1595" s="200"/>
    </row>
    <row r="1596" spans="2:4" x14ac:dyDescent="0.35">
      <c r="B1596" s="35">
        <v>35454</v>
      </c>
      <c r="C1596" s="34">
        <v>2998.2</v>
      </c>
      <c r="D1596" s="200"/>
    </row>
    <row r="1597" spans="2:4" x14ac:dyDescent="0.35">
      <c r="B1597" s="35">
        <v>35457</v>
      </c>
      <c r="C1597" s="34">
        <v>2994.5</v>
      </c>
      <c r="D1597" s="200"/>
    </row>
    <row r="1598" spans="2:4" x14ac:dyDescent="0.35">
      <c r="B1598" s="35">
        <v>35458</v>
      </c>
      <c r="C1598" s="34">
        <v>2989.3</v>
      </c>
      <c r="D1598" s="200"/>
    </row>
    <row r="1599" spans="2:4" x14ac:dyDescent="0.35">
      <c r="B1599" s="35">
        <v>35459</v>
      </c>
      <c r="C1599" s="34">
        <v>2999.2</v>
      </c>
      <c r="D1599" s="200"/>
    </row>
    <row r="1600" spans="2:4" x14ac:dyDescent="0.35">
      <c r="B1600" s="35">
        <v>35460</v>
      </c>
      <c r="C1600" s="34">
        <v>3017.3</v>
      </c>
      <c r="D1600" s="200"/>
    </row>
    <row r="1601" spans="2:4" x14ac:dyDescent="0.35">
      <c r="B1601" s="35">
        <v>35461</v>
      </c>
      <c r="C1601" s="34">
        <v>3035.2</v>
      </c>
      <c r="D1601" s="200"/>
    </row>
    <row r="1602" spans="2:4" x14ac:dyDescent="0.35">
      <c r="B1602" s="35">
        <v>35464</v>
      </c>
      <c r="C1602" s="34">
        <v>3062.3</v>
      </c>
      <c r="D1602" s="200"/>
    </row>
    <row r="1603" spans="2:4" x14ac:dyDescent="0.35">
      <c r="B1603" s="35">
        <v>35465</v>
      </c>
      <c r="C1603" s="34">
        <v>3067.1</v>
      </c>
      <c r="D1603" s="200"/>
    </row>
    <row r="1604" spans="2:4" x14ac:dyDescent="0.35">
      <c r="B1604" s="35">
        <v>35466</v>
      </c>
      <c r="C1604" s="34">
        <v>3098</v>
      </c>
      <c r="D1604" s="200"/>
    </row>
    <row r="1605" spans="2:4" x14ac:dyDescent="0.35">
      <c r="B1605" s="35">
        <v>35467</v>
      </c>
      <c r="C1605" s="34">
        <v>3104.1</v>
      </c>
      <c r="D1605" s="200"/>
    </row>
    <row r="1606" spans="2:4" x14ac:dyDescent="0.35">
      <c r="B1606" s="35">
        <v>35468</v>
      </c>
      <c r="C1606" s="34">
        <v>3138</v>
      </c>
      <c r="D1606" s="200"/>
    </row>
    <row r="1607" spans="2:4" x14ac:dyDescent="0.35">
      <c r="B1607" s="35">
        <v>35471</v>
      </c>
      <c r="C1607" s="34">
        <v>3184.4</v>
      </c>
      <c r="D1607" s="200"/>
    </row>
    <row r="1608" spans="2:4" x14ac:dyDescent="0.35">
      <c r="B1608" s="35">
        <v>35472</v>
      </c>
      <c r="C1608" s="34">
        <v>3187.6</v>
      </c>
      <c r="D1608" s="200"/>
    </row>
    <row r="1609" spans="2:4" x14ac:dyDescent="0.35">
      <c r="B1609" s="35">
        <v>35473</v>
      </c>
      <c r="C1609" s="34">
        <v>3216.1</v>
      </c>
      <c r="D1609" s="200"/>
    </row>
    <row r="1610" spans="2:4" x14ac:dyDescent="0.35">
      <c r="B1610" s="35">
        <v>35474</v>
      </c>
      <c r="C1610" s="34">
        <v>3229.5</v>
      </c>
      <c r="D1610" s="200"/>
    </row>
    <row r="1611" spans="2:4" x14ac:dyDescent="0.35">
      <c r="B1611" s="35">
        <v>35475</v>
      </c>
      <c r="C1611" s="34">
        <v>3248.2</v>
      </c>
      <c r="D1611" s="200"/>
    </row>
    <row r="1612" spans="2:4" x14ac:dyDescent="0.35">
      <c r="B1612" s="35">
        <v>35478</v>
      </c>
      <c r="C1612" s="34">
        <v>3232.6</v>
      </c>
      <c r="D1612" s="200"/>
    </row>
    <row r="1613" spans="2:4" x14ac:dyDescent="0.35">
      <c r="B1613" s="35">
        <v>35479</v>
      </c>
      <c r="C1613" s="34">
        <v>3276.2</v>
      </c>
      <c r="D1613" s="200"/>
    </row>
    <row r="1614" spans="2:4" x14ac:dyDescent="0.35">
      <c r="B1614" s="35">
        <v>35480</v>
      </c>
      <c r="C1614" s="34">
        <v>3233.8</v>
      </c>
      <c r="D1614" s="200"/>
    </row>
    <row r="1615" spans="2:4" x14ac:dyDescent="0.35">
      <c r="B1615" s="35">
        <v>35481</v>
      </c>
      <c r="C1615" s="34">
        <v>3196</v>
      </c>
      <c r="D1615" s="200"/>
    </row>
    <row r="1616" spans="2:4" x14ac:dyDescent="0.35">
      <c r="B1616" s="35">
        <v>35482</v>
      </c>
      <c r="C1616" s="34">
        <v>3184.1</v>
      </c>
      <c r="D1616" s="200"/>
    </row>
    <row r="1617" spans="2:4" x14ac:dyDescent="0.35">
      <c r="B1617" s="35">
        <v>35485</v>
      </c>
      <c r="C1617" s="34">
        <v>3184.2</v>
      </c>
      <c r="D1617" s="200"/>
    </row>
    <row r="1618" spans="2:4" x14ac:dyDescent="0.35">
      <c r="B1618" s="35">
        <v>35486</v>
      </c>
      <c r="C1618" s="34">
        <v>3233.2</v>
      </c>
      <c r="D1618" s="200"/>
    </row>
    <row r="1619" spans="2:4" x14ac:dyDescent="0.35">
      <c r="B1619" s="35">
        <v>35487</v>
      </c>
      <c r="C1619" s="34">
        <v>3237.9</v>
      </c>
      <c r="D1619" s="200"/>
    </row>
    <row r="1620" spans="2:4" x14ac:dyDescent="0.35">
      <c r="B1620" s="35">
        <v>35488</v>
      </c>
      <c r="C1620" s="34">
        <v>3276.7</v>
      </c>
      <c r="D1620" s="200"/>
    </row>
    <row r="1621" spans="2:4" x14ac:dyDescent="0.35">
      <c r="B1621" s="35">
        <v>35489</v>
      </c>
      <c r="C1621" s="34">
        <v>3259.6</v>
      </c>
      <c r="D1621" s="200"/>
    </row>
    <row r="1622" spans="2:4" x14ac:dyDescent="0.35">
      <c r="B1622" s="35">
        <v>35492</v>
      </c>
      <c r="C1622" s="34">
        <v>3263.9</v>
      </c>
      <c r="D1622" s="200"/>
    </row>
    <row r="1623" spans="2:4" x14ac:dyDescent="0.35">
      <c r="B1623" s="35">
        <v>35493</v>
      </c>
      <c r="C1623" s="34">
        <v>3320.7</v>
      </c>
      <c r="D1623" s="200"/>
    </row>
    <row r="1624" spans="2:4" x14ac:dyDescent="0.35">
      <c r="B1624" s="35">
        <v>35494</v>
      </c>
      <c r="C1624" s="34">
        <v>3365</v>
      </c>
      <c r="D1624" s="200"/>
    </row>
    <row r="1625" spans="2:4" x14ac:dyDescent="0.35">
      <c r="B1625" s="35">
        <v>35495</v>
      </c>
      <c r="C1625" s="34">
        <v>3417.6</v>
      </c>
      <c r="D1625" s="200"/>
    </row>
    <row r="1626" spans="2:4" x14ac:dyDescent="0.35">
      <c r="B1626" s="35">
        <v>35496</v>
      </c>
      <c r="C1626" s="34">
        <v>3376.2</v>
      </c>
      <c r="D1626" s="200"/>
    </row>
    <row r="1627" spans="2:4" x14ac:dyDescent="0.35">
      <c r="B1627" s="35">
        <v>35499</v>
      </c>
      <c r="C1627" s="34">
        <v>3436.1</v>
      </c>
      <c r="D1627" s="200"/>
    </row>
    <row r="1628" spans="2:4" x14ac:dyDescent="0.35">
      <c r="B1628" s="35">
        <v>35500</v>
      </c>
      <c r="C1628" s="34">
        <v>3460.6</v>
      </c>
      <c r="D1628" s="200"/>
    </row>
    <row r="1629" spans="2:4" x14ac:dyDescent="0.35">
      <c r="B1629" s="35">
        <v>35501</v>
      </c>
      <c r="C1629" s="34">
        <v>3415.4</v>
      </c>
      <c r="D1629" s="200"/>
    </row>
    <row r="1630" spans="2:4" x14ac:dyDescent="0.35">
      <c r="B1630" s="35">
        <v>35502</v>
      </c>
      <c r="C1630" s="34">
        <v>3349.8</v>
      </c>
      <c r="D1630" s="200"/>
    </row>
    <row r="1631" spans="2:4" x14ac:dyDescent="0.35">
      <c r="B1631" s="35">
        <v>35503</v>
      </c>
      <c r="C1631" s="34">
        <v>3359.3</v>
      </c>
      <c r="D1631" s="200"/>
    </row>
    <row r="1632" spans="2:4" x14ac:dyDescent="0.35">
      <c r="B1632" s="35">
        <v>35506</v>
      </c>
      <c r="C1632" s="34">
        <v>3351</v>
      </c>
      <c r="D1632" s="200"/>
    </row>
    <row r="1633" spans="2:4" x14ac:dyDescent="0.35">
      <c r="B1633" s="35">
        <v>35507</v>
      </c>
      <c r="C1633" s="34">
        <v>3291.2</v>
      </c>
      <c r="D1633" s="200"/>
    </row>
    <row r="1634" spans="2:4" x14ac:dyDescent="0.35">
      <c r="B1634" s="35">
        <v>35508</v>
      </c>
      <c r="C1634" s="34">
        <v>3315.9</v>
      </c>
      <c r="D1634" s="200"/>
    </row>
    <row r="1635" spans="2:4" x14ac:dyDescent="0.35">
      <c r="B1635" s="35">
        <v>35509</v>
      </c>
      <c r="C1635" s="34">
        <v>3264.7</v>
      </c>
      <c r="D1635" s="200"/>
    </row>
    <row r="1636" spans="2:4" x14ac:dyDescent="0.35">
      <c r="B1636" s="35">
        <v>35510</v>
      </c>
      <c r="C1636" s="34">
        <v>3298.2</v>
      </c>
      <c r="D1636" s="200"/>
    </row>
    <row r="1637" spans="2:4" x14ac:dyDescent="0.35">
      <c r="B1637" s="35">
        <v>35513</v>
      </c>
      <c r="C1637" s="34">
        <v>3321.8</v>
      </c>
      <c r="D1637" s="200"/>
    </row>
    <row r="1638" spans="2:4" x14ac:dyDescent="0.35">
      <c r="B1638" s="35">
        <v>35514</v>
      </c>
      <c r="C1638" s="34">
        <v>3349.1</v>
      </c>
      <c r="D1638" s="200"/>
    </row>
    <row r="1639" spans="2:4" x14ac:dyDescent="0.35">
      <c r="B1639" s="35">
        <v>35515</v>
      </c>
      <c r="C1639" s="34">
        <v>3418.1</v>
      </c>
      <c r="D1639" s="200"/>
    </row>
    <row r="1640" spans="2:4" x14ac:dyDescent="0.35">
      <c r="B1640" s="35">
        <v>35516</v>
      </c>
      <c r="C1640" s="34">
        <v>3429.1</v>
      </c>
      <c r="D1640" s="200"/>
    </row>
    <row r="1641" spans="2:4" x14ac:dyDescent="0.35">
      <c r="B1641" s="35">
        <v>35521</v>
      </c>
      <c r="C1641" s="34">
        <v>3295.9</v>
      </c>
      <c r="D1641" s="200"/>
    </row>
    <row r="1642" spans="2:4" x14ac:dyDescent="0.35">
      <c r="B1642" s="35">
        <v>35522</v>
      </c>
      <c r="C1642" s="34">
        <v>3301.9</v>
      </c>
      <c r="D1642" s="200"/>
    </row>
    <row r="1643" spans="2:4" x14ac:dyDescent="0.35">
      <c r="B1643" s="35">
        <v>35523</v>
      </c>
      <c r="C1643" s="34">
        <v>3215.2</v>
      </c>
      <c r="D1643" s="200"/>
    </row>
    <row r="1644" spans="2:4" x14ac:dyDescent="0.35">
      <c r="B1644" s="35">
        <v>35524</v>
      </c>
      <c r="C1644" s="34">
        <v>3244.9</v>
      </c>
      <c r="D1644" s="200"/>
    </row>
    <row r="1645" spans="2:4" x14ac:dyDescent="0.35">
      <c r="B1645" s="35">
        <v>35527</v>
      </c>
      <c r="C1645" s="34">
        <v>3312.9</v>
      </c>
      <c r="D1645" s="200"/>
    </row>
    <row r="1646" spans="2:4" x14ac:dyDescent="0.35">
      <c r="B1646" s="35">
        <v>35528</v>
      </c>
      <c r="C1646" s="34">
        <v>3329.8</v>
      </c>
      <c r="D1646" s="200"/>
    </row>
    <row r="1647" spans="2:4" x14ac:dyDescent="0.35">
      <c r="B1647" s="35">
        <v>35529</v>
      </c>
      <c r="C1647" s="34">
        <v>3359.5</v>
      </c>
      <c r="D1647" s="200"/>
    </row>
    <row r="1648" spans="2:4" x14ac:dyDescent="0.35">
      <c r="B1648" s="35">
        <v>35530</v>
      </c>
      <c r="C1648" s="34">
        <v>3351.5</v>
      </c>
      <c r="D1648" s="200"/>
    </row>
    <row r="1649" spans="2:4" x14ac:dyDescent="0.35">
      <c r="B1649" s="35">
        <v>35531</v>
      </c>
      <c r="C1649" s="34">
        <v>3340.1</v>
      </c>
      <c r="D1649" s="200"/>
    </row>
    <row r="1650" spans="2:4" x14ac:dyDescent="0.35">
      <c r="B1650" s="35">
        <v>35534</v>
      </c>
      <c r="C1650" s="34">
        <v>3279.9</v>
      </c>
      <c r="D1650" s="200"/>
    </row>
    <row r="1651" spans="2:4" x14ac:dyDescent="0.35">
      <c r="B1651" s="35">
        <v>35535</v>
      </c>
      <c r="C1651" s="34">
        <v>3327.7</v>
      </c>
      <c r="D1651" s="200"/>
    </row>
    <row r="1652" spans="2:4" x14ac:dyDescent="0.35">
      <c r="B1652" s="35">
        <v>35536</v>
      </c>
      <c r="C1652" s="34">
        <v>3353.5</v>
      </c>
      <c r="D1652" s="200"/>
    </row>
    <row r="1653" spans="2:4" x14ac:dyDescent="0.35">
      <c r="B1653" s="35">
        <v>35537</v>
      </c>
      <c r="C1653" s="34">
        <v>3383.3</v>
      </c>
      <c r="D1653" s="200"/>
    </row>
    <row r="1654" spans="2:4" x14ac:dyDescent="0.35">
      <c r="B1654" s="35">
        <v>35538</v>
      </c>
      <c r="C1654" s="34">
        <v>3344.4</v>
      </c>
      <c r="D1654" s="200"/>
    </row>
    <row r="1655" spans="2:4" x14ac:dyDescent="0.35">
      <c r="B1655" s="35">
        <v>35541</v>
      </c>
      <c r="C1655" s="34">
        <v>3347.6</v>
      </c>
      <c r="D1655" s="200"/>
    </row>
    <row r="1656" spans="2:4" x14ac:dyDescent="0.35">
      <c r="B1656" s="35">
        <v>35542</v>
      </c>
      <c r="C1656" s="34">
        <v>3340.3</v>
      </c>
      <c r="D1656" s="200"/>
    </row>
    <row r="1657" spans="2:4" x14ac:dyDescent="0.35">
      <c r="B1657" s="35">
        <v>35543</v>
      </c>
      <c r="C1657" s="34">
        <v>3396</v>
      </c>
      <c r="D1657" s="200"/>
    </row>
    <row r="1658" spans="2:4" x14ac:dyDescent="0.35">
      <c r="B1658" s="35">
        <v>35544</v>
      </c>
      <c r="C1658" s="34">
        <v>3397.4</v>
      </c>
      <c r="D1658" s="200"/>
    </row>
    <row r="1659" spans="2:4" x14ac:dyDescent="0.35">
      <c r="B1659" s="35">
        <v>35545</v>
      </c>
      <c r="C1659" s="34">
        <v>3374.1</v>
      </c>
      <c r="D1659" s="200"/>
    </row>
    <row r="1660" spans="2:4" x14ac:dyDescent="0.35">
      <c r="B1660" s="35">
        <v>35548</v>
      </c>
      <c r="C1660" s="34">
        <v>3363.1</v>
      </c>
      <c r="D1660" s="200"/>
    </row>
    <row r="1661" spans="2:4" x14ac:dyDescent="0.35">
      <c r="B1661" s="35">
        <v>35549</v>
      </c>
      <c r="C1661" s="34">
        <v>3383.2</v>
      </c>
      <c r="D1661" s="200"/>
    </row>
    <row r="1662" spans="2:4" x14ac:dyDescent="0.35">
      <c r="B1662" s="35">
        <v>35550</v>
      </c>
      <c r="C1662" s="34">
        <v>3438.1</v>
      </c>
      <c r="D1662" s="200"/>
    </row>
    <row r="1663" spans="2:4" x14ac:dyDescent="0.35">
      <c r="B1663" s="35">
        <v>35552</v>
      </c>
      <c r="C1663" s="34">
        <v>3460.4</v>
      </c>
      <c r="D1663" s="200"/>
    </row>
    <row r="1664" spans="2:4" x14ac:dyDescent="0.35">
      <c r="B1664" s="35">
        <v>35555</v>
      </c>
      <c r="C1664" s="34">
        <v>3528.8</v>
      </c>
      <c r="D1664" s="200"/>
    </row>
    <row r="1665" spans="2:4" x14ac:dyDescent="0.35">
      <c r="B1665" s="35">
        <v>35556</v>
      </c>
      <c r="C1665" s="34">
        <v>3568.3</v>
      </c>
      <c r="D1665" s="200"/>
    </row>
    <row r="1666" spans="2:4" x14ac:dyDescent="0.35">
      <c r="B1666" s="35">
        <v>35557</v>
      </c>
      <c r="C1666" s="34">
        <v>3552</v>
      </c>
      <c r="D1666" s="200"/>
    </row>
    <row r="1667" spans="2:4" x14ac:dyDescent="0.35">
      <c r="B1667" s="35">
        <v>35559</v>
      </c>
      <c r="C1667" s="34">
        <v>3562.4</v>
      </c>
      <c r="D1667" s="200"/>
    </row>
    <row r="1668" spans="2:4" x14ac:dyDescent="0.35">
      <c r="B1668" s="35">
        <v>35562</v>
      </c>
      <c r="C1668" s="34">
        <v>3575.4</v>
      </c>
      <c r="D1668" s="200"/>
    </row>
    <row r="1669" spans="2:4" x14ac:dyDescent="0.35">
      <c r="B1669" s="35">
        <v>35563</v>
      </c>
      <c r="C1669" s="34">
        <v>3595.2</v>
      </c>
      <c r="D1669" s="200"/>
    </row>
    <row r="1670" spans="2:4" x14ac:dyDescent="0.35">
      <c r="B1670" s="35">
        <v>35564</v>
      </c>
      <c r="C1670" s="34">
        <v>3573.7</v>
      </c>
      <c r="D1670" s="200"/>
    </row>
    <row r="1671" spans="2:4" x14ac:dyDescent="0.35">
      <c r="B1671" s="35">
        <v>35565</v>
      </c>
      <c r="C1671" s="34">
        <v>3562.1</v>
      </c>
      <c r="D1671" s="200"/>
    </row>
    <row r="1672" spans="2:4" x14ac:dyDescent="0.35">
      <c r="B1672" s="35">
        <v>35566</v>
      </c>
      <c r="C1672" s="34">
        <v>3604.6</v>
      </c>
      <c r="D1672" s="200"/>
    </row>
    <row r="1673" spans="2:4" x14ac:dyDescent="0.35">
      <c r="B1673" s="35">
        <v>35570</v>
      </c>
      <c r="C1673" s="34">
        <v>3543.4</v>
      </c>
      <c r="D1673" s="200"/>
    </row>
    <row r="1674" spans="2:4" x14ac:dyDescent="0.35">
      <c r="B1674" s="35">
        <v>35571</v>
      </c>
      <c r="C1674" s="34">
        <v>3596.1</v>
      </c>
      <c r="D1674" s="200"/>
    </row>
    <row r="1675" spans="2:4" x14ac:dyDescent="0.35">
      <c r="B1675" s="35">
        <v>35572</v>
      </c>
      <c r="C1675" s="34">
        <v>3579.4</v>
      </c>
      <c r="D1675" s="200"/>
    </row>
    <row r="1676" spans="2:4" x14ac:dyDescent="0.35">
      <c r="B1676" s="35">
        <v>35573</v>
      </c>
      <c r="C1676" s="34">
        <v>3602.2</v>
      </c>
      <c r="D1676" s="200"/>
    </row>
    <row r="1677" spans="2:4" x14ac:dyDescent="0.35">
      <c r="B1677" s="35">
        <v>35576</v>
      </c>
      <c r="C1677" s="34">
        <v>3657.9</v>
      </c>
      <c r="D1677" s="200"/>
    </row>
    <row r="1678" spans="2:4" x14ac:dyDescent="0.35">
      <c r="B1678" s="35">
        <v>35577</v>
      </c>
      <c r="C1678" s="34">
        <v>3674.4</v>
      </c>
      <c r="D1678" s="200"/>
    </row>
    <row r="1679" spans="2:4" x14ac:dyDescent="0.35">
      <c r="B1679" s="35">
        <v>35578</v>
      </c>
      <c r="C1679" s="34">
        <v>3636.4</v>
      </c>
      <c r="D1679" s="200"/>
    </row>
    <row r="1680" spans="2:4" x14ac:dyDescent="0.35">
      <c r="B1680" s="35">
        <v>35580</v>
      </c>
      <c r="C1680" s="34">
        <v>3562.7</v>
      </c>
      <c r="D1680" s="200"/>
    </row>
    <row r="1681" spans="2:4" x14ac:dyDescent="0.35">
      <c r="B1681" s="35">
        <v>35583</v>
      </c>
      <c r="C1681" s="34">
        <v>3596.4</v>
      </c>
      <c r="D1681" s="200"/>
    </row>
    <row r="1682" spans="2:4" x14ac:dyDescent="0.35">
      <c r="B1682" s="35">
        <v>35584</v>
      </c>
      <c r="C1682" s="34">
        <v>3655.6</v>
      </c>
      <c r="D1682" s="200"/>
    </row>
    <row r="1683" spans="2:4" x14ac:dyDescent="0.35">
      <c r="B1683" s="35">
        <v>35585</v>
      </c>
      <c r="C1683" s="34">
        <v>3651.6</v>
      </c>
      <c r="D1683" s="200"/>
    </row>
    <row r="1684" spans="2:4" x14ac:dyDescent="0.35">
      <c r="B1684" s="35">
        <v>35586</v>
      </c>
      <c r="C1684" s="34">
        <v>3684.6</v>
      </c>
      <c r="D1684" s="200"/>
    </row>
    <row r="1685" spans="2:4" x14ac:dyDescent="0.35">
      <c r="B1685" s="35">
        <v>35587</v>
      </c>
      <c r="C1685" s="34">
        <v>3700.5</v>
      </c>
      <c r="D1685" s="200"/>
    </row>
    <row r="1686" spans="2:4" x14ac:dyDescent="0.35">
      <c r="B1686" s="35">
        <v>35590</v>
      </c>
      <c r="C1686" s="34">
        <v>3668.6</v>
      </c>
      <c r="D1686" s="200"/>
    </row>
    <row r="1687" spans="2:4" x14ac:dyDescent="0.35">
      <c r="B1687" s="35">
        <v>35591</v>
      </c>
      <c r="C1687" s="34">
        <v>3671.2</v>
      </c>
      <c r="D1687" s="200"/>
    </row>
    <row r="1688" spans="2:4" x14ac:dyDescent="0.35">
      <c r="B1688" s="35">
        <v>35592</v>
      </c>
      <c r="C1688" s="34">
        <v>3671.9</v>
      </c>
      <c r="D1688" s="200"/>
    </row>
    <row r="1689" spans="2:4" x14ac:dyDescent="0.35">
      <c r="B1689" s="35">
        <v>35593</v>
      </c>
      <c r="C1689" s="34">
        <v>3737.2</v>
      </c>
      <c r="D1689" s="200"/>
    </row>
    <row r="1690" spans="2:4" x14ac:dyDescent="0.35">
      <c r="B1690" s="35">
        <v>35594</v>
      </c>
      <c r="C1690" s="34">
        <v>3752.4</v>
      </c>
      <c r="D1690" s="200"/>
    </row>
    <row r="1691" spans="2:4" x14ac:dyDescent="0.35">
      <c r="B1691" s="35">
        <v>35597</v>
      </c>
      <c r="C1691" s="34">
        <v>3750</v>
      </c>
      <c r="D1691" s="200"/>
    </row>
    <row r="1692" spans="2:4" x14ac:dyDescent="0.35">
      <c r="B1692" s="35">
        <v>35598</v>
      </c>
      <c r="C1692" s="34">
        <v>3721.2</v>
      </c>
      <c r="D1692" s="200"/>
    </row>
    <row r="1693" spans="2:4" x14ac:dyDescent="0.35">
      <c r="B1693" s="35">
        <v>35599</v>
      </c>
      <c r="C1693" s="34">
        <v>3730.6</v>
      </c>
      <c r="D1693" s="200"/>
    </row>
    <row r="1694" spans="2:4" x14ac:dyDescent="0.35">
      <c r="B1694" s="35">
        <v>35600</v>
      </c>
      <c r="C1694" s="34">
        <v>3777.6</v>
      </c>
      <c r="D1694" s="200"/>
    </row>
    <row r="1695" spans="2:4" x14ac:dyDescent="0.35">
      <c r="B1695" s="35">
        <v>35601</v>
      </c>
      <c r="C1695" s="34">
        <v>3788.5</v>
      </c>
      <c r="D1695" s="200"/>
    </row>
    <row r="1696" spans="2:4" x14ac:dyDescent="0.35">
      <c r="B1696" s="35">
        <v>35604</v>
      </c>
      <c r="C1696" s="34">
        <v>3748.8</v>
      </c>
      <c r="D1696" s="200"/>
    </row>
    <row r="1697" spans="2:4" x14ac:dyDescent="0.35">
      <c r="B1697" s="35">
        <v>35605</v>
      </c>
      <c r="C1697" s="34">
        <v>3761.1</v>
      </c>
      <c r="D1697" s="200"/>
    </row>
    <row r="1698" spans="2:4" x14ac:dyDescent="0.35">
      <c r="B1698" s="35">
        <v>35606</v>
      </c>
      <c r="C1698" s="34">
        <v>3819.5</v>
      </c>
      <c r="D1698" s="200"/>
    </row>
    <row r="1699" spans="2:4" x14ac:dyDescent="0.35">
      <c r="B1699" s="35">
        <v>35607</v>
      </c>
      <c r="C1699" s="34">
        <v>3820.2</v>
      </c>
      <c r="D1699" s="200"/>
    </row>
    <row r="1700" spans="2:4" x14ac:dyDescent="0.35">
      <c r="B1700" s="35">
        <v>35608</v>
      </c>
      <c r="C1700" s="34">
        <v>3809.9</v>
      </c>
      <c r="D1700" s="200"/>
    </row>
    <row r="1701" spans="2:4" x14ac:dyDescent="0.35">
      <c r="B1701" s="35">
        <v>35611</v>
      </c>
      <c r="C1701" s="34">
        <v>3766.9</v>
      </c>
      <c r="D1701" s="200"/>
    </row>
    <row r="1702" spans="2:4" x14ac:dyDescent="0.35">
      <c r="B1702" s="35">
        <v>35612</v>
      </c>
      <c r="C1702" s="34">
        <v>3834.8</v>
      </c>
      <c r="D1702" s="200"/>
    </row>
    <row r="1703" spans="2:4" x14ac:dyDescent="0.35">
      <c r="B1703" s="35">
        <v>35613</v>
      </c>
      <c r="C1703" s="34">
        <v>3867.5</v>
      </c>
      <c r="D1703" s="200"/>
    </row>
    <row r="1704" spans="2:4" x14ac:dyDescent="0.35">
      <c r="B1704" s="35">
        <v>35614</v>
      </c>
      <c r="C1704" s="34">
        <v>3939.7</v>
      </c>
      <c r="D1704" s="200"/>
    </row>
    <row r="1705" spans="2:4" x14ac:dyDescent="0.35">
      <c r="B1705" s="35">
        <v>35615</v>
      </c>
      <c r="C1705" s="34">
        <v>3946.7</v>
      </c>
      <c r="D1705" s="200"/>
    </row>
    <row r="1706" spans="2:4" x14ac:dyDescent="0.35">
      <c r="B1706" s="35">
        <v>35618</v>
      </c>
      <c r="C1706" s="34">
        <v>4003.4</v>
      </c>
      <c r="D1706" s="200"/>
    </row>
    <row r="1707" spans="2:4" x14ac:dyDescent="0.35">
      <c r="B1707" s="35">
        <v>35619</v>
      </c>
      <c r="C1707" s="34">
        <v>4030.1</v>
      </c>
      <c r="D1707" s="200"/>
    </row>
    <row r="1708" spans="2:4" x14ac:dyDescent="0.35">
      <c r="B1708" s="35">
        <v>35620</v>
      </c>
      <c r="C1708" s="34">
        <v>4027</v>
      </c>
      <c r="D1708" s="200"/>
    </row>
    <row r="1709" spans="2:4" x14ac:dyDescent="0.35">
      <c r="B1709" s="35">
        <v>35621</v>
      </c>
      <c r="C1709" s="34">
        <v>4000.7</v>
      </c>
      <c r="D1709" s="200"/>
    </row>
    <row r="1710" spans="2:4" x14ac:dyDescent="0.35">
      <c r="B1710" s="35">
        <v>35622</v>
      </c>
      <c r="C1710" s="34">
        <v>4074.3</v>
      </c>
      <c r="D1710" s="200"/>
    </row>
    <row r="1711" spans="2:4" x14ac:dyDescent="0.35">
      <c r="B1711" s="35">
        <v>35625</v>
      </c>
      <c r="C1711" s="34">
        <v>4142.2</v>
      </c>
      <c r="D1711" s="200"/>
    </row>
    <row r="1712" spans="2:4" x14ac:dyDescent="0.35">
      <c r="B1712" s="35">
        <v>35626</v>
      </c>
      <c r="C1712" s="34">
        <v>4139.7</v>
      </c>
      <c r="D1712" s="200"/>
    </row>
    <row r="1713" spans="2:4" x14ac:dyDescent="0.35">
      <c r="B1713" s="35">
        <v>35627</v>
      </c>
      <c r="C1713" s="34">
        <v>4223.7</v>
      </c>
      <c r="D1713" s="200"/>
    </row>
    <row r="1714" spans="2:4" x14ac:dyDescent="0.35">
      <c r="B1714" s="35">
        <v>35628</v>
      </c>
      <c r="C1714" s="34">
        <v>4203.8999999999996</v>
      </c>
      <c r="D1714" s="200"/>
    </row>
    <row r="1715" spans="2:4" x14ac:dyDescent="0.35">
      <c r="B1715" s="35">
        <v>35629</v>
      </c>
      <c r="C1715" s="34">
        <v>4131.8999999999996</v>
      </c>
      <c r="D1715" s="200"/>
    </row>
    <row r="1716" spans="2:4" x14ac:dyDescent="0.35">
      <c r="B1716" s="35">
        <v>35632</v>
      </c>
      <c r="C1716" s="34">
        <v>4140</v>
      </c>
      <c r="D1716" s="200"/>
    </row>
    <row r="1717" spans="2:4" x14ac:dyDescent="0.35">
      <c r="B1717" s="35">
        <v>35633</v>
      </c>
      <c r="C1717" s="34">
        <v>4297.6000000000004</v>
      </c>
      <c r="D1717" s="200"/>
    </row>
    <row r="1718" spans="2:4" x14ac:dyDescent="0.35">
      <c r="B1718" s="35">
        <v>35634</v>
      </c>
      <c r="C1718" s="34">
        <v>4384.8</v>
      </c>
      <c r="D1718" s="200"/>
    </row>
    <row r="1719" spans="2:4" x14ac:dyDescent="0.35">
      <c r="B1719" s="35">
        <v>35635</v>
      </c>
      <c r="C1719" s="34">
        <v>4320.5</v>
      </c>
      <c r="D1719" s="200"/>
    </row>
    <row r="1720" spans="2:4" x14ac:dyDescent="0.35">
      <c r="B1720" s="35">
        <v>35636</v>
      </c>
      <c r="C1720" s="34">
        <v>4368.5</v>
      </c>
      <c r="D1720" s="200"/>
    </row>
    <row r="1721" spans="2:4" x14ac:dyDescent="0.35">
      <c r="B1721" s="35">
        <v>35639</v>
      </c>
      <c r="C1721" s="34">
        <v>4400.3</v>
      </c>
      <c r="D1721" s="200"/>
    </row>
    <row r="1722" spans="2:4" x14ac:dyDescent="0.35">
      <c r="B1722" s="35">
        <v>35640</v>
      </c>
      <c r="C1722" s="34">
        <v>4377.7</v>
      </c>
      <c r="D1722" s="200"/>
    </row>
    <row r="1723" spans="2:4" x14ac:dyDescent="0.35">
      <c r="B1723" s="35">
        <v>35641</v>
      </c>
      <c r="C1723" s="34">
        <v>4458.7</v>
      </c>
      <c r="D1723" s="200"/>
    </row>
    <row r="1724" spans="2:4" x14ac:dyDescent="0.35">
      <c r="B1724" s="35">
        <v>35642</v>
      </c>
      <c r="C1724" s="34">
        <v>4405.5</v>
      </c>
      <c r="D1724" s="200"/>
    </row>
    <row r="1725" spans="2:4" x14ac:dyDescent="0.35">
      <c r="B1725" s="35">
        <v>35643</v>
      </c>
      <c r="C1725" s="34">
        <v>4337</v>
      </c>
      <c r="D1725" s="200"/>
    </row>
    <row r="1726" spans="2:4" x14ac:dyDescent="0.35">
      <c r="B1726" s="35">
        <v>35646</v>
      </c>
      <c r="C1726" s="34">
        <v>4302.5</v>
      </c>
      <c r="D1726" s="200"/>
    </row>
    <row r="1727" spans="2:4" x14ac:dyDescent="0.35">
      <c r="B1727" s="35">
        <v>35647</v>
      </c>
      <c r="C1727" s="34">
        <v>4325.8999999999996</v>
      </c>
      <c r="D1727" s="200"/>
    </row>
    <row r="1728" spans="2:4" x14ac:dyDescent="0.35">
      <c r="B1728" s="35">
        <v>35648</v>
      </c>
      <c r="C1728" s="34">
        <v>4364.3</v>
      </c>
      <c r="D1728" s="200"/>
    </row>
    <row r="1729" spans="2:4" x14ac:dyDescent="0.35">
      <c r="B1729" s="35">
        <v>35649</v>
      </c>
      <c r="C1729" s="34">
        <v>4428.1000000000004</v>
      </c>
      <c r="D1729" s="200"/>
    </row>
    <row r="1730" spans="2:4" x14ac:dyDescent="0.35">
      <c r="B1730" s="35">
        <v>35650</v>
      </c>
      <c r="C1730" s="34">
        <v>4342.3</v>
      </c>
      <c r="D1730" s="200"/>
    </row>
    <row r="1731" spans="2:4" x14ac:dyDescent="0.35">
      <c r="B1731" s="35">
        <v>35653</v>
      </c>
      <c r="C1731" s="34">
        <v>4333.2</v>
      </c>
      <c r="D1731" s="200"/>
    </row>
    <row r="1732" spans="2:4" x14ac:dyDescent="0.35">
      <c r="B1732" s="35">
        <v>35654</v>
      </c>
      <c r="C1732" s="34">
        <v>4377.5</v>
      </c>
      <c r="D1732" s="200"/>
    </row>
    <row r="1733" spans="2:4" x14ac:dyDescent="0.35">
      <c r="B1733" s="35">
        <v>35655</v>
      </c>
      <c r="C1733" s="34">
        <v>4237.1000000000004</v>
      </c>
      <c r="D1733" s="200"/>
    </row>
    <row r="1734" spans="2:4" x14ac:dyDescent="0.35">
      <c r="B1734" s="35">
        <v>35656</v>
      </c>
      <c r="C1734" s="34">
        <v>4195.5</v>
      </c>
      <c r="D1734" s="200"/>
    </row>
    <row r="1735" spans="2:4" x14ac:dyDescent="0.35">
      <c r="B1735" s="35">
        <v>35657</v>
      </c>
      <c r="C1735" s="34">
        <v>4077.6</v>
      </c>
      <c r="D1735" s="200"/>
    </row>
    <row r="1736" spans="2:4" x14ac:dyDescent="0.35">
      <c r="B1736" s="35">
        <v>35660</v>
      </c>
      <c r="C1736" s="34">
        <v>4080.6</v>
      </c>
      <c r="D1736" s="200"/>
    </row>
    <row r="1737" spans="2:4" x14ac:dyDescent="0.35">
      <c r="B1737" s="35">
        <v>35661</v>
      </c>
      <c r="C1737" s="34">
        <v>4190.5</v>
      </c>
      <c r="D1737" s="200"/>
    </row>
    <row r="1738" spans="2:4" x14ac:dyDescent="0.35">
      <c r="B1738" s="35">
        <v>35662</v>
      </c>
      <c r="C1738" s="34">
        <v>4251.8999999999996</v>
      </c>
      <c r="D1738" s="200"/>
    </row>
    <row r="1739" spans="2:4" x14ac:dyDescent="0.35">
      <c r="B1739" s="35">
        <v>35663</v>
      </c>
      <c r="C1739" s="34">
        <v>4204.8</v>
      </c>
      <c r="D1739" s="200"/>
    </row>
    <row r="1740" spans="2:4" x14ac:dyDescent="0.35">
      <c r="B1740" s="35">
        <v>35664</v>
      </c>
      <c r="C1740" s="34">
        <v>4090.1</v>
      </c>
      <c r="D1740" s="200"/>
    </row>
    <row r="1741" spans="2:4" x14ac:dyDescent="0.35">
      <c r="B1741" s="35">
        <v>35667</v>
      </c>
      <c r="C1741" s="34">
        <v>4076.8</v>
      </c>
      <c r="D1741" s="200"/>
    </row>
    <row r="1742" spans="2:4" x14ac:dyDescent="0.35">
      <c r="B1742" s="35">
        <v>35668</v>
      </c>
      <c r="C1742" s="34">
        <v>3993.7</v>
      </c>
      <c r="D1742" s="200"/>
    </row>
    <row r="1743" spans="2:4" x14ac:dyDescent="0.35">
      <c r="B1743" s="35">
        <v>35669</v>
      </c>
      <c r="C1743" s="34">
        <v>3992</v>
      </c>
      <c r="D1743" s="200"/>
    </row>
    <row r="1744" spans="2:4" x14ac:dyDescent="0.35">
      <c r="B1744" s="35">
        <v>35670</v>
      </c>
      <c r="C1744" s="34">
        <v>3897.4</v>
      </c>
      <c r="D1744" s="200"/>
    </row>
    <row r="1745" spans="2:4" x14ac:dyDescent="0.35">
      <c r="B1745" s="35">
        <v>35671</v>
      </c>
      <c r="C1745" s="34">
        <v>3919.8</v>
      </c>
      <c r="D1745" s="200"/>
    </row>
    <row r="1746" spans="2:4" x14ac:dyDescent="0.35">
      <c r="B1746" s="35">
        <v>35674</v>
      </c>
      <c r="C1746" s="34">
        <v>4001.8</v>
      </c>
      <c r="D1746" s="200"/>
    </row>
    <row r="1747" spans="2:4" x14ac:dyDescent="0.35">
      <c r="B1747" s="35">
        <v>35675</v>
      </c>
      <c r="C1747" s="34">
        <v>4127.3</v>
      </c>
      <c r="D1747" s="200"/>
    </row>
    <row r="1748" spans="2:4" x14ac:dyDescent="0.35">
      <c r="B1748" s="35">
        <v>35676</v>
      </c>
      <c r="C1748" s="34">
        <v>4062.1</v>
      </c>
      <c r="D1748" s="200"/>
    </row>
    <row r="1749" spans="2:4" x14ac:dyDescent="0.35">
      <c r="B1749" s="35">
        <v>35677</v>
      </c>
      <c r="C1749" s="34">
        <v>4093.4</v>
      </c>
      <c r="D1749" s="200"/>
    </row>
    <row r="1750" spans="2:4" x14ac:dyDescent="0.35">
      <c r="B1750" s="35">
        <v>35678</v>
      </c>
      <c r="C1750" s="34">
        <v>4073.7</v>
      </c>
      <c r="D1750" s="200"/>
    </row>
    <row r="1751" spans="2:4" x14ac:dyDescent="0.35">
      <c r="B1751" s="35">
        <v>35681</v>
      </c>
      <c r="C1751" s="34">
        <v>4131.3</v>
      </c>
      <c r="D1751" s="200"/>
    </row>
    <row r="1752" spans="2:4" x14ac:dyDescent="0.35">
      <c r="B1752" s="35">
        <v>35682</v>
      </c>
      <c r="C1752" s="34">
        <v>4104.6000000000004</v>
      </c>
      <c r="D1752" s="200"/>
    </row>
    <row r="1753" spans="2:4" x14ac:dyDescent="0.35">
      <c r="B1753" s="35">
        <v>35683</v>
      </c>
      <c r="C1753" s="34">
        <v>4028</v>
      </c>
      <c r="D1753" s="200"/>
    </row>
    <row r="1754" spans="2:4" x14ac:dyDescent="0.35">
      <c r="B1754" s="35">
        <v>35684</v>
      </c>
      <c r="C1754" s="34">
        <v>3890.2</v>
      </c>
      <c r="D1754" s="200"/>
    </row>
    <row r="1755" spans="2:4" x14ac:dyDescent="0.35">
      <c r="B1755" s="35">
        <v>35685</v>
      </c>
      <c r="C1755" s="34">
        <v>3796.6</v>
      </c>
      <c r="D1755" s="200"/>
    </row>
    <row r="1756" spans="2:4" x14ac:dyDescent="0.35">
      <c r="B1756" s="35">
        <v>35688</v>
      </c>
      <c r="C1756" s="34">
        <v>3869.5</v>
      </c>
      <c r="D1756" s="200"/>
    </row>
    <row r="1757" spans="2:4" x14ac:dyDescent="0.35">
      <c r="B1757" s="35">
        <v>35689</v>
      </c>
      <c r="C1757" s="34">
        <v>3995.7</v>
      </c>
      <c r="D1757" s="200"/>
    </row>
    <row r="1758" spans="2:4" x14ac:dyDescent="0.35">
      <c r="B1758" s="35">
        <v>35690</v>
      </c>
      <c r="C1758" s="34">
        <v>3970.4</v>
      </c>
      <c r="D1758" s="200"/>
    </row>
    <row r="1759" spans="2:4" x14ac:dyDescent="0.35">
      <c r="B1759" s="35">
        <v>35691</v>
      </c>
      <c r="C1759" s="34">
        <v>4004</v>
      </c>
      <c r="D1759" s="200"/>
    </row>
    <row r="1760" spans="2:4" x14ac:dyDescent="0.35">
      <c r="B1760" s="35">
        <v>35692</v>
      </c>
      <c r="C1760" s="34">
        <v>3983.1</v>
      </c>
      <c r="D1760" s="200"/>
    </row>
    <row r="1761" spans="2:4" x14ac:dyDescent="0.35">
      <c r="B1761" s="35">
        <v>35695</v>
      </c>
      <c r="C1761" s="34">
        <v>4096.8999999999996</v>
      </c>
      <c r="D1761" s="200"/>
    </row>
    <row r="1762" spans="2:4" x14ac:dyDescent="0.35">
      <c r="B1762" s="35">
        <v>35696</v>
      </c>
      <c r="C1762" s="34">
        <v>4091.8</v>
      </c>
      <c r="D1762" s="200"/>
    </row>
    <row r="1763" spans="2:4" x14ac:dyDescent="0.35">
      <c r="B1763" s="35">
        <v>35697</v>
      </c>
      <c r="C1763" s="34">
        <v>4151</v>
      </c>
      <c r="D1763" s="200"/>
    </row>
    <row r="1764" spans="2:4" x14ac:dyDescent="0.35">
      <c r="B1764" s="35">
        <v>35698</v>
      </c>
      <c r="C1764" s="34">
        <v>4104.8999999999996</v>
      </c>
      <c r="D1764" s="200"/>
    </row>
    <row r="1765" spans="2:4" x14ac:dyDescent="0.35">
      <c r="B1765" s="35">
        <v>35699</v>
      </c>
      <c r="C1765" s="34">
        <v>4135.1000000000004</v>
      </c>
      <c r="D1765" s="200"/>
    </row>
    <row r="1766" spans="2:4" x14ac:dyDescent="0.35">
      <c r="B1766" s="35">
        <v>35702</v>
      </c>
      <c r="C1766" s="34">
        <v>4116.5</v>
      </c>
      <c r="D1766" s="200"/>
    </row>
    <row r="1767" spans="2:4" x14ac:dyDescent="0.35">
      <c r="B1767" s="35">
        <v>35703</v>
      </c>
      <c r="C1767" s="34">
        <v>4154.8999999999996</v>
      </c>
      <c r="D1767" s="200"/>
    </row>
    <row r="1768" spans="2:4" x14ac:dyDescent="0.35">
      <c r="B1768" s="35">
        <v>35704</v>
      </c>
      <c r="C1768" s="34">
        <v>4263</v>
      </c>
      <c r="D1768" s="200"/>
    </row>
    <row r="1769" spans="2:4" x14ac:dyDescent="0.35">
      <c r="B1769" s="35">
        <v>35705</v>
      </c>
      <c r="C1769" s="34">
        <v>4266.2</v>
      </c>
      <c r="D1769" s="200"/>
    </row>
    <row r="1770" spans="2:4" x14ac:dyDescent="0.35">
      <c r="B1770" s="35">
        <v>35709</v>
      </c>
      <c r="C1770" s="34">
        <v>4326.3999999999996</v>
      </c>
      <c r="D1770" s="200"/>
    </row>
    <row r="1771" spans="2:4" x14ac:dyDescent="0.35">
      <c r="B1771" s="35">
        <v>35710</v>
      </c>
      <c r="C1771" s="34">
        <v>4311.1000000000004</v>
      </c>
      <c r="D1771" s="200"/>
    </row>
    <row r="1772" spans="2:4" x14ac:dyDescent="0.35">
      <c r="B1772" s="35">
        <v>35711</v>
      </c>
      <c r="C1772" s="34">
        <v>4267.3999999999996</v>
      </c>
      <c r="D1772" s="200"/>
    </row>
    <row r="1773" spans="2:4" x14ac:dyDescent="0.35">
      <c r="B1773" s="35">
        <v>35712</v>
      </c>
      <c r="C1773" s="34">
        <v>4179.8999999999996</v>
      </c>
      <c r="D1773" s="200"/>
    </row>
    <row r="1774" spans="2:4" x14ac:dyDescent="0.35">
      <c r="B1774" s="35">
        <v>35713</v>
      </c>
      <c r="C1774" s="34">
        <v>4164.6000000000004</v>
      </c>
      <c r="D1774" s="200"/>
    </row>
    <row r="1775" spans="2:4" x14ac:dyDescent="0.35">
      <c r="B1775" s="35">
        <v>35716</v>
      </c>
      <c r="C1775" s="34">
        <v>4225.3</v>
      </c>
      <c r="D1775" s="200"/>
    </row>
    <row r="1776" spans="2:4" x14ac:dyDescent="0.35">
      <c r="B1776" s="35">
        <v>35717</v>
      </c>
      <c r="C1776" s="34">
        <v>4215.2</v>
      </c>
      <c r="D1776" s="200"/>
    </row>
    <row r="1777" spans="2:4" x14ac:dyDescent="0.35">
      <c r="B1777" s="35">
        <v>35718</v>
      </c>
      <c r="C1777" s="34">
        <v>4168.6000000000004</v>
      </c>
      <c r="D1777" s="200"/>
    </row>
    <row r="1778" spans="2:4" x14ac:dyDescent="0.35">
      <c r="B1778" s="35">
        <v>35719</v>
      </c>
      <c r="C1778" s="34">
        <v>4149.8999999999996</v>
      </c>
      <c r="D1778" s="200"/>
    </row>
    <row r="1779" spans="2:4" x14ac:dyDescent="0.35">
      <c r="B1779" s="35">
        <v>35720</v>
      </c>
      <c r="C1779" s="34">
        <v>4049.2</v>
      </c>
      <c r="D1779" s="200"/>
    </row>
    <row r="1780" spans="2:4" x14ac:dyDescent="0.35">
      <c r="B1780" s="35">
        <v>35723</v>
      </c>
      <c r="C1780" s="34">
        <v>4069.3</v>
      </c>
      <c r="D1780" s="200"/>
    </row>
    <row r="1781" spans="2:4" x14ac:dyDescent="0.35">
      <c r="B1781" s="35">
        <v>35724</v>
      </c>
      <c r="C1781" s="34">
        <v>4172.5</v>
      </c>
      <c r="D1781" s="200"/>
    </row>
    <row r="1782" spans="2:4" x14ac:dyDescent="0.35">
      <c r="B1782" s="35">
        <v>35725</v>
      </c>
      <c r="C1782" s="34">
        <v>4124.8999999999996</v>
      </c>
      <c r="D1782" s="200"/>
    </row>
    <row r="1783" spans="2:4" x14ac:dyDescent="0.35">
      <c r="B1783" s="35">
        <v>35726</v>
      </c>
      <c r="C1783" s="34">
        <v>3976.4</v>
      </c>
      <c r="D1783" s="200"/>
    </row>
    <row r="1784" spans="2:4" x14ac:dyDescent="0.35">
      <c r="B1784" s="35">
        <v>35727</v>
      </c>
      <c r="C1784" s="34">
        <v>3981.4</v>
      </c>
      <c r="D1784" s="200"/>
    </row>
    <row r="1785" spans="2:4" x14ac:dyDescent="0.35">
      <c r="B1785" s="35">
        <v>35730</v>
      </c>
      <c r="C1785" s="34">
        <v>3871.4</v>
      </c>
      <c r="D1785" s="200"/>
    </row>
    <row r="1786" spans="2:4" x14ac:dyDescent="0.35">
      <c r="B1786" s="35">
        <v>35731</v>
      </c>
      <c r="C1786" s="34">
        <v>3645.7</v>
      </c>
      <c r="D1786" s="200"/>
    </row>
    <row r="1787" spans="2:4" x14ac:dyDescent="0.35">
      <c r="B1787" s="35">
        <v>35732</v>
      </c>
      <c r="C1787" s="34">
        <v>3806.7</v>
      </c>
      <c r="D1787" s="200"/>
    </row>
    <row r="1788" spans="2:4" x14ac:dyDescent="0.35">
      <c r="B1788" s="35">
        <v>35733</v>
      </c>
      <c r="C1788" s="34">
        <v>3748.9</v>
      </c>
      <c r="D1788" s="200"/>
    </row>
    <row r="1789" spans="2:4" x14ac:dyDescent="0.35">
      <c r="B1789" s="35">
        <v>35734</v>
      </c>
      <c r="C1789" s="34">
        <v>3753.7</v>
      </c>
      <c r="D1789" s="200"/>
    </row>
    <row r="1790" spans="2:4" x14ac:dyDescent="0.35">
      <c r="B1790" s="35">
        <v>35737</v>
      </c>
      <c r="C1790" s="34">
        <v>3847.7</v>
      </c>
      <c r="D1790" s="200"/>
    </row>
    <row r="1791" spans="2:4" x14ac:dyDescent="0.35">
      <c r="B1791" s="35">
        <v>35738</v>
      </c>
      <c r="C1791" s="34">
        <v>3784.8</v>
      </c>
      <c r="D1791" s="200"/>
    </row>
    <row r="1792" spans="2:4" x14ac:dyDescent="0.35">
      <c r="B1792" s="35">
        <v>35739</v>
      </c>
      <c r="C1792" s="34">
        <v>3841.4</v>
      </c>
      <c r="D1792" s="200"/>
    </row>
    <row r="1793" spans="2:4" x14ac:dyDescent="0.35">
      <c r="B1793" s="35">
        <v>35740</v>
      </c>
      <c r="C1793" s="34">
        <v>3813.9</v>
      </c>
      <c r="D1793" s="200"/>
    </row>
    <row r="1794" spans="2:4" x14ac:dyDescent="0.35">
      <c r="B1794" s="35">
        <v>35741</v>
      </c>
      <c r="C1794" s="34">
        <v>3715.4</v>
      </c>
      <c r="D1794" s="200"/>
    </row>
    <row r="1795" spans="2:4" x14ac:dyDescent="0.35">
      <c r="B1795" s="35">
        <v>35744</v>
      </c>
      <c r="C1795" s="34">
        <v>3728.4</v>
      </c>
      <c r="D1795" s="200"/>
    </row>
    <row r="1796" spans="2:4" x14ac:dyDescent="0.35">
      <c r="B1796" s="35">
        <v>35745</v>
      </c>
      <c r="C1796" s="34">
        <v>3734.8</v>
      </c>
      <c r="D1796" s="200"/>
    </row>
    <row r="1797" spans="2:4" x14ac:dyDescent="0.35">
      <c r="B1797" s="35">
        <v>35746</v>
      </c>
      <c r="C1797" s="34">
        <v>3697.5</v>
      </c>
      <c r="D1797" s="200"/>
    </row>
    <row r="1798" spans="2:4" x14ac:dyDescent="0.35">
      <c r="B1798" s="35">
        <v>35747</v>
      </c>
      <c r="C1798" s="34">
        <v>3701.9</v>
      </c>
      <c r="D1798" s="200"/>
    </row>
    <row r="1799" spans="2:4" x14ac:dyDescent="0.35">
      <c r="B1799" s="35">
        <v>35748</v>
      </c>
      <c r="C1799" s="34">
        <v>3676.7</v>
      </c>
      <c r="D1799" s="200"/>
    </row>
    <row r="1800" spans="2:4" x14ac:dyDescent="0.35">
      <c r="B1800" s="35">
        <v>35751</v>
      </c>
      <c r="C1800" s="34">
        <v>3816.7</v>
      </c>
      <c r="D1800" s="200"/>
    </row>
    <row r="1801" spans="2:4" x14ac:dyDescent="0.35">
      <c r="B1801" s="35">
        <v>35752</v>
      </c>
      <c r="C1801" s="34">
        <v>3844.1</v>
      </c>
      <c r="D1801" s="200"/>
    </row>
    <row r="1802" spans="2:4" x14ac:dyDescent="0.35">
      <c r="B1802" s="35">
        <v>35753</v>
      </c>
      <c r="C1802" s="34">
        <v>3876.9</v>
      </c>
      <c r="D1802" s="200"/>
    </row>
    <row r="1803" spans="2:4" x14ac:dyDescent="0.35">
      <c r="B1803" s="35">
        <v>35754</v>
      </c>
      <c r="C1803" s="34">
        <v>3931.8</v>
      </c>
      <c r="D1803" s="200"/>
    </row>
    <row r="1804" spans="2:4" x14ac:dyDescent="0.35">
      <c r="B1804" s="35">
        <v>35755</v>
      </c>
      <c r="C1804" s="34">
        <v>3941.9</v>
      </c>
      <c r="D1804" s="200"/>
    </row>
    <row r="1805" spans="2:4" x14ac:dyDescent="0.35">
      <c r="B1805" s="35">
        <v>35758</v>
      </c>
      <c r="C1805" s="34">
        <v>3832.1</v>
      </c>
      <c r="D1805" s="200"/>
    </row>
    <row r="1806" spans="2:4" x14ac:dyDescent="0.35">
      <c r="B1806" s="35">
        <v>35759</v>
      </c>
      <c r="C1806" s="34">
        <v>3850.1</v>
      </c>
      <c r="D1806" s="200"/>
    </row>
    <row r="1807" spans="2:4" x14ac:dyDescent="0.35">
      <c r="B1807" s="35">
        <v>35760</v>
      </c>
      <c r="C1807" s="34">
        <v>3926.9</v>
      </c>
      <c r="D1807" s="200"/>
    </row>
    <row r="1808" spans="2:4" x14ac:dyDescent="0.35">
      <c r="B1808" s="35">
        <v>35761</v>
      </c>
      <c r="C1808" s="34">
        <v>3962</v>
      </c>
      <c r="D1808" s="200"/>
    </row>
    <row r="1809" spans="2:4" x14ac:dyDescent="0.35">
      <c r="B1809" s="35">
        <v>35762</v>
      </c>
      <c r="C1809" s="34">
        <v>3972.1</v>
      </c>
      <c r="D1809" s="200"/>
    </row>
    <row r="1810" spans="2:4" x14ac:dyDescent="0.35">
      <c r="B1810" s="35">
        <v>35765</v>
      </c>
      <c r="C1810" s="34">
        <v>4125.8999999999996</v>
      </c>
      <c r="D1810" s="200"/>
    </row>
    <row r="1811" spans="2:4" x14ac:dyDescent="0.35">
      <c r="B1811" s="35">
        <v>35766</v>
      </c>
      <c r="C1811" s="34">
        <v>4096.3999999999996</v>
      </c>
      <c r="D1811" s="200"/>
    </row>
    <row r="1812" spans="2:4" x14ac:dyDescent="0.35">
      <c r="B1812" s="35">
        <v>35767</v>
      </c>
      <c r="C1812" s="34">
        <v>4074.6</v>
      </c>
      <c r="D1812" s="200"/>
    </row>
    <row r="1813" spans="2:4" x14ac:dyDescent="0.35">
      <c r="B1813" s="35">
        <v>35768</v>
      </c>
      <c r="C1813" s="34">
        <v>4159.7</v>
      </c>
      <c r="D1813" s="200"/>
    </row>
    <row r="1814" spans="2:4" x14ac:dyDescent="0.35">
      <c r="B1814" s="35">
        <v>35769</v>
      </c>
      <c r="C1814" s="34">
        <v>4191.8</v>
      </c>
      <c r="D1814" s="200"/>
    </row>
    <row r="1815" spans="2:4" x14ac:dyDescent="0.35">
      <c r="B1815" s="35">
        <v>35772</v>
      </c>
      <c r="C1815" s="34">
        <v>4208.1000000000004</v>
      </c>
      <c r="D1815" s="200"/>
    </row>
    <row r="1816" spans="2:4" x14ac:dyDescent="0.35">
      <c r="B1816" s="35">
        <v>35773</v>
      </c>
      <c r="C1816" s="34">
        <v>4187.1000000000004</v>
      </c>
      <c r="D1816" s="200"/>
    </row>
    <row r="1817" spans="2:4" x14ac:dyDescent="0.35">
      <c r="B1817" s="35">
        <v>35774</v>
      </c>
      <c r="C1817" s="34">
        <v>4117.2700000000004</v>
      </c>
      <c r="D1817" s="200"/>
    </row>
    <row r="1818" spans="2:4" x14ac:dyDescent="0.35">
      <c r="B1818" s="35">
        <v>35775</v>
      </c>
      <c r="C1818" s="34">
        <v>4016.7</v>
      </c>
      <c r="D1818" s="200"/>
    </row>
    <row r="1819" spans="2:4" x14ac:dyDescent="0.35">
      <c r="B1819" s="35">
        <v>35776</v>
      </c>
      <c r="C1819" s="34">
        <v>4061.9</v>
      </c>
      <c r="D1819" s="200"/>
    </row>
    <row r="1820" spans="2:4" x14ac:dyDescent="0.35">
      <c r="B1820" s="35">
        <v>35779</v>
      </c>
      <c r="C1820" s="34">
        <v>4029.1</v>
      </c>
      <c r="D1820" s="200"/>
    </row>
    <row r="1821" spans="2:4" x14ac:dyDescent="0.35">
      <c r="B1821" s="35">
        <v>35780</v>
      </c>
      <c r="C1821" s="34">
        <v>4150.3</v>
      </c>
      <c r="D1821" s="200"/>
    </row>
    <row r="1822" spans="2:4" x14ac:dyDescent="0.35">
      <c r="B1822" s="35">
        <v>35781</v>
      </c>
      <c r="C1822" s="34">
        <v>4154.6000000000004</v>
      </c>
      <c r="D1822" s="200"/>
    </row>
    <row r="1823" spans="2:4" x14ac:dyDescent="0.35">
      <c r="B1823" s="35">
        <v>35782</v>
      </c>
      <c r="C1823" s="34">
        <v>4162.8999999999996</v>
      </c>
      <c r="D1823" s="200"/>
    </row>
    <row r="1824" spans="2:4" x14ac:dyDescent="0.35">
      <c r="B1824" s="35">
        <v>35783</v>
      </c>
      <c r="C1824" s="34">
        <v>4055.4</v>
      </c>
      <c r="D1824" s="200"/>
    </row>
    <row r="1825" spans="2:4" x14ac:dyDescent="0.35">
      <c r="B1825" s="35">
        <v>35786</v>
      </c>
      <c r="C1825" s="34">
        <v>4125.5</v>
      </c>
      <c r="D1825" s="200"/>
    </row>
    <row r="1826" spans="2:4" x14ac:dyDescent="0.35">
      <c r="B1826" s="35">
        <v>35787</v>
      </c>
      <c r="C1826" s="34">
        <v>4132.8</v>
      </c>
      <c r="D1826" s="200"/>
    </row>
    <row r="1827" spans="2:4" x14ac:dyDescent="0.35">
      <c r="B1827" s="35">
        <v>35793</v>
      </c>
      <c r="C1827" s="34">
        <v>4266</v>
      </c>
      <c r="D1827" s="200"/>
    </row>
    <row r="1828" spans="2:4" x14ac:dyDescent="0.35">
      <c r="B1828" s="35">
        <v>35794</v>
      </c>
      <c r="C1828" s="34">
        <v>4224.3</v>
      </c>
      <c r="D1828" s="200"/>
    </row>
    <row r="1829" spans="2:4" x14ac:dyDescent="0.35">
      <c r="B1829" s="35">
        <v>35797</v>
      </c>
      <c r="C1829" s="34">
        <v>4364.3</v>
      </c>
      <c r="D1829" s="200"/>
    </row>
    <row r="1830" spans="2:4" x14ac:dyDescent="0.35">
      <c r="B1830" s="35">
        <v>35800</v>
      </c>
      <c r="C1830" s="34">
        <v>4417</v>
      </c>
      <c r="D1830" s="200"/>
    </row>
    <row r="1831" spans="2:4" x14ac:dyDescent="0.35">
      <c r="B1831" s="35">
        <v>35801</v>
      </c>
      <c r="C1831" s="34">
        <v>4360.1000000000004</v>
      </c>
      <c r="D1831" s="200"/>
    </row>
    <row r="1832" spans="2:4" x14ac:dyDescent="0.35">
      <c r="B1832" s="35">
        <v>35802</v>
      </c>
      <c r="C1832" s="34">
        <v>4340</v>
      </c>
      <c r="D1832" s="200"/>
    </row>
    <row r="1833" spans="2:4" x14ac:dyDescent="0.35">
      <c r="B1833" s="35">
        <v>35803</v>
      </c>
      <c r="C1833" s="34">
        <v>4293.6000000000004</v>
      </c>
      <c r="D1833" s="200"/>
    </row>
    <row r="1834" spans="2:4" x14ac:dyDescent="0.35">
      <c r="B1834" s="35">
        <v>35804</v>
      </c>
      <c r="C1834" s="34">
        <v>4237.8</v>
      </c>
      <c r="D1834" s="200"/>
    </row>
    <row r="1835" spans="2:4" x14ac:dyDescent="0.35">
      <c r="B1835" s="35">
        <v>35807</v>
      </c>
      <c r="C1835" s="34">
        <v>4134.6000000000004</v>
      </c>
      <c r="D1835" s="200"/>
    </row>
    <row r="1836" spans="2:4" x14ac:dyDescent="0.35">
      <c r="B1836" s="35">
        <v>35808</v>
      </c>
      <c r="C1836" s="34">
        <v>4150.1000000000004</v>
      </c>
      <c r="D1836" s="200"/>
    </row>
    <row r="1837" spans="2:4" x14ac:dyDescent="0.35">
      <c r="B1837" s="35">
        <v>35809</v>
      </c>
      <c r="C1837" s="34">
        <v>4145.3999999999996</v>
      </c>
      <c r="D1837" s="200"/>
    </row>
    <row r="1838" spans="2:4" x14ac:dyDescent="0.35">
      <c r="B1838" s="35">
        <v>35810</v>
      </c>
      <c r="C1838" s="34">
        <v>4140.2</v>
      </c>
      <c r="D1838" s="200"/>
    </row>
    <row r="1839" spans="2:4" x14ac:dyDescent="0.35">
      <c r="B1839" s="35">
        <v>35811</v>
      </c>
      <c r="C1839" s="34">
        <v>4216.2</v>
      </c>
      <c r="D1839" s="200"/>
    </row>
    <row r="1840" spans="2:4" x14ac:dyDescent="0.35">
      <c r="B1840" s="35">
        <v>35814</v>
      </c>
      <c r="C1840" s="34">
        <v>4290.1000000000004</v>
      </c>
      <c r="D1840" s="200"/>
    </row>
    <row r="1841" spans="2:4" x14ac:dyDescent="0.35">
      <c r="B1841" s="35">
        <v>35815</v>
      </c>
      <c r="C1841" s="34">
        <v>4310.8</v>
      </c>
      <c r="D1841" s="200"/>
    </row>
    <row r="1842" spans="2:4" x14ac:dyDescent="0.35">
      <c r="B1842" s="35">
        <v>35816</v>
      </c>
      <c r="C1842" s="34">
        <v>4250.5</v>
      </c>
      <c r="D1842" s="200"/>
    </row>
    <row r="1843" spans="2:4" x14ac:dyDescent="0.35">
      <c r="B1843" s="35">
        <v>35817</v>
      </c>
      <c r="C1843" s="34">
        <v>4238.8</v>
      </c>
      <c r="D1843" s="200"/>
    </row>
    <row r="1844" spans="2:4" x14ac:dyDescent="0.35">
      <c r="B1844" s="35">
        <v>35818</v>
      </c>
      <c r="C1844" s="34">
        <v>4222.2</v>
      </c>
      <c r="D1844" s="200"/>
    </row>
    <row r="1845" spans="2:4" x14ac:dyDescent="0.35">
      <c r="B1845" s="35">
        <v>35821</v>
      </c>
      <c r="C1845" s="34">
        <v>4266.3</v>
      </c>
      <c r="D1845" s="200"/>
    </row>
    <row r="1846" spans="2:4" x14ac:dyDescent="0.35">
      <c r="B1846" s="35">
        <v>35822</v>
      </c>
      <c r="C1846" s="34">
        <v>4316.1000000000004</v>
      </c>
      <c r="D1846" s="200"/>
    </row>
    <row r="1847" spans="2:4" x14ac:dyDescent="0.35">
      <c r="B1847" s="35">
        <v>35823</v>
      </c>
      <c r="C1847" s="34">
        <v>4385.3</v>
      </c>
      <c r="D1847" s="200"/>
    </row>
    <row r="1848" spans="2:4" x14ac:dyDescent="0.35">
      <c r="B1848" s="35">
        <v>35824</v>
      </c>
      <c r="C1848" s="34">
        <v>4444.5</v>
      </c>
      <c r="D1848" s="200"/>
    </row>
    <row r="1849" spans="2:4" x14ac:dyDescent="0.35">
      <c r="B1849" s="35">
        <v>35825</v>
      </c>
      <c r="C1849" s="34">
        <v>4442.5</v>
      </c>
      <c r="D1849" s="200"/>
    </row>
    <row r="1850" spans="2:4" x14ac:dyDescent="0.35">
      <c r="B1850" s="35">
        <v>35828</v>
      </c>
      <c r="C1850" s="34">
        <v>4529.8999999999996</v>
      </c>
      <c r="D1850" s="200"/>
    </row>
    <row r="1851" spans="2:4" x14ac:dyDescent="0.35">
      <c r="B1851" s="35">
        <v>35829</v>
      </c>
      <c r="C1851" s="34">
        <v>4529.2</v>
      </c>
      <c r="D1851" s="200"/>
    </row>
    <row r="1852" spans="2:4" x14ac:dyDescent="0.35">
      <c r="B1852" s="35">
        <v>35830</v>
      </c>
      <c r="C1852" s="34">
        <v>4509.3</v>
      </c>
      <c r="D1852" s="200"/>
    </row>
    <row r="1853" spans="2:4" x14ac:dyDescent="0.35">
      <c r="B1853" s="35">
        <v>35831</v>
      </c>
      <c r="C1853" s="34">
        <v>4494.7</v>
      </c>
      <c r="D1853" s="200"/>
    </row>
    <row r="1854" spans="2:4" x14ac:dyDescent="0.35">
      <c r="B1854" s="35">
        <v>35832</v>
      </c>
      <c r="C1854" s="34">
        <v>4536.8999999999996</v>
      </c>
      <c r="D1854" s="200"/>
    </row>
    <row r="1855" spans="2:4" x14ac:dyDescent="0.35">
      <c r="B1855" s="35">
        <v>35835</v>
      </c>
      <c r="C1855" s="34">
        <v>4519.6000000000004</v>
      </c>
      <c r="D1855" s="200"/>
    </row>
    <row r="1856" spans="2:4" x14ac:dyDescent="0.35">
      <c r="B1856" s="35">
        <v>35836</v>
      </c>
      <c r="C1856" s="34">
        <v>4558.6000000000004</v>
      </c>
      <c r="D1856" s="200"/>
    </row>
    <row r="1857" spans="2:4" x14ac:dyDescent="0.35">
      <c r="B1857" s="35">
        <v>35837</v>
      </c>
      <c r="C1857" s="34">
        <v>4552.5</v>
      </c>
      <c r="D1857" s="200"/>
    </row>
    <row r="1858" spans="2:4" x14ac:dyDescent="0.35">
      <c r="B1858" s="35">
        <v>35838</v>
      </c>
      <c r="C1858" s="34">
        <v>4509.3999999999996</v>
      </c>
      <c r="D1858" s="200"/>
    </row>
    <row r="1859" spans="2:4" x14ac:dyDescent="0.35">
      <c r="B1859" s="35">
        <v>35839</v>
      </c>
      <c r="C1859" s="34">
        <v>4522.3999999999996</v>
      </c>
      <c r="D1859" s="200"/>
    </row>
    <row r="1860" spans="2:4" x14ac:dyDescent="0.35">
      <c r="B1860" s="35">
        <v>35842</v>
      </c>
      <c r="C1860" s="34">
        <v>4535.6000000000004</v>
      </c>
      <c r="D1860" s="200"/>
    </row>
    <row r="1861" spans="2:4" x14ac:dyDescent="0.35">
      <c r="B1861" s="35">
        <v>35843</v>
      </c>
      <c r="C1861" s="34">
        <v>4627.3999999999996</v>
      </c>
      <c r="D1861" s="200"/>
    </row>
    <row r="1862" spans="2:4" x14ac:dyDescent="0.35">
      <c r="B1862" s="35">
        <v>35844</v>
      </c>
      <c r="C1862" s="34">
        <v>4611.7</v>
      </c>
      <c r="D1862" s="200"/>
    </row>
    <row r="1863" spans="2:4" x14ac:dyDescent="0.35">
      <c r="B1863" s="35">
        <v>35845</v>
      </c>
      <c r="C1863" s="34">
        <v>4581.1000000000004</v>
      </c>
      <c r="D1863" s="200"/>
    </row>
    <row r="1864" spans="2:4" x14ac:dyDescent="0.35">
      <c r="B1864" s="35">
        <v>35846</v>
      </c>
      <c r="C1864" s="34">
        <v>4583</v>
      </c>
      <c r="D1864" s="200"/>
    </row>
    <row r="1865" spans="2:4" x14ac:dyDescent="0.35">
      <c r="B1865" s="35">
        <v>35849</v>
      </c>
      <c r="C1865" s="34">
        <v>4610.7</v>
      </c>
      <c r="D1865" s="200"/>
    </row>
    <row r="1866" spans="2:4" x14ac:dyDescent="0.35">
      <c r="B1866" s="35">
        <v>35850</v>
      </c>
      <c r="C1866" s="34">
        <v>4604.6000000000004</v>
      </c>
      <c r="D1866" s="200"/>
    </row>
    <row r="1867" spans="2:4" x14ac:dyDescent="0.35">
      <c r="B1867" s="35">
        <v>35851</v>
      </c>
      <c r="C1867" s="34">
        <v>4704.6000000000004</v>
      </c>
      <c r="D1867" s="200"/>
    </row>
    <row r="1868" spans="2:4" x14ac:dyDescent="0.35">
      <c r="B1868" s="35">
        <v>35852</v>
      </c>
      <c r="C1868" s="34">
        <v>4695.8</v>
      </c>
      <c r="D1868" s="200"/>
    </row>
    <row r="1869" spans="2:4" x14ac:dyDescent="0.35">
      <c r="B1869" s="35">
        <v>35853</v>
      </c>
      <c r="C1869" s="34">
        <v>4693.8999999999996</v>
      </c>
      <c r="D1869" s="200"/>
    </row>
    <row r="1870" spans="2:4" x14ac:dyDescent="0.35">
      <c r="B1870" s="35">
        <v>35856</v>
      </c>
      <c r="C1870" s="34">
        <v>4781.6000000000004</v>
      </c>
      <c r="D1870" s="200"/>
    </row>
    <row r="1871" spans="2:4" x14ac:dyDescent="0.35">
      <c r="B1871" s="35">
        <v>35857</v>
      </c>
      <c r="C1871" s="34">
        <v>4759.6000000000004</v>
      </c>
      <c r="D1871" s="200"/>
    </row>
    <row r="1872" spans="2:4" x14ac:dyDescent="0.35">
      <c r="B1872" s="35">
        <v>35858</v>
      </c>
      <c r="C1872" s="34">
        <v>4690.5</v>
      </c>
      <c r="D1872" s="200"/>
    </row>
    <row r="1873" spans="2:4" x14ac:dyDescent="0.35">
      <c r="B1873" s="35">
        <v>35859</v>
      </c>
      <c r="C1873" s="34">
        <v>4676.3999999999996</v>
      </c>
      <c r="D1873" s="200"/>
    </row>
    <row r="1874" spans="2:4" x14ac:dyDescent="0.35">
      <c r="B1874" s="35">
        <v>35860</v>
      </c>
      <c r="C1874" s="34">
        <v>4762.7</v>
      </c>
      <c r="D1874" s="200"/>
    </row>
    <row r="1875" spans="2:4" x14ac:dyDescent="0.35">
      <c r="B1875" s="35">
        <v>35863</v>
      </c>
      <c r="C1875" s="34">
        <v>4828.8999999999996</v>
      </c>
      <c r="D1875" s="200"/>
    </row>
    <row r="1876" spans="2:4" x14ac:dyDescent="0.35">
      <c r="B1876" s="35">
        <v>35864</v>
      </c>
      <c r="C1876" s="34">
        <v>4852.2</v>
      </c>
      <c r="D1876" s="200"/>
    </row>
    <row r="1877" spans="2:4" x14ac:dyDescent="0.35">
      <c r="B1877" s="35">
        <v>35865</v>
      </c>
      <c r="C1877" s="34">
        <v>4862.3999999999996</v>
      </c>
      <c r="D1877" s="200"/>
    </row>
    <row r="1878" spans="2:4" x14ac:dyDescent="0.35">
      <c r="B1878" s="35">
        <v>35866</v>
      </c>
      <c r="C1878" s="34">
        <v>4838.7</v>
      </c>
      <c r="D1878" s="200"/>
    </row>
    <row r="1879" spans="2:4" x14ac:dyDescent="0.35">
      <c r="B1879" s="35">
        <v>35867</v>
      </c>
      <c r="C1879" s="34">
        <v>4872.2</v>
      </c>
      <c r="D1879" s="200"/>
    </row>
    <row r="1880" spans="2:4" x14ac:dyDescent="0.35">
      <c r="B1880" s="35">
        <v>35870</v>
      </c>
      <c r="C1880" s="34">
        <v>4905.6000000000004</v>
      </c>
      <c r="D1880" s="200"/>
    </row>
    <row r="1881" spans="2:4" x14ac:dyDescent="0.35">
      <c r="B1881" s="35">
        <v>35871</v>
      </c>
      <c r="C1881" s="34">
        <v>4945.8999999999996</v>
      </c>
      <c r="D1881" s="200"/>
    </row>
    <row r="1882" spans="2:4" x14ac:dyDescent="0.35">
      <c r="B1882" s="35">
        <v>35872</v>
      </c>
      <c r="C1882" s="34">
        <v>4908.6000000000004</v>
      </c>
      <c r="D1882" s="200"/>
    </row>
    <row r="1883" spans="2:4" x14ac:dyDescent="0.35">
      <c r="B1883" s="35">
        <v>35873</v>
      </c>
      <c r="C1883" s="34">
        <v>4949.8999999999996</v>
      </c>
      <c r="D1883" s="200"/>
    </row>
    <row r="1884" spans="2:4" x14ac:dyDescent="0.35">
      <c r="B1884" s="35">
        <v>35874</v>
      </c>
      <c r="C1884" s="34">
        <v>5045.2</v>
      </c>
      <c r="D1884" s="200"/>
    </row>
    <row r="1885" spans="2:4" x14ac:dyDescent="0.35">
      <c r="B1885" s="35">
        <v>35877</v>
      </c>
      <c r="C1885" s="34">
        <v>5014.1000000000004</v>
      </c>
      <c r="D1885" s="200"/>
    </row>
    <row r="1886" spans="2:4" x14ac:dyDescent="0.35">
      <c r="B1886" s="35">
        <v>35878</v>
      </c>
      <c r="C1886" s="34">
        <v>5064.3999999999996</v>
      </c>
      <c r="D1886" s="200"/>
    </row>
    <row r="1887" spans="2:4" x14ac:dyDescent="0.35">
      <c r="B1887" s="35">
        <v>35879</v>
      </c>
      <c r="C1887" s="34">
        <v>5114.1000000000004</v>
      </c>
      <c r="D1887" s="200"/>
    </row>
    <row r="1888" spans="2:4" x14ac:dyDescent="0.35">
      <c r="B1888" s="35">
        <v>35880</v>
      </c>
      <c r="C1888" s="34">
        <v>5029</v>
      </c>
      <c r="D1888" s="200"/>
    </row>
    <row r="1889" spans="2:4" x14ac:dyDescent="0.35">
      <c r="B1889" s="35">
        <v>35881</v>
      </c>
      <c r="C1889" s="34">
        <v>5066.8999999999996</v>
      </c>
      <c r="D1889" s="200"/>
    </row>
    <row r="1890" spans="2:4" x14ac:dyDescent="0.35">
      <c r="B1890" s="35">
        <v>35884</v>
      </c>
      <c r="C1890" s="34">
        <v>5069.8999999999996</v>
      </c>
      <c r="D1890" s="200"/>
    </row>
    <row r="1891" spans="2:4" x14ac:dyDescent="0.35">
      <c r="B1891" s="35">
        <v>35885</v>
      </c>
      <c r="C1891" s="34">
        <v>5097.3</v>
      </c>
      <c r="D1891" s="200"/>
    </row>
    <row r="1892" spans="2:4" x14ac:dyDescent="0.35">
      <c r="B1892" s="35">
        <v>35886</v>
      </c>
      <c r="C1892" s="34">
        <v>5135.3999999999996</v>
      </c>
      <c r="D1892" s="200"/>
    </row>
    <row r="1893" spans="2:4" x14ac:dyDescent="0.35">
      <c r="B1893" s="35">
        <v>35887</v>
      </c>
      <c r="C1893" s="34">
        <v>5179</v>
      </c>
      <c r="D1893" s="200"/>
    </row>
    <row r="1894" spans="2:4" x14ac:dyDescent="0.35">
      <c r="B1894" s="35">
        <v>35888</v>
      </c>
      <c r="C1894" s="34">
        <v>5254.3</v>
      </c>
      <c r="D1894" s="200"/>
    </row>
    <row r="1895" spans="2:4" x14ac:dyDescent="0.35">
      <c r="B1895" s="35">
        <v>35891</v>
      </c>
      <c r="C1895" s="34">
        <v>5345.9</v>
      </c>
      <c r="D1895" s="200"/>
    </row>
    <row r="1896" spans="2:4" x14ac:dyDescent="0.35">
      <c r="B1896" s="35">
        <v>35892</v>
      </c>
      <c r="C1896" s="34">
        <v>5309.7</v>
      </c>
      <c r="D1896" s="200"/>
    </row>
    <row r="1897" spans="2:4" x14ac:dyDescent="0.35">
      <c r="B1897" s="35">
        <v>35893</v>
      </c>
      <c r="C1897" s="34">
        <v>5267.4</v>
      </c>
      <c r="D1897" s="200"/>
    </row>
    <row r="1898" spans="2:4" x14ac:dyDescent="0.35">
      <c r="B1898" s="35">
        <v>35894</v>
      </c>
      <c r="C1898" s="34">
        <v>5312.3</v>
      </c>
      <c r="D1898" s="200"/>
    </row>
    <row r="1899" spans="2:4" x14ac:dyDescent="0.35">
      <c r="B1899" s="35">
        <v>35899</v>
      </c>
      <c r="C1899" s="34">
        <v>5368</v>
      </c>
      <c r="D1899" s="200"/>
    </row>
    <row r="1900" spans="2:4" x14ac:dyDescent="0.35">
      <c r="B1900" s="35">
        <v>35900</v>
      </c>
      <c r="C1900" s="34">
        <v>5359.2</v>
      </c>
      <c r="D1900" s="200"/>
    </row>
    <row r="1901" spans="2:4" x14ac:dyDescent="0.35">
      <c r="B1901" s="35">
        <v>35901</v>
      </c>
      <c r="C1901" s="34">
        <v>5293</v>
      </c>
      <c r="D1901" s="200"/>
    </row>
    <row r="1902" spans="2:4" x14ac:dyDescent="0.35">
      <c r="B1902" s="35">
        <v>35902</v>
      </c>
      <c r="C1902" s="34">
        <v>5326.6</v>
      </c>
      <c r="D1902" s="200"/>
    </row>
    <row r="1903" spans="2:4" x14ac:dyDescent="0.35">
      <c r="B1903" s="35">
        <v>35905</v>
      </c>
      <c r="C1903" s="34">
        <v>5407.9</v>
      </c>
      <c r="D1903" s="200"/>
    </row>
    <row r="1904" spans="2:4" x14ac:dyDescent="0.35">
      <c r="B1904" s="35">
        <v>35906</v>
      </c>
      <c r="C1904" s="34">
        <v>5373.8</v>
      </c>
      <c r="D1904" s="200"/>
    </row>
    <row r="1905" spans="2:4" x14ac:dyDescent="0.35">
      <c r="B1905" s="35">
        <v>35907</v>
      </c>
      <c r="C1905" s="34">
        <v>5312.3</v>
      </c>
      <c r="D1905" s="200"/>
    </row>
    <row r="1906" spans="2:4" x14ac:dyDescent="0.35">
      <c r="B1906" s="35">
        <v>35908</v>
      </c>
      <c r="C1906" s="34">
        <v>5262.6</v>
      </c>
      <c r="D1906" s="200"/>
    </row>
    <row r="1907" spans="2:4" x14ac:dyDescent="0.35">
      <c r="B1907" s="35">
        <v>35909</v>
      </c>
      <c r="C1907" s="34">
        <v>5144.3999999999996</v>
      </c>
      <c r="D1907" s="200"/>
    </row>
    <row r="1908" spans="2:4" x14ac:dyDescent="0.35">
      <c r="B1908" s="35">
        <v>35912</v>
      </c>
      <c r="C1908" s="34">
        <v>5002.7</v>
      </c>
      <c r="D1908" s="200"/>
    </row>
    <row r="1909" spans="2:4" x14ac:dyDescent="0.35">
      <c r="B1909" s="35">
        <v>35913</v>
      </c>
      <c r="C1909" s="34">
        <v>5018.67</v>
      </c>
      <c r="D1909" s="200"/>
    </row>
    <row r="1910" spans="2:4" x14ac:dyDescent="0.35">
      <c r="B1910" s="35">
        <v>35914</v>
      </c>
      <c r="C1910" s="34">
        <v>5108.4799999999996</v>
      </c>
      <c r="D1910" s="200"/>
    </row>
    <row r="1911" spans="2:4" x14ac:dyDescent="0.35">
      <c r="B1911" s="35">
        <v>35915</v>
      </c>
      <c r="C1911" s="34">
        <v>5107.4399999999996</v>
      </c>
      <c r="D1911" s="200"/>
    </row>
    <row r="1912" spans="2:4" x14ac:dyDescent="0.35">
      <c r="B1912" s="35">
        <v>35919</v>
      </c>
      <c r="C1912" s="34">
        <v>5314.66</v>
      </c>
      <c r="D1912" s="200"/>
    </row>
    <row r="1913" spans="2:4" x14ac:dyDescent="0.35">
      <c r="B1913" s="35">
        <v>35920</v>
      </c>
      <c r="C1913" s="34">
        <v>5232.03</v>
      </c>
      <c r="D1913" s="200"/>
    </row>
    <row r="1914" spans="2:4" x14ac:dyDescent="0.35">
      <c r="B1914" s="35">
        <v>35921</v>
      </c>
      <c r="C1914" s="34">
        <v>5229.8</v>
      </c>
      <c r="D1914" s="200"/>
    </row>
    <row r="1915" spans="2:4" x14ac:dyDescent="0.35">
      <c r="B1915" s="35">
        <v>35922</v>
      </c>
      <c r="C1915" s="34">
        <v>5186.2299999999996</v>
      </c>
      <c r="D1915" s="200"/>
    </row>
    <row r="1916" spans="2:4" x14ac:dyDescent="0.35">
      <c r="B1916" s="35">
        <v>35923</v>
      </c>
      <c r="C1916" s="34">
        <v>5257.58</v>
      </c>
      <c r="D1916" s="200"/>
    </row>
    <row r="1917" spans="2:4" x14ac:dyDescent="0.35">
      <c r="B1917" s="35">
        <v>35926</v>
      </c>
      <c r="C1917" s="34">
        <v>5341.69</v>
      </c>
      <c r="D1917" s="200"/>
    </row>
    <row r="1918" spans="2:4" x14ac:dyDescent="0.35">
      <c r="B1918" s="35">
        <v>35927</v>
      </c>
      <c r="C1918" s="34">
        <v>5297.35</v>
      </c>
      <c r="D1918" s="200"/>
    </row>
    <row r="1919" spans="2:4" x14ac:dyDescent="0.35">
      <c r="B1919" s="35">
        <v>35928</v>
      </c>
      <c r="C1919" s="34">
        <v>5376.88</v>
      </c>
      <c r="D1919" s="200"/>
    </row>
    <row r="1920" spans="2:4" x14ac:dyDescent="0.35">
      <c r="B1920" s="35">
        <v>35929</v>
      </c>
      <c r="C1920" s="34">
        <v>5361.22</v>
      </c>
      <c r="D1920" s="200"/>
    </row>
    <row r="1921" spans="2:4" x14ac:dyDescent="0.35">
      <c r="B1921" s="35">
        <v>35930</v>
      </c>
      <c r="C1921" s="34">
        <v>5393.14</v>
      </c>
      <c r="D1921" s="200"/>
    </row>
    <row r="1922" spans="2:4" x14ac:dyDescent="0.35">
      <c r="B1922" s="35">
        <v>35933</v>
      </c>
      <c r="C1922" s="34">
        <v>5342.85</v>
      </c>
      <c r="D1922" s="200"/>
    </row>
    <row r="1923" spans="2:4" x14ac:dyDescent="0.35">
      <c r="B1923" s="35">
        <v>35934</v>
      </c>
      <c r="C1923" s="34">
        <v>5388.9</v>
      </c>
      <c r="D1923" s="200"/>
    </row>
    <row r="1924" spans="2:4" x14ac:dyDescent="0.35">
      <c r="B1924" s="35">
        <v>35935</v>
      </c>
      <c r="C1924" s="34">
        <v>5510.98</v>
      </c>
      <c r="D1924" s="200"/>
    </row>
    <row r="1925" spans="2:4" x14ac:dyDescent="0.35">
      <c r="B1925" s="35">
        <v>35937</v>
      </c>
      <c r="C1925" s="34">
        <v>5564.21</v>
      </c>
      <c r="D1925" s="200"/>
    </row>
    <row r="1926" spans="2:4" x14ac:dyDescent="0.35">
      <c r="B1926" s="35">
        <v>35940</v>
      </c>
      <c r="C1926" s="34">
        <v>5575.16</v>
      </c>
      <c r="D1926" s="200"/>
    </row>
    <row r="1927" spans="2:4" x14ac:dyDescent="0.35">
      <c r="B1927" s="35">
        <v>35941</v>
      </c>
      <c r="C1927" s="34">
        <v>5644.29</v>
      </c>
      <c r="D1927" s="200"/>
    </row>
    <row r="1928" spans="2:4" x14ac:dyDescent="0.35">
      <c r="B1928" s="35">
        <v>35942</v>
      </c>
      <c r="C1928" s="34">
        <v>5490.64</v>
      </c>
      <c r="D1928" s="200"/>
    </row>
    <row r="1929" spans="2:4" x14ac:dyDescent="0.35">
      <c r="B1929" s="35">
        <v>35943</v>
      </c>
      <c r="C1929" s="34">
        <v>5481.26</v>
      </c>
      <c r="D1929" s="200"/>
    </row>
    <row r="1930" spans="2:4" x14ac:dyDescent="0.35">
      <c r="B1930" s="35">
        <v>35944</v>
      </c>
      <c r="C1930" s="34">
        <v>5569.08</v>
      </c>
      <c r="D1930" s="200"/>
    </row>
    <row r="1931" spans="2:4" x14ac:dyDescent="0.35">
      <c r="B1931" s="35">
        <v>35948</v>
      </c>
      <c r="C1931" s="34">
        <v>5582.78</v>
      </c>
      <c r="D1931" s="200"/>
    </row>
    <row r="1932" spans="2:4" x14ac:dyDescent="0.35">
      <c r="B1932" s="35">
        <v>35949</v>
      </c>
      <c r="C1932" s="34">
        <v>5613.76</v>
      </c>
      <c r="D1932" s="200"/>
    </row>
    <row r="1933" spans="2:4" x14ac:dyDescent="0.35">
      <c r="B1933" s="35">
        <v>35950</v>
      </c>
      <c r="C1933" s="34">
        <v>5592.48</v>
      </c>
      <c r="D1933" s="200"/>
    </row>
    <row r="1934" spans="2:4" x14ac:dyDescent="0.35">
      <c r="B1934" s="35">
        <v>35951</v>
      </c>
      <c r="C1934" s="34">
        <v>5688.5</v>
      </c>
      <c r="D1934" s="200"/>
    </row>
    <row r="1935" spans="2:4" x14ac:dyDescent="0.35">
      <c r="B1935" s="35">
        <v>35954</v>
      </c>
      <c r="C1935" s="34">
        <v>5779.09</v>
      </c>
      <c r="D1935" s="200"/>
    </row>
    <row r="1936" spans="2:4" x14ac:dyDescent="0.35">
      <c r="B1936" s="35">
        <v>35955</v>
      </c>
      <c r="C1936" s="34">
        <v>5760.03</v>
      </c>
      <c r="D1936" s="200"/>
    </row>
    <row r="1937" spans="2:4" x14ac:dyDescent="0.35">
      <c r="B1937" s="35">
        <v>35956</v>
      </c>
      <c r="C1937" s="34">
        <v>5754.46</v>
      </c>
      <c r="D1937" s="200"/>
    </row>
    <row r="1938" spans="2:4" x14ac:dyDescent="0.35">
      <c r="B1938" s="35">
        <v>35958</v>
      </c>
      <c r="C1938" s="34">
        <v>5670.83</v>
      </c>
      <c r="D1938" s="200"/>
    </row>
    <row r="1939" spans="2:4" x14ac:dyDescent="0.35">
      <c r="B1939" s="35">
        <v>35961</v>
      </c>
      <c r="C1939" s="34">
        <v>5527.32</v>
      </c>
      <c r="D1939" s="200"/>
    </row>
    <row r="1940" spans="2:4" x14ac:dyDescent="0.35">
      <c r="B1940" s="35">
        <v>35962</v>
      </c>
      <c r="C1940" s="34">
        <v>5591.57</v>
      </c>
      <c r="D1940" s="200"/>
    </row>
    <row r="1941" spans="2:4" x14ac:dyDescent="0.35">
      <c r="B1941" s="35">
        <v>35963</v>
      </c>
      <c r="C1941" s="34">
        <v>5709.36</v>
      </c>
      <c r="D1941" s="200"/>
    </row>
    <row r="1942" spans="2:4" x14ac:dyDescent="0.35">
      <c r="B1942" s="35">
        <v>35964</v>
      </c>
      <c r="C1942" s="34">
        <v>5718.06</v>
      </c>
      <c r="D1942" s="200"/>
    </row>
    <row r="1943" spans="2:4" x14ac:dyDescent="0.35">
      <c r="B1943" s="35">
        <v>35965</v>
      </c>
      <c r="C1943" s="34">
        <v>5702.61</v>
      </c>
      <c r="D1943" s="200"/>
    </row>
    <row r="1944" spans="2:4" x14ac:dyDescent="0.35">
      <c r="B1944" s="35">
        <v>35968</v>
      </c>
      <c r="C1944" s="34">
        <v>5654.75</v>
      </c>
      <c r="D1944" s="200"/>
    </row>
    <row r="1945" spans="2:4" x14ac:dyDescent="0.35">
      <c r="B1945" s="35">
        <v>35969</v>
      </c>
      <c r="C1945" s="34">
        <v>5718.71</v>
      </c>
      <c r="D1945" s="200"/>
    </row>
    <row r="1946" spans="2:4" x14ac:dyDescent="0.35">
      <c r="B1946" s="35">
        <v>35970</v>
      </c>
      <c r="C1946" s="34">
        <v>5779.91</v>
      </c>
      <c r="D1946" s="200"/>
    </row>
    <row r="1947" spans="2:4" x14ac:dyDescent="0.35">
      <c r="B1947" s="35">
        <v>35971</v>
      </c>
      <c r="C1947" s="34">
        <v>5866.63</v>
      </c>
      <c r="D1947" s="200"/>
    </row>
    <row r="1948" spans="2:4" x14ac:dyDescent="0.35">
      <c r="B1948" s="35">
        <v>35972</v>
      </c>
      <c r="C1948" s="34">
        <v>5870.42</v>
      </c>
      <c r="D1948" s="200"/>
    </row>
    <row r="1949" spans="2:4" x14ac:dyDescent="0.35">
      <c r="B1949" s="35">
        <v>35975</v>
      </c>
      <c r="C1949" s="34">
        <v>5915.13</v>
      </c>
      <c r="D1949" s="200"/>
    </row>
    <row r="1950" spans="2:4" x14ac:dyDescent="0.35">
      <c r="B1950" s="35">
        <v>35976</v>
      </c>
      <c r="C1950" s="34">
        <v>5897.44</v>
      </c>
      <c r="D1950" s="200"/>
    </row>
    <row r="1951" spans="2:4" x14ac:dyDescent="0.35">
      <c r="B1951" s="35">
        <v>35977</v>
      </c>
      <c r="C1951" s="34">
        <v>5906.85</v>
      </c>
      <c r="D1951" s="200"/>
    </row>
    <row r="1952" spans="2:4" x14ac:dyDescent="0.35">
      <c r="B1952" s="35">
        <v>35978</v>
      </c>
      <c r="C1952" s="34">
        <v>5904.1</v>
      </c>
      <c r="D1952" s="200"/>
    </row>
    <row r="1953" spans="2:4" x14ac:dyDescent="0.35">
      <c r="B1953" s="35">
        <v>35979</v>
      </c>
      <c r="C1953" s="34">
        <v>5953.16</v>
      </c>
      <c r="D1953" s="200"/>
    </row>
    <row r="1954" spans="2:4" x14ac:dyDescent="0.35">
      <c r="B1954" s="35">
        <v>35982</v>
      </c>
      <c r="C1954" s="34">
        <v>5918.37</v>
      </c>
      <c r="D1954" s="200"/>
    </row>
    <row r="1955" spans="2:4" x14ac:dyDescent="0.35">
      <c r="B1955" s="35">
        <v>35983</v>
      </c>
      <c r="C1955" s="34">
        <v>5960.98</v>
      </c>
      <c r="D1955" s="200"/>
    </row>
    <row r="1956" spans="2:4" x14ac:dyDescent="0.35">
      <c r="B1956" s="35">
        <v>35984</v>
      </c>
      <c r="C1956" s="34">
        <v>6013.14</v>
      </c>
      <c r="D1956" s="200"/>
    </row>
    <row r="1957" spans="2:4" x14ac:dyDescent="0.35">
      <c r="B1957" s="35">
        <v>35985</v>
      </c>
      <c r="C1957" s="34">
        <v>5996.77</v>
      </c>
      <c r="D1957" s="200"/>
    </row>
    <row r="1958" spans="2:4" x14ac:dyDescent="0.35">
      <c r="B1958" s="35">
        <v>35986</v>
      </c>
      <c r="C1958" s="34">
        <v>5982.42</v>
      </c>
      <c r="D1958" s="200"/>
    </row>
    <row r="1959" spans="2:4" x14ac:dyDescent="0.35">
      <c r="B1959" s="35">
        <v>35989</v>
      </c>
      <c r="C1959" s="34">
        <v>6019.48</v>
      </c>
      <c r="D1959" s="200"/>
    </row>
    <row r="1960" spans="2:4" x14ac:dyDescent="0.35">
      <c r="B1960" s="35">
        <v>35990</v>
      </c>
      <c r="C1960" s="34">
        <v>6095.28</v>
      </c>
      <c r="D1960" s="200"/>
    </row>
    <row r="1961" spans="2:4" x14ac:dyDescent="0.35">
      <c r="B1961" s="35">
        <v>35991</v>
      </c>
      <c r="C1961" s="34">
        <v>6108.24</v>
      </c>
      <c r="D1961" s="200"/>
    </row>
    <row r="1962" spans="2:4" x14ac:dyDescent="0.35">
      <c r="B1962" s="35">
        <v>35992</v>
      </c>
      <c r="C1962" s="34">
        <v>6094.02</v>
      </c>
      <c r="D1962" s="200"/>
    </row>
    <row r="1963" spans="2:4" x14ac:dyDescent="0.35">
      <c r="B1963" s="35">
        <v>35993</v>
      </c>
      <c r="C1963" s="34">
        <v>6147.87</v>
      </c>
      <c r="D1963" s="200"/>
    </row>
    <row r="1964" spans="2:4" x14ac:dyDescent="0.35">
      <c r="B1964" s="35">
        <v>35996</v>
      </c>
      <c r="C1964" s="34">
        <v>6171.43</v>
      </c>
      <c r="D1964" s="200"/>
    </row>
    <row r="1965" spans="2:4" x14ac:dyDescent="0.35">
      <c r="B1965" s="35">
        <v>35997</v>
      </c>
      <c r="C1965" s="34">
        <v>6165.52</v>
      </c>
      <c r="D1965" s="200"/>
    </row>
    <row r="1966" spans="2:4" x14ac:dyDescent="0.35">
      <c r="B1966" s="35">
        <v>35998</v>
      </c>
      <c r="C1966" s="34">
        <v>6110.73</v>
      </c>
      <c r="D1966" s="200"/>
    </row>
    <row r="1967" spans="2:4" x14ac:dyDescent="0.35">
      <c r="B1967" s="35">
        <v>35999</v>
      </c>
      <c r="C1967" s="34">
        <v>6058.45</v>
      </c>
      <c r="D1967" s="200"/>
    </row>
    <row r="1968" spans="2:4" x14ac:dyDescent="0.35">
      <c r="B1968" s="35">
        <v>36000</v>
      </c>
      <c r="C1968" s="34">
        <v>6035.28</v>
      </c>
      <c r="D1968" s="200"/>
    </row>
    <row r="1969" spans="2:4" x14ac:dyDescent="0.35">
      <c r="B1969" s="35">
        <v>36003</v>
      </c>
      <c r="C1969" s="34">
        <v>5885</v>
      </c>
      <c r="D1969" s="200"/>
    </row>
    <row r="1970" spans="2:4" x14ac:dyDescent="0.35">
      <c r="B1970" s="35">
        <v>36004</v>
      </c>
      <c r="C1970" s="34">
        <v>5889.01</v>
      </c>
      <c r="D1970" s="200"/>
    </row>
    <row r="1971" spans="2:4" x14ac:dyDescent="0.35">
      <c r="B1971" s="35">
        <v>36005</v>
      </c>
      <c r="C1971" s="34">
        <v>5853.63</v>
      </c>
      <c r="D1971" s="200"/>
    </row>
    <row r="1972" spans="2:4" x14ac:dyDescent="0.35">
      <c r="B1972" s="35">
        <v>36006</v>
      </c>
      <c r="C1972" s="34">
        <v>5880.87</v>
      </c>
      <c r="D1972" s="200"/>
    </row>
    <row r="1973" spans="2:4" x14ac:dyDescent="0.35">
      <c r="B1973" s="35">
        <v>36007</v>
      </c>
      <c r="C1973" s="34">
        <v>5873.92</v>
      </c>
      <c r="D1973" s="200"/>
    </row>
    <row r="1974" spans="2:4" x14ac:dyDescent="0.35">
      <c r="B1974" s="35">
        <v>36010</v>
      </c>
      <c r="C1974" s="34">
        <v>5758.77</v>
      </c>
      <c r="D1974" s="200"/>
    </row>
    <row r="1975" spans="2:4" x14ac:dyDescent="0.35">
      <c r="B1975" s="35">
        <v>36011</v>
      </c>
      <c r="C1975" s="34">
        <v>5756.2</v>
      </c>
      <c r="D1975" s="200"/>
    </row>
    <row r="1976" spans="2:4" x14ac:dyDescent="0.35">
      <c r="B1976" s="35">
        <v>36012</v>
      </c>
      <c r="C1976" s="34">
        <v>5632.51</v>
      </c>
      <c r="D1976" s="200"/>
    </row>
    <row r="1977" spans="2:4" x14ac:dyDescent="0.35">
      <c r="B1977" s="35">
        <v>36013</v>
      </c>
      <c r="C1977" s="34">
        <v>5517.64</v>
      </c>
      <c r="D1977" s="200"/>
    </row>
    <row r="1978" spans="2:4" x14ac:dyDescent="0.35">
      <c r="B1978" s="35">
        <v>36014</v>
      </c>
      <c r="C1978" s="34">
        <v>5581.22</v>
      </c>
      <c r="D1978" s="200"/>
    </row>
    <row r="1979" spans="2:4" x14ac:dyDescent="0.35">
      <c r="B1979" s="35">
        <v>36017</v>
      </c>
      <c r="C1979" s="34">
        <v>5476.25</v>
      </c>
      <c r="D1979" s="200"/>
    </row>
    <row r="1980" spans="2:4" x14ac:dyDescent="0.35">
      <c r="B1980" s="35">
        <v>36018</v>
      </c>
      <c r="C1980" s="34">
        <v>5268.4</v>
      </c>
      <c r="D1980" s="200"/>
    </row>
    <row r="1981" spans="2:4" x14ac:dyDescent="0.35">
      <c r="B1981" s="35">
        <v>36019</v>
      </c>
      <c r="C1981" s="34">
        <v>5402.37</v>
      </c>
      <c r="D1981" s="200"/>
    </row>
    <row r="1982" spans="2:4" x14ac:dyDescent="0.35">
      <c r="B1982" s="35">
        <v>36020</v>
      </c>
      <c r="C1982" s="34">
        <v>5356.23</v>
      </c>
      <c r="D1982" s="200"/>
    </row>
    <row r="1983" spans="2:4" x14ac:dyDescent="0.35">
      <c r="B1983" s="35">
        <v>36021</v>
      </c>
      <c r="C1983" s="34">
        <v>5447.9</v>
      </c>
      <c r="D1983" s="200"/>
    </row>
    <row r="1984" spans="2:4" x14ac:dyDescent="0.35">
      <c r="B1984" s="35">
        <v>36024</v>
      </c>
      <c r="C1984" s="34">
        <v>5456.58</v>
      </c>
      <c r="D1984" s="200"/>
    </row>
    <row r="1985" spans="2:4" x14ac:dyDescent="0.35">
      <c r="B1985" s="35">
        <v>36025</v>
      </c>
      <c r="C1985" s="34">
        <v>5568.88</v>
      </c>
      <c r="D1985" s="200"/>
    </row>
    <row r="1986" spans="2:4" x14ac:dyDescent="0.35">
      <c r="B1986" s="35">
        <v>36026</v>
      </c>
      <c r="C1986" s="34">
        <v>5596.41</v>
      </c>
      <c r="D1986" s="200"/>
    </row>
    <row r="1987" spans="2:4" x14ac:dyDescent="0.35">
      <c r="B1987" s="35">
        <v>36027</v>
      </c>
      <c r="C1987" s="34">
        <v>5488.22</v>
      </c>
      <c r="D1987" s="200"/>
    </row>
    <row r="1988" spans="2:4" x14ac:dyDescent="0.35">
      <c r="B1988" s="35">
        <v>36028</v>
      </c>
      <c r="C1988" s="34">
        <v>5163.51</v>
      </c>
      <c r="D1988" s="200"/>
    </row>
    <row r="1989" spans="2:4" x14ac:dyDescent="0.35">
      <c r="B1989" s="35">
        <v>36031</v>
      </c>
      <c r="C1989" s="34">
        <v>5234.88</v>
      </c>
      <c r="D1989" s="200"/>
    </row>
    <row r="1990" spans="2:4" x14ac:dyDescent="0.35">
      <c r="B1990" s="35">
        <v>36032</v>
      </c>
      <c r="C1990" s="34">
        <v>5372.76</v>
      </c>
      <c r="D1990" s="200"/>
    </row>
    <row r="1991" spans="2:4" x14ac:dyDescent="0.35">
      <c r="B1991" s="35">
        <v>36033</v>
      </c>
      <c r="C1991" s="34">
        <v>5231.6099999999997</v>
      </c>
      <c r="D1991" s="200"/>
    </row>
    <row r="1992" spans="2:4" x14ac:dyDescent="0.35">
      <c r="B1992" s="35">
        <v>36034</v>
      </c>
      <c r="C1992" s="34">
        <v>5060.84</v>
      </c>
      <c r="D1992" s="200"/>
    </row>
    <row r="1993" spans="2:4" x14ac:dyDescent="0.35">
      <c r="B1993" s="35">
        <v>36035</v>
      </c>
      <c r="C1993" s="34">
        <v>4993.54</v>
      </c>
      <c r="D1993" s="200"/>
    </row>
    <row r="1994" spans="2:4" x14ac:dyDescent="0.35">
      <c r="B1994" s="35">
        <v>36038</v>
      </c>
      <c r="C1994" s="34">
        <v>4833.8900000000003</v>
      </c>
      <c r="D1994" s="200"/>
    </row>
    <row r="1995" spans="2:4" x14ac:dyDescent="0.35">
      <c r="B1995" s="35">
        <v>36039</v>
      </c>
      <c r="C1995" s="34">
        <v>4791.8100000000004</v>
      </c>
      <c r="D1995" s="200"/>
    </row>
    <row r="1996" spans="2:4" x14ac:dyDescent="0.35">
      <c r="B1996" s="35">
        <v>36040</v>
      </c>
      <c r="C1996" s="34">
        <v>4970.5</v>
      </c>
      <c r="D1996" s="200"/>
    </row>
    <row r="1997" spans="2:4" x14ac:dyDescent="0.35">
      <c r="B1997" s="35">
        <v>36041</v>
      </c>
      <c r="C1997" s="34">
        <v>4812.18</v>
      </c>
      <c r="D1997" s="200"/>
    </row>
    <row r="1998" spans="2:4" x14ac:dyDescent="0.35">
      <c r="B1998" s="35">
        <v>36042</v>
      </c>
      <c r="C1998" s="34">
        <v>4820.25</v>
      </c>
      <c r="D1998" s="200"/>
    </row>
    <row r="1999" spans="2:4" x14ac:dyDescent="0.35">
      <c r="B1999" s="35">
        <v>36045</v>
      </c>
      <c r="C1999" s="34">
        <v>4923.37</v>
      </c>
      <c r="D1999" s="200"/>
    </row>
    <row r="2000" spans="2:4" x14ac:dyDescent="0.35">
      <c r="B2000" s="35">
        <v>36046</v>
      </c>
      <c r="C2000" s="34">
        <v>5103.84</v>
      </c>
      <c r="D2000" s="200"/>
    </row>
    <row r="2001" spans="2:4" x14ac:dyDescent="0.35">
      <c r="B2001" s="35">
        <v>36047</v>
      </c>
      <c r="C2001" s="34">
        <v>5040.87</v>
      </c>
      <c r="D2001" s="200"/>
    </row>
    <row r="2002" spans="2:4" x14ac:dyDescent="0.35">
      <c r="B2002" s="35">
        <v>36048</v>
      </c>
      <c r="C2002" s="34">
        <v>4747.33</v>
      </c>
      <c r="D2002" s="200"/>
    </row>
    <row r="2003" spans="2:4" x14ac:dyDescent="0.35">
      <c r="B2003" s="35">
        <v>36049</v>
      </c>
      <c r="C2003" s="34">
        <v>4737.1499999999996</v>
      </c>
      <c r="D2003" s="200"/>
    </row>
    <row r="2004" spans="2:4" x14ac:dyDescent="0.35">
      <c r="B2004" s="35">
        <v>36052</v>
      </c>
      <c r="C2004" s="34">
        <v>4896.49</v>
      </c>
      <c r="D2004" s="200"/>
    </row>
    <row r="2005" spans="2:4" x14ac:dyDescent="0.35">
      <c r="B2005" s="35">
        <v>36053</v>
      </c>
      <c r="C2005" s="34">
        <v>4831.22</v>
      </c>
      <c r="D2005" s="200"/>
    </row>
    <row r="2006" spans="2:4" x14ac:dyDescent="0.35">
      <c r="B2006" s="35">
        <v>36054</v>
      </c>
      <c r="C2006" s="34">
        <v>4857.97</v>
      </c>
      <c r="D2006" s="200"/>
    </row>
    <row r="2007" spans="2:4" x14ac:dyDescent="0.35">
      <c r="B2007" s="35">
        <v>36055</v>
      </c>
      <c r="C2007" s="34">
        <v>4669.51</v>
      </c>
      <c r="D2007" s="200"/>
    </row>
    <row r="2008" spans="2:4" x14ac:dyDescent="0.35">
      <c r="B2008" s="35">
        <v>36056</v>
      </c>
      <c r="C2008" s="34">
        <v>4598.58</v>
      </c>
      <c r="D2008" s="200"/>
    </row>
    <row r="2009" spans="2:4" x14ac:dyDescent="0.35">
      <c r="B2009" s="35">
        <v>36059</v>
      </c>
      <c r="C2009" s="34">
        <v>4433.87</v>
      </c>
      <c r="D2009" s="200"/>
    </row>
    <row r="2010" spans="2:4" x14ac:dyDescent="0.35">
      <c r="B2010" s="35">
        <v>36060</v>
      </c>
      <c r="C2010" s="34">
        <v>4575.1499999999996</v>
      </c>
      <c r="D2010" s="200"/>
    </row>
    <row r="2011" spans="2:4" x14ac:dyDescent="0.35">
      <c r="B2011" s="35">
        <v>36061</v>
      </c>
      <c r="C2011" s="34">
        <v>4699.3900000000003</v>
      </c>
      <c r="D2011" s="200"/>
    </row>
    <row r="2012" spans="2:4" x14ac:dyDescent="0.35">
      <c r="B2012" s="35">
        <v>36062</v>
      </c>
      <c r="C2012" s="34">
        <v>4646.25</v>
      </c>
      <c r="D2012" s="200"/>
    </row>
    <row r="2013" spans="2:4" x14ac:dyDescent="0.35">
      <c r="B2013" s="35">
        <v>36063</v>
      </c>
      <c r="C2013" s="34">
        <v>4561.58</v>
      </c>
      <c r="D2013" s="200"/>
    </row>
    <row r="2014" spans="2:4" x14ac:dyDescent="0.35">
      <c r="B2014" s="35">
        <v>36066</v>
      </c>
      <c r="C2014" s="34">
        <v>4653.9399999999996</v>
      </c>
      <c r="D2014" s="200"/>
    </row>
    <row r="2015" spans="2:4" x14ac:dyDescent="0.35">
      <c r="B2015" s="35">
        <v>36067</v>
      </c>
      <c r="C2015" s="34">
        <v>4578.2700000000004</v>
      </c>
      <c r="D2015" s="200"/>
    </row>
    <row r="2016" spans="2:4" x14ac:dyDescent="0.35">
      <c r="B2016" s="35">
        <v>36068</v>
      </c>
      <c r="C2016" s="34">
        <v>4474.51</v>
      </c>
      <c r="D2016" s="200"/>
    </row>
    <row r="2017" spans="2:4" x14ac:dyDescent="0.35">
      <c r="B2017" s="35">
        <v>36069</v>
      </c>
      <c r="C2017" s="34">
        <v>4226.49</v>
      </c>
      <c r="D2017" s="200"/>
    </row>
    <row r="2018" spans="2:4" x14ac:dyDescent="0.35">
      <c r="B2018" s="35">
        <v>36070</v>
      </c>
      <c r="C2018" s="34">
        <v>3962.5</v>
      </c>
      <c r="D2018" s="200"/>
    </row>
    <row r="2019" spans="2:4" x14ac:dyDescent="0.35">
      <c r="B2019" s="35">
        <v>36073</v>
      </c>
      <c r="C2019" s="34">
        <v>4034.23</v>
      </c>
      <c r="D2019" s="200"/>
    </row>
    <row r="2020" spans="2:4" x14ac:dyDescent="0.35">
      <c r="B2020" s="35">
        <v>36074</v>
      </c>
      <c r="C2020" s="34">
        <v>4156.6400000000003</v>
      </c>
      <c r="D2020" s="200"/>
    </row>
    <row r="2021" spans="2:4" x14ac:dyDescent="0.35">
      <c r="B2021" s="35">
        <v>36075</v>
      </c>
      <c r="C2021" s="34">
        <v>4087.83</v>
      </c>
      <c r="D2021" s="200"/>
    </row>
    <row r="2022" spans="2:4" x14ac:dyDescent="0.35">
      <c r="B2022" s="35">
        <v>36076</v>
      </c>
      <c r="C2022" s="34">
        <v>3896.08</v>
      </c>
      <c r="D2022" s="200"/>
    </row>
    <row r="2023" spans="2:4" x14ac:dyDescent="0.35">
      <c r="B2023" s="35">
        <v>36077</v>
      </c>
      <c r="C2023" s="34">
        <v>3983.65</v>
      </c>
      <c r="D2023" s="200"/>
    </row>
    <row r="2024" spans="2:4" x14ac:dyDescent="0.35">
      <c r="B2024" s="35">
        <v>36080</v>
      </c>
      <c r="C2024" s="34">
        <v>4225.49</v>
      </c>
      <c r="D2024" s="200"/>
    </row>
    <row r="2025" spans="2:4" x14ac:dyDescent="0.35">
      <c r="B2025" s="35">
        <v>36081</v>
      </c>
      <c r="C2025" s="34">
        <v>4274.4799999999996</v>
      </c>
      <c r="D2025" s="200"/>
    </row>
    <row r="2026" spans="2:4" x14ac:dyDescent="0.35">
      <c r="B2026" s="35">
        <v>36082</v>
      </c>
      <c r="C2026" s="34">
        <v>4318.5200000000004</v>
      </c>
      <c r="D2026" s="200"/>
    </row>
    <row r="2027" spans="2:4" x14ac:dyDescent="0.35">
      <c r="B2027" s="35">
        <v>36083</v>
      </c>
      <c r="C2027" s="34">
        <v>4399.05</v>
      </c>
      <c r="D2027" s="200"/>
    </row>
    <row r="2028" spans="2:4" x14ac:dyDescent="0.35">
      <c r="B2028" s="35">
        <v>36084</v>
      </c>
      <c r="C2028" s="34">
        <v>4489.1000000000004</v>
      </c>
      <c r="D2028" s="200"/>
    </row>
    <row r="2029" spans="2:4" x14ac:dyDescent="0.35">
      <c r="B2029" s="35">
        <v>36087</v>
      </c>
      <c r="C2029" s="34">
        <v>4458.3999999999996</v>
      </c>
      <c r="D2029" s="200"/>
    </row>
    <row r="2030" spans="2:4" x14ac:dyDescent="0.35">
      <c r="B2030" s="35">
        <v>36088</v>
      </c>
      <c r="C2030" s="34">
        <v>4595.82</v>
      </c>
      <c r="D2030" s="200"/>
    </row>
    <row r="2031" spans="2:4" x14ac:dyDescent="0.35">
      <c r="B2031" s="35">
        <v>36089</v>
      </c>
      <c r="C2031" s="34">
        <v>4523.24</v>
      </c>
      <c r="D2031" s="200"/>
    </row>
    <row r="2032" spans="2:4" x14ac:dyDescent="0.35">
      <c r="B2032" s="35">
        <v>36090</v>
      </c>
      <c r="C2032" s="34">
        <v>4454.28</v>
      </c>
      <c r="D2032" s="200"/>
    </row>
    <row r="2033" spans="2:4" x14ac:dyDescent="0.35">
      <c r="B2033" s="35">
        <v>36091</v>
      </c>
      <c r="C2033" s="34">
        <v>4451.09</v>
      </c>
      <c r="D2033" s="200"/>
    </row>
    <row r="2034" spans="2:4" x14ac:dyDescent="0.35">
      <c r="B2034" s="35">
        <v>36094</v>
      </c>
      <c r="C2034" s="34">
        <v>4577.74</v>
      </c>
      <c r="D2034" s="200"/>
    </row>
    <row r="2035" spans="2:4" x14ac:dyDescent="0.35">
      <c r="B2035" s="35">
        <v>36095</v>
      </c>
      <c r="C2035" s="34">
        <v>4682.45</v>
      </c>
      <c r="D2035" s="200"/>
    </row>
    <row r="2036" spans="2:4" x14ac:dyDescent="0.35">
      <c r="B2036" s="35">
        <v>36096</v>
      </c>
      <c r="C2036" s="34">
        <v>4536.34</v>
      </c>
      <c r="D2036" s="200"/>
    </row>
    <row r="2037" spans="2:4" x14ac:dyDescent="0.35">
      <c r="B2037" s="35">
        <v>36097</v>
      </c>
      <c r="C2037" s="34">
        <v>4549.33</v>
      </c>
      <c r="D2037" s="200"/>
    </row>
    <row r="2038" spans="2:4" x14ac:dyDescent="0.35">
      <c r="B2038" s="35">
        <v>36098</v>
      </c>
      <c r="C2038" s="34">
        <v>4671.12</v>
      </c>
      <c r="D2038" s="200"/>
    </row>
    <row r="2039" spans="2:4" x14ac:dyDescent="0.35">
      <c r="B2039" s="35">
        <v>36101</v>
      </c>
      <c r="C2039" s="34">
        <v>4761.1499999999996</v>
      </c>
      <c r="D2039" s="200"/>
    </row>
    <row r="2040" spans="2:4" x14ac:dyDescent="0.35">
      <c r="B2040" s="35">
        <v>36102</v>
      </c>
      <c r="C2040" s="34">
        <v>4705.08</v>
      </c>
      <c r="D2040" s="200"/>
    </row>
    <row r="2041" spans="2:4" x14ac:dyDescent="0.35">
      <c r="B2041" s="35">
        <v>36103</v>
      </c>
      <c r="C2041" s="34">
        <v>4841.72</v>
      </c>
      <c r="D2041" s="200"/>
    </row>
    <row r="2042" spans="2:4" x14ac:dyDescent="0.35">
      <c r="B2042" s="35">
        <v>36104</v>
      </c>
      <c r="C2042" s="34">
        <v>4811.6000000000004</v>
      </c>
      <c r="D2042" s="200"/>
    </row>
    <row r="2043" spans="2:4" x14ac:dyDescent="0.35">
      <c r="B2043" s="35">
        <v>36105</v>
      </c>
      <c r="C2043" s="34">
        <v>4836.22</v>
      </c>
      <c r="D2043" s="200"/>
    </row>
    <row r="2044" spans="2:4" x14ac:dyDescent="0.35">
      <c r="B2044" s="35">
        <v>36108</v>
      </c>
      <c r="C2044" s="34">
        <v>4768.58</v>
      </c>
      <c r="D2044" s="200"/>
    </row>
    <row r="2045" spans="2:4" x14ac:dyDescent="0.35">
      <c r="B2045" s="35">
        <v>36109</v>
      </c>
      <c r="C2045" s="34">
        <v>4662.78</v>
      </c>
      <c r="D2045" s="200"/>
    </row>
    <row r="2046" spans="2:4" x14ac:dyDescent="0.35">
      <c r="B2046" s="35">
        <v>36110</v>
      </c>
      <c r="C2046" s="34">
        <v>4717.7</v>
      </c>
      <c r="D2046" s="200"/>
    </row>
    <row r="2047" spans="2:4" x14ac:dyDescent="0.35">
      <c r="B2047" s="35">
        <v>36111</v>
      </c>
      <c r="C2047" s="34">
        <v>4639.8900000000003</v>
      </c>
      <c r="D2047" s="200"/>
    </row>
    <row r="2048" spans="2:4" x14ac:dyDescent="0.35">
      <c r="B2048" s="35">
        <v>36112</v>
      </c>
      <c r="C2048" s="34">
        <v>4639.6499999999996</v>
      </c>
      <c r="D2048" s="200"/>
    </row>
    <row r="2049" spans="2:4" x14ac:dyDescent="0.35">
      <c r="B2049" s="35">
        <v>36115</v>
      </c>
      <c r="C2049" s="34">
        <v>4783.7700000000004</v>
      </c>
      <c r="D2049" s="200"/>
    </row>
    <row r="2050" spans="2:4" x14ac:dyDescent="0.35">
      <c r="B2050" s="35">
        <v>36116</v>
      </c>
      <c r="C2050" s="34">
        <v>4702.63</v>
      </c>
      <c r="D2050" s="200"/>
    </row>
    <row r="2051" spans="2:4" x14ac:dyDescent="0.35">
      <c r="B2051" s="35">
        <v>36117</v>
      </c>
      <c r="C2051" s="34">
        <v>4698.72</v>
      </c>
      <c r="D2051" s="200"/>
    </row>
    <row r="2052" spans="2:4" x14ac:dyDescent="0.35">
      <c r="B2052" s="35">
        <v>36118</v>
      </c>
      <c r="C2052" s="34">
        <v>4795.6899999999996</v>
      </c>
      <c r="D2052" s="200"/>
    </row>
    <row r="2053" spans="2:4" x14ac:dyDescent="0.35">
      <c r="B2053" s="35">
        <v>36119</v>
      </c>
      <c r="C2053" s="34">
        <v>4911.88</v>
      </c>
      <c r="D2053" s="200"/>
    </row>
    <row r="2054" spans="2:4" x14ac:dyDescent="0.35">
      <c r="B2054" s="35">
        <v>36122</v>
      </c>
      <c r="C2054" s="34">
        <v>5019.12</v>
      </c>
      <c r="D2054" s="200"/>
    </row>
    <row r="2055" spans="2:4" x14ac:dyDescent="0.35">
      <c r="B2055" s="35">
        <v>36123</v>
      </c>
      <c r="C2055" s="34">
        <v>4958.82</v>
      </c>
      <c r="D2055" s="200"/>
    </row>
    <row r="2056" spans="2:4" x14ac:dyDescent="0.35">
      <c r="B2056" s="35">
        <v>36124</v>
      </c>
      <c r="C2056" s="34">
        <v>4944.37</v>
      </c>
      <c r="D2056" s="200"/>
    </row>
    <row r="2057" spans="2:4" x14ac:dyDescent="0.35">
      <c r="B2057" s="35">
        <v>36125</v>
      </c>
      <c r="C2057" s="34">
        <v>5051.63</v>
      </c>
      <c r="D2057" s="200"/>
    </row>
    <row r="2058" spans="2:4" x14ac:dyDescent="0.35">
      <c r="B2058" s="35">
        <v>36126</v>
      </c>
      <c r="C2058" s="34">
        <v>5121.4799999999996</v>
      </c>
      <c r="D2058" s="200"/>
    </row>
    <row r="2059" spans="2:4" x14ac:dyDescent="0.35">
      <c r="B2059" s="35">
        <v>36129</v>
      </c>
      <c r="C2059" s="34">
        <v>5022.7</v>
      </c>
      <c r="D2059" s="200"/>
    </row>
    <row r="2060" spans="2:4" x14ac:dyDescent="0.35">
      <c r="B2060" s="35">
        <v>36130</v>
      </c>
      <c r="C2060" s="34">
        <v>4781.7299999999996</v>
      </c>
      <c r="D2060" s="200"/>
    </row>
    <row r="2061" spans="2:4" x14ac:dyDescent="0.35">
      <c r="B2061" s="35">
        <v>36131</v>
      </c>
      <c r="C2061" s="34">
        <v>4691.6899999999996</v>
      </c>
      <c r="D2061" s="200"/>
    </row>
    <row r="2062" spans="2:4" x14ac:dyDescent="0.35">
      <c r="B2062" s="35">
        <v>36132</v>
      </c>
      <c r="C2062" s="34">
        <v>4787.08</v>
      </c>
      <c r="D2062" s="200"/>
    </row>
    <row r="2063" spans="2:4" x14ac:dyDescent="0.35">
      <c r="B2063" s="35">
        <v>36133</v>
      </c>
      <c r="C2063" s="34">
        <v>4775.2299999999996</v>
      </c>
      <c r="D2063" s="200"/>
    </row>
    <row r="2064" spans="2:4" x14ac:dyDescent="0.35">
      <c r="B2064" s="35">
        <v>36136</v>
      </c>
      <c r="C2064" s="34">
        <v>4713.96</v>
      </c>
      <c r="D2064" s="200"/>
    </row>
    <row r="2065" spans="2:4" x14ac:dyDescent="0.35">
      <c r="B2065" s="35">
        <v>36137</v>
      </c>
      <c r="C2065" s="34">
        <v>4699.34</v>
      </c>
      <c r="D2065" s="200"/>
    </row>
    <row r="2066" spans="2:4" x14ac:dyDescent="0.35">
      <c r="B2066" s="35">
        <v>36138</v>
      </c>
      <c r="C2066" s="34">
        <v>4663.68</v>
      </c>
      <c r="D2066" s="200"/>
    </row>
    <row r="2067" spans="2:4" x14ac:dyDescent="0.35">
      <c r="B2067" s="35">
        <v>36139</v>
      </c>
      <c r="C2067" s="34">
        <v>4642.6899999999996</v>
      </c>
      <c r="D2067" s="200"/>
    </row>
    <row r="2068" spans="2:4" x14ac:dyDescent="0.35">
      <c r="B2068" s="35">
        <v>36140</v>
      </c>
      <c r="C2068" s="34">
        <v>4536.2</v>
      </c>
      <c r="D2068" s="200"/>
    </row>
    <row r="2069" spans="2:4" x14ac:dyDescent="0.35">
      <c r="B2069" s="35">
        <v>36143</v>
      </c>
      <c r="C2069" s="34">
        <v>4522.8599999999997</v>
      </c>
      <c r="D2069" s="200"/>
    </row>
    <row r="2070" spans="2:4" x14ac:dyDescent="0.35">
      <c r="B2070" s="35">
        <v>36144</v>
      </c>
      <c r="C2070" s="34">
        <v>4574.5</v>
      </c>
      <c r="D2070" s="200"/>
    </row>
    <row r="2071" spans="2:4" x14ac:dyDescent="0.35">
      <c r="B2071" s="35">
        <v>36145</v>
      </c>
      <c r="C2071" s="34">
        <v>4663.45</v>
      </c>
      <c r="D2071" s="200"/>
    </row>
    <row r="2072" spans="2:4" x14ac:dyDescent="0.35">
      <c r="B2072" s="35">
        <v>36146</v>
      </c>
      <c r="C2072" s="34">
        <v>4723.8100000000004</v>
      </c>
      <c r="D2072" s="200"/>
    </row>
    <row r="2073" spans="2:4" x14ac:dyDescent="0.35">
      <c r="B2073" s="35">
        <v>36147</v>
      </c>
      <c r="C2073" s="34">
        <v>4629.2299999999996</v>
      </c>
      <c r="D2073" s="200"/>
    </row>
    <row r="2074" spans="2:4" x14ac:dyDescent="0.35">
      <c r="B2074" s="35">
        <v>36150</v>
      </c>
      <c r="C2074" s="34">
        <v>4780.93</v>
      </c>
      <c r="D2074" s="200"/>
    </row>
    <row r="2075" spans="2:4" x14ac:dyDescent="0.35">
      <c r="B2075" s="35">
        <v>36151</v>
      </c>
      <c r="C2075" s="34">
        <v>4825.38</v>
      </c>
      <c r="D2075" s="200"/>
    </row>
    <row r="2076" spans="2:4" x14ac:dyDescent="0.35">
      <c r="B2076" s="35">
        <v>36152</v>
      </c>
      <c r="C2076" s="34">
        <v>4951.7700000000004</v>
      </c>
      <c r="D2076" s="200"/>
    </row>
    <row r="2077" spans="2:4" x14ac:dyDescent="0.35">
      <c r="B2077" s="35">
        <v>36157</v>
      </c>
      <c r="C2077" s="34">
        <v>5044.7700000000004</v>
      </c>
      <c r="D2077" s="200"/>
    </row>
    <row r="2078" spans="2:4" x14ac:dyDescent="0.35">
      <c r="B2078" s="35">
        <v>36158</v>
      </c>
      <c r="C2078" s="34">
        <v>5031.87</v>
      </c>
      <c r="D2078" s="200"/>
    </row>
    <row r="2079" spans="2:4" x14ac:dyDescent="0.35">
      <c r="B2079" s="35">
        <v>36159</v>
      </c>
      <c r="C2079" s="34">
        <v>5002.3900000000003</v>
      </c>
      <c r="D2079" s="200"/>
    </row>
    <row r="2080" spans="2:4" x14ac:dyDescent="0.35">
      <c r="B2080" s="35">
        <v>36164</v>
      </c>
      <c r="C2080" s="34">
        <v>5252.36</v>
      </c>
      <c r="D2080" s="200"/>
    </row>
    <row r="2081" spans="2:4" x14ac:dyDescent="0.35">
      <c r="B2081" s="35">
        <v>36165</v>
      </c>
      <c r="C2081" s="34">
        <v>5253.91</v>
      </c>
      <c r="D2081" s="200"/>
    </row>
    <row r="2082" spans="2:4" x14ac:dyDescent="0.35">
      <c r="B2082" s="35">
        <v>36166</v>
      </c>
      <c r="C2082" s="34">
        <v>5443.62</v>
      </c>
      <c r="D2082" s="200"/>
    </row>
    <row r="2083" spans="2:4" x14ac:dyDescent="0.35">
      <c r="B2083" s="35">
        <v>36167</v>
      </c>
      <c r="C2083" s="34">
        <v>5323.21</v>
      </c>
      <c r="D2083" s="200"/>
    </row>
    <row r="2084" spans="2:4" x14ac:dyDescent="0.35">
      <c r="B2084" s="35">
        <v>36168</v>
      </c>
      <c r="C2084" s="34">
        <v>5392.84</v>
      </c>
      <c r="D2084" s="200"/>
    </row>
    <row r="2085" spans="2:4" x14ac:dyDescent="0.35">
      <c r="B2085" s="35">
        <v>36171</v>
      </c>
      <c r="C2085" s="34">
        <v>5270.6</v>
      </c>
      <c r="D2085" s="200"/>
    </row>
    <row r="2086" spans="2:4" x14ac:dyDescent="0.35">
      <c r="B2086" s="35">
        <v>36172</v>
      </c>
      <c r="C2086" s="34">
        <v>5200.1000000000004</v>
      </c>
      <c r="D2086" s="200"/>
    </row>
    <row r="2087" spans="2:4" x14ac:dyDescent="0.35">
      <c r="B2087" s="35">
        <v>36173</v>
      </c>
      <c r="C2087" s="34">
        <v>4931.8</v>
      </c>
      <c r="D2087" s="200"/>
    </row>
    <row r="2088" spans="2:4" x14ac:dyDescent="0.35">
      <c r="B2088" s="35">
        <v>36174</v>
      </c>
      <c r="C2088" s="34">
        <v>4912.75</v>
      </c>
      <c r="D2088" s="200"/>
    </row>
    <row r="2089" spans="2:4" x14ac:dyDescent="0.35">
      <c r="B2089" s="35">
        <v>36175</v>
      </c>
      <c r="C2089" s="34">
        <v>4960.22</v>
      </c>
      <c r="D2089" s="200"/>
    </row>
    <row r="2090" spans="2:4" x14ac:dyDescent="0.35">
      <c r="B2090" s="35">
        <v>36178</v>
      </c>
      <c r="C2090" s="34">
        <v>5050.3999999999996</v>
      </c>
      <c r="D2090" s="200"/>
    </row>
    <row r="2091" spans="2:4" x14ac:dyDescent="0.35">
      <c r="B2091" s="35">
        <v>36179</v>
      </c>
      <c r="C2091" s="34">
        <v>5073.1499999999996</v>
      </c>
      <c r="D2091" s="200"/>
    </row>
    <row r="2092" spans="2:4" x14ac:dyDescent="0.35">
      <c r="B2092" s="35">
        <v>36180</v>
      </c>
      <c r="C2092" s="34">
        <v>5143.0600000000004</v>
      </c>
      <c r="D2092" s="200"/>
    </row>
    <row r="2093" spans="2:4" x14ac:dyDescent="0.35">
      <c r="B2093" s="35">
        <v>36181</v>
      </c>
      <c r="C2093" s="34">
        <v>5156.67</v>
      </c>
      <c r="D2093" s="200"/>
    </row>
    <row r="2094" spans="2:4" x14ac:dyDescent="0.35">
      <c r="B2094" s="35">
        <v>36182</v>
      </c>
      <c r="C2094" s="34">
        <v>5019.28</v>
      </c>
      <c r="D2094" s="200"/>
    </row>
    <row r="2095" spans="2:4" x14ac:dyDescent="0.35">
      <c r="B2095" s="35">
        <v>36185</v>
      </c>
      <c r="C2095" s="34">
        <v>4982.45</v>
      </c>
      <c r="D2095" s="200"/>
    </row>
    <row r="2096" spans="2:4" x14ac:dyDescent="0.35">
      <c r="B2096" s="35">
        <v>36186</v>
      </c>
      <c r="C2096" s="34">
        <v>4986.8</v>
      </c>
      <c r="D2096" s="200"/>
    </row>
    <row r="2097" spans="2:4" x14ac:dyDescent="0.35">
      <c r="B2097" s="35">
        <v>36187</v>
      </c>
      <c r="C2097" s="34">
        <v>5061.18</v>
      </c>
      <c r="D2097" s="200"/>
    </row>
    <row r="2098" spans="2:4" x14ac:dyDescent="0.35">
      <c r="B2098" s="35">
        <v>36188</v>
      </c>
      <c r="C2098" s="34">
        <v>5096.41</v>
      </c>
      <c r="D2098" s="200"/>
    </row>
    <row r="2099" spans="2:4" x14ac:dyDescent="0.35">
      <c r="B2099" s="35">
        <v>36189</v>
      </c>
      <c r="C2099" s="34">
        <v>5159.96</v>
      </c>
      <c r="D2099" s="200"/>
    </row>
    <row r="2100" spans="2:4" x14ac:dyDescent="0.35">
      <c r="B2100" s="35">
        <v>36192</v>
      </c>
      <c r="C2100" s="34">
        <v>5190.82</v>
      </c>
      <c r="D2100" s="200"/>
    </row>
    <row r="2101" spans="2:4" x14ac:dyDescent="0.35">
      <c r="B2101" s="35">
        <v>36193</v>
      </c>
      <c r="C2101" s="34">
        <v>5166.87</v>
      </c>
      <c r="D2101" s="200"/>
    </row>
    <row r="2102" spans="2:4" x14ac:dyDescent="0.35">
      <c r="B2102" s="35">
        <v>36194</v>
      </c>
      <c r="C2102" s="34">
        <v>5085.66</v>
      </c>
      <c r="D2102" s="200"/>
    </row>
    <row r="2103" spans="2:4" x14ac:dyDescent="0.35">
      <c r="B2103" s="35">
        <v>36195</v>
      </c>
      <c r="C2103" s="34">
        <v>5077.8500000000004</v>
      </c>
      <c r="D2103" s="200"/>
    </row>
    <row r="2104" spans="2:4" x14ac:dyDescent="0.35">
      <c r="B2104" s="35">
        <v>36196</v>
      </c>
      <c r="C2104" s="34">
        <v>5080.7700000000004</v>
      </c>
      <c r="D2104" s="200"/>
    </row>
    <row r="2105" spans="2:4" x14ac:dyDescent="0.35">
      <c r="B2105" s="35">
        <v>36199</v>
      </c>
      <c r="C2105" s="34">
        <v>5027.22</v>
      </c>
      <c r="D2105" s="200"/>
    </row>
    <row r="2106" spans="2:4" x14ac:dyDescent="0.35">
      <c r="B2106" s="35">
        <v>36200</v>
      </c>
      <c r="C2106" s="34">
        <v>4904.3500000000004</v>
      </c>
      <c r="D2106" s="200"/>
    </row>
    <row r="2107" spans="2:4" x14ac:dyDescent="0.35">
      <c r="B2107" s="35">
        <v>36201</v>
      </c>
      <c r="C2107" s="34">
        <v>4796.82</v>
      </c>
      <c r="D2107" s="200"/>
    </row>
    <row r="2108" spans="2:4" x14ac:dyDescent="0.35">
      <c r="B2108" s="35">
        <v>36202</v>
      </c>
      <c r="C2108" s="34">
        <v>4839.33</v>
      </c>
      <c r="D2108" s="200"/>
    </row>
    <row r="2109" spans="2:4" x14ac:dyDescent="0.35">
      <c r="B2109" s="35">
        <v>36203</v>
      </c>
      <c r="C2109" s="34">
        <v>4888.74</v>
      </c>
      <c r="D2109" s="200"/>
    </row>
    <row r="2110" spans="2:4" x14ac:dyDescent="0.35">
      <c r="B2110" s="35">
        <v>36206</v>
      </c>
      <c r="C2110" s="34">
        <v>4879.55</v>
      </c>
      <c r="D2110" s="200"/>
    </row>
    <row r="2111" spans="2:4" x14ac:dyDescent="0.35">
      <c r="B2111" s="35">
        <v>36207</v>
      </c>
      <c r="C2111" s="34">
        <v>4904.68</v>
      </c>
      <c r="D2111" s="200"/>
    </row>
    <row r="2112" spans="2:4" x14ac:dyDescent="0.35">
      <c r="B2112" s="35">
        <v>36208</v>
      </c>
      <c r="C2112" s="34">
        <v>4810.09</v>
      </c>
      <c r="D2112" s="200"/>
    </row>
    <row r="2113" spans="2:4" x14ac:dyDescent="0.35">
      <c r="B2113" s="35">
        <v>36209</v>
      </c>
      <c r="C2113" s="34">
        <v>4845.08</v>
      </c>
      <c r="D2113" s="200"/>
    </row>
    <row r="2114" spans="2:4" x14ac:dyDescent="0.35">
      <c r="B2114" s="35">
        <v>36210</v>
      </c>
      <c r="C2114" s="34">
        <v>4802.38</v>
      </c>
      <c r="D2114" s="200"/>
    </row>
    <row r="2115" spans="2:4" x14ac:dyDescent="0.35">
      <c r="B2115" s="35">
        <v>36213</v>
      </c>
      <c r="C2115" s="34">
        <v>4845.18</v>
      </c>
      <c r="D2115" s="200"/>
    </row>
    <row r="2116" spans="2:4" x14ac:dyDescent="0.35">
      <c r="B2116" s="35">
        <v>36214</v>
      </c>
      <c r="C2116" s="34">
        <v>4987.5600000000004</v>
      </c>
      <c r="D2116" s="200"/>
    </row>
    <row r="2117" spans="2:4" x14ac:dyDescent="0.35">
      <c r="B2117" s="35">
        <v>36215</v>
      </c>
      <c r="C2117" s="34">
        <v>5062.3100000000004</v>
      </c>
      <c r="D2117" s="200"/>
    </row>
    <row r="2118" spans="2:4" x14ac:dyDescent="0.35">
      <c r="B2118" s="35">
        <v>36216</v>
      </c>
      <c r="C2118" s="34">
        <v>4958.58</v>
      </c>
      <c r="D2118" s="200"/>
    </row>
    <row r="2119" spans="2:4" x14ac:dyDescent="0.35">
      <c r="B2119" s="35">
        <v>36217</v>
      </c>
      <c r="C2119" s="34">
        <v>4911.8100000000004</v>
      </c>
      <c r="D2119" s="200"/>
    </row>
    <row r="2120" spans="2:4" x14ac:dyDescent="0.35">
      <c r="B2120" s="35">
        <v>36220</v>
      </c>
      <c r="C2120" s="34">
        <v>4784.3100000000004</v>
      </c>
      <c r="D2120" s="200"/>
    </row>
    <row r="2121" spans="2:4" x14ac:dyDescent="0.35">
      <c r="B2121" s="35">
        <v>36221</v>
      </c>
      <c r="C2121" s="34">
        <v>4804.0200000000004</v>
      </c>
      <c r="D2121" s="200"/>
    </row>
    <row r="2122" spans="2:4" x14ac:dyDescent="0.35">
      <c r="B2122" s="35">
        <v>36222</v>
      </c>
      <c r="C2122" s="34">
        <v>4697.67</v>
      </c>
      <c r="D2122" s="200"/>
    </row>
    <row r="2123" spans="2:4" x14ac:dyDescent="0.35">
      <c r="B2123" s="35">
        <v>36223</v>
      </c>
      <c r="C2123" s="34">
        <v>4678.72</v>
      </c>
      <c r="D2123" s="200"/>
    </row>
    <row r="2124" spans="2:4" x14ac:dyDescent="0.35">
      <c r="B2124" s="35">
        <v>36224</v>
      </c>
      <c r="C2124" s="34">
        <v>4839.09</v>
      </c>
      <c r="D2124" s="200"/>
    </row>
    <row r="2125" spans="2:4" x14ac:dyDescent="0.35">
      <c r="B2125" s="35">
        <v>36227</v>
      </c>
      <c r="C2125" s="34">
        <v>4788.6899999999996</v>
      </c>
      <c r="D2125" s="200"/>
    </row>
    <row r="2126" spans="2:4" x14ac:dyDescent="0.35">
      <c r="B2126" s="35">
        <v>36228</v>
      </c>
      <c r="C2126" s="34">
        <v>4758.46</v>
      </c>
      <c r="D2126" s="200"/>
    </row>
    <row r="2127" spans="2:4" x14ac:dyDescent="0.35">
      <c r="B2127" s="35">
        <v>36229</v>
      </c>
      <c r="C2127" s="34">
        <v>4721.41</v>
      </c>
      <c r="D2127" s="200"/>
    </row>
    <row r="2128" spans="2:4" x14ac:dyDescent="0.35">
      <c r="B2128" s="35">
        <v>36230</v>
      </c>
      <c r="C2128" s="34">
        <v>4754.41</v>
      </c>
      <c r="D2128" s="200"/>
    </row>
    <row r="2129" spans="2:4" x14ac:dyDescent="0.35">
      <c r="B2129" s="35">
        <v>36231</v>
      </c>
      <c r="C2129" s="34">
        <v>5008.16</v>
      </c>
      <c r="D2129" s="200"/>
    </row>
    <row r="2130" spans="2:4" x14ac:dyDescent="0.35">
      <c r="B2130" s="35">
        <v>36234</v>
      </c>
      <c r="C2130" s="34">
        <v>5029.24</v>
      </c>
      <c r="D2130" s="200"/>
    </row>
    <row r="2131" spans="2:4" x14ac:dyDescent="0.35">
      <c r="B2131" s="35">
        <v>36235</v>
      </c>
      <c r="C2131" s="34">
        <v>5094.63</v>
      </c>
      <c r="D2131" s="200"/>
    </row>
    <row r="2132" spans="2:4" x14ac:dyDescent="0.35">
      <c r="B2132" s="35">
        <v>36236</v>
      </c>
      <c r="C2132" s="34">
        <v>5077.43</v>
      </c>
      <c r="D2132" s="200"/>
    </row>
    <row r="2133" spans="2:4" x14ac:dyDescent="0.35">
      <c r="B2133" s="35">
        <v>36237</v>
      </c>
      <c r="C2133" s="34">
        <v>5013.62</v>
      </c>
      <c r="D2133" s="200"/>
    </row>
    <row r="2134" spans="2:4" x14ac:dyDescent="0.35">
      <c r="B2134" s="35">
        <v>36238</v>
      </c>
      <c r="C2134" s="34">
        <v>5099.4799999999996</v>
      </c>
      <c r="D2134" s="200"/>
    </row>
    <row r="2135" spans="2:4" x14ac:dyDescent="0.35">
      <c r="B2135" s="35">
        <v>36241</v>
      </c>
      <c r="C2135" s="34">
        <v>5027.0600000000004</v>
      </c>
      <c r="D2135" s="200"/>
    </row>
    <row r="2136" spans="2:4" x14ac:dyDescent="0.35">
      <c r="B2136" s="35">
        <v>36242</v>
      </c>
      <c r="C2136" s="34">
        <v>4915.03</v>
      </c>
      <c r="D2136" s="200"/>
    </row>
    <row r="2137" spans="2:4" x14ac:dyDescent="0.35">
      <c r="B2137" s="35">
        <v>36243</v>
      </c>
      <c r="C2137" s="34">
        <v>4780.13</v>
      </c>
      <c r="D2137" s="200"/>
    </row>
    <row r="2138" spans="2:4" x14ac:dyDescent="0.35">
      <c r="B2138" s="35">
        <v>36244</v>
      </c>
      <c r="C2138" s="34">
        <v>4860.26</v>
      </c>
      <c r="D2138" s="200"/>
    </row>
    <row r="2139" spans="2:4" x14ac:dyDescent="0.35">
      <c r="B2139" s="35">
        <v>36245</v>
      </c>
      <c r="C2139" s="34">
        <v>4775.17</v>
      </c>
      <c r="D2139" s="200"/>
    </row>
    <row r="2140" spans="2:4" x14ac:dyDescent="0.35">
      <c r="B2140" s="35">
        <v>36248</v>
      </c>
      <c r="C2140" s="34">
        <v>4876.92</v>
      </c>
      <c r="D2140" s="200"/>
    </row>
    <row r="2141" spans="2:4" x14ac:dyDescent="0.35">
      <c r="B2141" s="35">
        <v>36249</v>
      </c>
      <c r="C2141" s="34">
        <v>4856.84</v>
      </c>
      <c r="D2141" s="200"/>
    </row>
    <row r="2142" spans="2:4" x14ac:dyDescent="0.35">
      <c r="B2142" s="35">
        <v>36250</v>
      </c>
      <c r="C2142" s="34">
        <v>4884.2</v>
      </c>
      <c r="D2142" s="200"/>
    </row>
    <row r="2143" spans="2:4" x14ac:dyDescent="0.35">
      <c r="B2143" s="35">
        <v>36251</v>
      </c>
      <c r="C2143" s="34">
        <v>4914.59</v>
      </c>
      <c r="D2143" s="200"/>
    </row>
    <row r="2144" spans="2:4" x14ac:dyDescent="0.35">
      <c r="B2144" s="35">
        <v>36256</v>
      </c>
      <c r="C2144" s="34">
        <v>4965.29</v>
      </c>
      <c r="D2144" s="200"/>
    </row>
    <row r="2145" spans="2:4" x14ac:dyDescent="0.35">
      <c r="B2145" s="35">
        <v>36257</v>
      </c>
      <c r="C2145" s="34">
        <v>5052.2700000000004</v>
      </c>
      <c r="D2145" s="200"/>
    </row>
    <row r="2146" spans="2:4" x14ac:dyDescent="0.35">
      <c r="B2146" s="35">
        <v>36258</v>
      </c>
      <c r="C2146" s="34">
        <v>5068.75</v>
      </c>
      <c r="D2146" s="200"/>
    </row>
    <row r="2147" spans="2:4" x14ac:dyDescent="0.35">
      <c r="B2147" s="35">
        <v>36259</v>
      </c>
      <c r="C2147" s="34">
        <v>5124.18</v>
      </c>
      <c r="D2147" s="200"/>
    </row>
    <row r="2148" spans="2:4" x14ac:dyDescent="0.35">
      <c r="B2148" s="35">
        <v>36262</v>
      </c>
      <c r="C2148" s="34">
        <v>5159.16</v>
      </c>
      <c r="D2148" s="200"/>
    </row>
    <row r="2149" spans="2:4" x14ac:dyDescent="0.35">
      <c r="B2149" s="35">
        <v>36263</v>
      </c>
      <c r="C2149" s="34">
        <v>5199.18</v>
      </c>
      <c r="D2149" s="200"/>
    </row>
    <row r="2150" spans="2:4" x14ac:dyDescent="0.35">
      <c r="B2150" s="35">
        <v>36264</v>
      </c>
      <c r="C2150" s="34">
        <v>5182.16</v>
      </c>
      <c r="D2150" s="200"/>
    </row>
    <row r="2151" spans="2:4" x14ac:dyDescent="0.35">
      <c r="B2151" s="35">
        <v>36265</v>
      </c>
      <c r="C2151" s="34">
        <v>5181.01</v>
      </c>
      <c r="D2151" s="200"/>
    </row>
    <row r="2152" spans="2:4" x14ac:dyDescent="0.35">
      <c r="B2152" s="35">
        <v>36266</v>
      </c>
      <c r="C2152" s="34">
        <v>5155.3500000000004</v>
      </c>
      <c r="D2152" s="200"/>
    </row>
    <row r="2153" spans="2:4" x14ac:dyDescent="0.35">
      <c r="B2153" s="35">
        <v>36269</v>
      </c>
      <c r="C2153" s="34">
        <v>5220.1499999999996</v>
      </c>
      <c r="D2153" s="200"/>
    </row>
    <row r="2154" spans="2:4" x14ac:dyDescent="0.35">
      <c r="B2154" s="35">
        <v>36270</v>
      </c>
      <c r="C2154" s="34">
        <v>5087.29</v>
      </c>
      <c r="D2154" s="200"/>
    </row>
    <row r="2155" spans="2:4" x14ac:dyDescent="0.35">
      <c r="B2155" s="35">
        <v>36271</v>
      </c>
      <c r="C2155" s="34">
        <v>5163.29</v>
      </c>
      <c r="D2155" s="200"/>
    </row>
    <row r="2156" spans="2:4" x14ac:dyDescent="0.35">
      <c r="B2156" s="35">
        <v>36272</v>
      </c>
      <c r="C2156" s="34">
        <v>5218.82</v>
      </c>
      <c r="D2156" s="200"/>
    </row>
    <row r="2157" spans="2:4" x14ac:dyDescent="0.35">
      <c r="B2157" s="35">
        <v>36273</v>
      </c>
      <c r="C2157" s="34">
        <v>5195.42</v>
      </c>
      <c r="D2157" s="200"/>
    </row>
    <row r="2158" spans="2:4" x14ac:dyDescent="0.35">
      <c r="B2158" s="35">
        <v>36276</v>
      </c>
      <c r="C2158" s="34">
        <v>5256.22</v>
      </c>
      <c r="D2158" s="200"/>
    </row>
    <row r="2159" spans="2:4" x14ac:dyDescent="0.35">
      <c r="B2159" s="35">
        <v>36277</v>
      </c>
      <c r="C2159" s="34">
        <v>5347.5</v>
      </c>
      <c r="D2159" s="200"/>
    </row>
    <row r="2160" spans="2:4" x14ac:dyDescent="0.35">
      <c r="B2160" s="35">
        <v>36278</v>
      </c>
      <c r="C2160" s="34">
        <v>5348.61</v>
      </c>
      <c r="D2160" s="200"/>
    </row>
    <row r="2161" spans="2:4" x14ac:dyDescent="0.35">
      <c r="B2161" s="35">
        <v>36279</v>
      </c>
      <c r="C2161" s="34">
        <v>5334.42</v>
      </c>
      <c r="D2161" s="200"/>
    </row>
    <row r="2162" spans="2:4" x14ac:dyDescent="0.35">
      <c r="B2162" s="35">
        <v>36280</v>
      </c>
      <c r="C2162" s="34">
        <v>5393.11</v>
      </c>
      <c r="D2162" s="200"/>
    </row>
    <row r="2163" spans="2:4" x14ac:dyDescent="0.35">
      <c r="B2163" s="35">
        <v>36283</v>
      </c>
      <c r="C2163" s="34">
        <v>5377.56</v>
      </c>
      <c r="D2163" s="200"/>
    </row>
    <row r="2164" spans="2:4" x14ac:dyDescent="0.35">
      <c r="B2164" s="35">
        <v>36284</v>
      </c>
      <c r="C2164" s="34">
        <v>5383.21</v>
      </c>
      <c r="D2164" s="200"/>
    </row>
    <row r="2165" spans="2:4" x14ac:dyDescent="0.35">
      <c r="B2165" s="35">
        <v>36285</v>
      </c>
      <c r="C2165" s="34">
        <v>5307.22</v>
      </c>
      <c r="D2165" s="200"/>
    </row>
    <row r="2166" spans="2:4" x14ac:dyDescent="0.35">
      <c r="B2166" s="35">
        <v>36286</v>
      </c>
      <c r="C2166" s="34">
        <v>5274.45</v>
      </c>
      <c r="D2166" s="200"/>
    </row>
    <row r="2167" spans="2:4" x14ac:dyDescent="0.35">
      <c r="B2167" s="35">
        <v>36287</v>
      </c>
      <c r="C2167" s="34">
        <v>5297.38</v>
      </c>
      <c r="D2167" s="200"/>
    </row>
    <row r="2168" spans="2:4" x14ac:dyDescent="0.35">
      <c r="B2168" s="35">
        <v>36290</v>
      </c>
      <c r="C2168" s="34">
        <v>5205.95</v>
      </c>
      <c r="D2168" s="200"/>
    </row>
    <row r="2169" spans="2:4" x14ac:dyDescent="0.35">
      <c r="B2169" s="35">
        <v>36291</v>
      </c>
      <c r="C2169" s="34">
        <v>5249.15</v>
      </c>
      <c r="D2169" s="200"/>
    </row>
    <row r="2170" spans="2:4" x14ac:dyDescent="0.35">
      <c r="B2170" s="35">
        <v>36292</v>
      </c>
      <c r="C2170" s="34">
        <v>5248.02</v>
      </c>
      <c r="D2170" s="200"/>
    </row>
    <row r="2171" spans="2:4" x14ac:dyDescent="0.35">
      <c r="B2171" s="35">
        <v>36294</v>
      </c>
      <c r="C2171" s="34">
        <v>5173.25</v>
      </c>
      <c r="D2171" s="200"/>
    </row>
    <row r="2172" spans="2:4" x14ac:dyDescent="0.35">
      <c r="B2172" s="35">
        <v>36297</v>
      </c>
      <c r="C2172" s="34">
        <v>5114.47</v>
      </c>
      <c r="D2172" s="200"/>
    </row>
    <row r="2173" spans="2:4" x14ac:dyDescent="0.35">
      <c r="B2173" s="35">
        <v>36298</v>
      </c>
      <c r="C2173" s="34">
        <v>5154.9399999999996</v>
      </c>
      <c r="D2173" s="200"/>
    </row>
    <row r="2174" spans="2:4" x14ac:dyDescent="0.35">
      <c r="B2174" s="35">
        <v>36299</v>
      </c>
      <c r="C2174" s="34">
        <v>5184.51</v>
      </c>
      <c r="D2174" s="200"/>
    </row>
    <row r="2175" spans="2:4" x14ac:dyDescent="0.35">
      <c r="B2175" s="35">
        <v>36300</v>
      </c>
      <c r="C2175" s="34">
        <v>5235.6400000000003</v>
      </c>
      <c r="D2175" s="200"/>
    </row>
    <row r="2176" spans="2:4" x14ac:dyDescent="0.35">
      <c r="B2176" s="35">
        <v>36301</v>
      </c>
      <c r="C2176" s="34">
        <v>5264.68</v>
      </c>
      <c r="D2176" s="200"/>
    </row>
    <row r="2177" spans="2:4" x14ac:dyDescent="0.35">
      <c r="B2177" s="35">
        <v>36305</v>
      </c>
      <c r="C2177" s="34">
        <v>5143.1000000000004</v>
      </c>
      <c r="D2177" s="200"/>
    </row>
    <row r="2178" spans="2:4" x14ac:dyDescent="0.35">
      <c r="B2178" s="35">
        <v>36306</v>
      </c>
      <c r="C2178" s="34">
        <v>5160.4399999999996</v>
      </c>
      <c r="D2178" s="200"/>
    </row>
    <row r="2179" spans="2:4" x14ac:dyDescent="0.35">
      <c r="B2179" s="35">
        <v>36307</v>
      </c>
      <c r="C2179" s="34">
        <v>5083.83</v>
      </c>
      <c r="D2179" s="200"/>
    </row>
    <row r="2180" spans="2:4" x14ac:dyDescent="0.35">
      <c r="B2180" s="35">
        <v>36308</v>
      </c>
      <c r="C2180" s="34">
        <v>5068.7299999999996</v>
      </c>
      <c r="D2180" s="200"/>
    </row>
    <row r="2181" spans="2:4" x14ac:dyDescent="0.35">
      <c r="B2181" s="35">
        <v>36311</v>
      </c>
      <c r="C2181" s="34">
        <v>5069.83</v>
      </c>
      <c r="D2181" s="200"/>
    </row>
    <row r="2182" spans="2:4" x14ac:dyDescent="0.35">
      <c r="B2182" s="35">
        <v>36312</v>
      </c>
      <c r="C2182" s="34">
        <v>5021.24</v>
      </c>
      <c r="D2182" s="200"/>
    </row>
    <row r="2183" spans="2:4" x14ac:dyDescent="0.35">
      <c r="B2183" s="35">
        <v>36313</v>
      </c>
      <c r="C2183" s="34">
        <v>4997.83</v>
      </c>
      <c r="D2183" s="200"/>
    </row>
    <row r="2184" spans="2:4" x14ac:dyDescent="0.35">
      <c r="B2184" s="35">
        <v>36315</v>
      </c>
      <c r="C2184" s="34">
        <v>5107.8100000000004</v>
      </c>
      <c r="D2184" s="200"/>
    </row>
    <row r="2185" spans="2:4" x14ac:dyDescent="0.35">
      <c r="B2185" s="35">
        <v>36318</v>
      </c>
      <c r="C2185" s="34">
        <v>5190.1499999999996</v>
      </c>
      <c r="D2185" s="200"/>
    </row>
    <row r="2186" spans="2:4" x14ac:dyDescent="0.35">
      <c r="B2186" s="35">
        <v>36319</v>
      </c>
      <c r="C2186" s="34">
        <v>5211.08</v>
      </c>
      <c r="D2186" s="200"/>
    </row>
    <row r="2187" spans="2:4" x14ac:dyDescent="0.35">
      <c r="B2187" s="35">
        <v>36320</v>
      </c>
      <c r="C2187" s="34">
        <v>5253.89</v>
      </c>
      <c r="D2187" s="200"/>
    </row>
    <row r="2188" spans="2:4" x14ac:dyDescent="0.35">
      <c r="B2188" s="35">
        <v>36321</v>
      </c>
      <c r="C2188" s="34">
        <v>5206.47</v>
      </c>
      <c r="D2188" s="200"/>
    </row>
    <row r="2189" spans="2:4" x14ac:dyDescent="0.35">
      <c r="B2189" s="35">
        <v>36322</v>
      </c>
      <c r="C2189" s="34">
        <v>5262.15</v>
      </c>
      <c r="D2189" s="200"/>
    </row>
    <row r="2190" spans="2:4" x14ac:dyDescent="0.35">
      <c r="B2190" s="35">
        <v>36325</v>
      </c>
      <c r="C2190" s="34">
        <v>5268.87</v>
      </c>
      <c r="D2190" s="200"/>
    </row>
    <row r="2191" spans="2:4" x14ac:dyDescent="0.35">
      <c r="B2191" s="35">
        <v>36326</v>
      </c>
      <c r="C2191" s="34">
        <v>5342.86</v>
      </c>
      <c r="D2191" s="200"/>
    </row>
    <row r="2192" spans="2:4" x14ac:dyDescent="0.35">
      <c r="B2192" s="35">
        <v>36327</v>
      </c>
      <c r="C2192" s="34">
        <v>5381.25</v>
      </c>
      <c r="D2192" s="200"/>
    </row>
    <row r="2193" spans="2:4" x14ac:dyDescent="0.35">
      <c r="B2193" s="35">
        <v>36328</v>
      </c>
      <c r="C2193" s="34">
        <v>5412</v>
      </c>
      <c r="D2193" s="200"/>
    </row>
    <row r="2194" spans="2:4" x14ac:dyDescent="0.35">
      <c r="B2194" s="35">
        <v>36329</v>
      </c>
      <c r="C2194" s="34">
        <v>5430.32</v>
      </c>
      <c r="D2194" s="200"/>
    </row>
    <row r="2195" spans="2:4" x14ac:dyDescent="0.35">
      <c r="B2195" s="35">
        <v>36332</v>
      </c>
      <c r="C2195" s="34">
        <v>5468.47</v>
      </c>
      <c r="D2195" s="200"/>
    </row>
    <row r="2196" spans="2:4" x14ac:dyDescent="0.35">
      <c r="B2196" s="35">
        <v>36333</v>
      </c>
      <c r="C2196" s="34">
        <v>5468.67</v>
      </c>
      <c r="D2196" s="200"/>
    </row>
    <row r="2197" spans="2:4" x14ac:dyDescent="0.35">
      <c r="B2197" s="35">
        <v>36334</v>
      </c>
      <c r="C2197" s="34">
        <v>5399.11</v>
      </c>
      <c r="D2197" s="200"/>
    </row>
    <row r="2198" spans="2:4" x14ac:dyDescent="0.35">
      <c r="B2198" s="35">
        <v>36335</v>
      </c>
      <c r="C2198" s="34">
        <v>5327.6</v>
      </c>
      <c r="D2198" s="200"/>
    </row>
    <row r="2199" spans="2:4" x14ac:dyDescent="0.35">
      <c r="B2199" s="35">
        <v>36336</v>
      </c>
      <c r="C2199" s="34">
        <v>5301.21</v>
      </c>
      <c r="D2199" s="200"/>
    </row>
    <row r="2200" spans="2:4" x14ac:dyDescent="0.35">
      <c r="B2200" s="35">
        <v>36339</v>
      </c>
      <c r="C2200" s="34">
        <v>5356.95</v>
      </c>
      <c r="D2200" s="200"/>
    </row>
    <row r="2201" spans="2:4" x14ac:dyDescent="0.35">
      <c r="B2201" s="35">
        <v>36340</v>
      </c>
      <c r="C2201" s="34">
        <v>5359.53</v>
      </c>
      <c r="D2201" s="200"/>
    </row>
    <row r="2202" spans="2:4" x14ac:dyDescent="0.35">
      <c r="B2202" s="35">
        <v>36341</v>
      </c>
      <c r="C2202" s="34">
        <v>5378.52</v>
      </c>
      <c r="D2202" s="200"/>
    </row>
    <row r="2203" spans="2:4" x14ac:dyDescent="0.35">
      <c r="B2203" s="35">
        <v>36342</v>
      </c>
      <c r="C2203" s="34">
        <v>5480.22</v>
      </c>
      <c r="D2203" s="200"/>
    </row>
    <row r="2204" spans="2:4" x14ac:dyDescent="0.35">
      <c r="B2204" s="35">
        <v>36343</v>
      </c>
      <c r="C2204" s="34">
        <v>5519.05</v>
      </c>
      <c r="D2204" s="200"/>
    </row>
    <row r="2205" spans="2:4" x14ac:dyDescent="0.35">
      <c r="B2205" s="35">
        <v>36346</v>
      </c>
      <c r="C2205" s="34">
        <v>5625.62</v>
      </c>
      <c r="D2205" s="200"/>
    </row>
    <row r="2206" spans="2:4" x14ac:dyDescent="0.35">
      <c r="B2206" s="35">
        <v>36347</v>
      </c>
      <c r="C2206" s="34">
        <v>5612.9</v>
      </c>
      <c r="D2206" s="200"/>
    </row>
    <row r="2207" spans="2:4" x14ac:dyDescent="0.35">
      <c r="B2207" s="35">
        <v>36348</v>
      </c>
      <c r="C2207" s="34">
        <v>5588.5</v>
      </c>
      <c r="D2207" s="200"/>
    </row>
    <row r="2208" spans="2:4" x14ac:dyDescent="0.35">
      <c r="B2208" s="35">
        <v>36349</v>
      </c>
      <c r="C2208" s="34">
        <v>5607.1</v>
      </c>
      <c r="D2208" s="200"/>
    </row>
    <row r="2209" spans="2:4" x14ac:dyDescent="0.35">
      <c r="B2209" s="35">
        <v>36350</v>
      </c>
      <c r="C2209" s="34">
        <v>5638.95</v>
      </c>
      <c r="D2209" s="200"/>
    </row>
    <row r="2210" spans="2:4" x14ac:dyDescent="0.35">
      <c r="B2210" s="35">
        <v>36353</v>
      </c>
      <c r="C2210" s="34">
        <v>5652.02</v>
      </c>
      <c r="D2210" s="200"/>
    </row>
    <row r="2211" spans="2:4" x14ac:dyDescent="0.35">
      <c r="B2211" s="35">
        <v>36354</v>
      </c>
      <c r="C2211" s="34">
        <v>5573.82</v>
      </c>
      <c r="D2211" s="200"/>
    </row>
    <row r="2212" spans="2:4" x14ac:dyDescent="0.35">
      <c r="B2212" s="35">
        <v>36355</v>
      </c>
      <c r="C2212" s="34">
        <v>5610.89</v>
      </c>
      <c r="D2212" s="200"/>
    </row>
    <row r="2213" spans="2:4" x14ac:dyDescent="0.35">
      <c r="B2213" s="35">
        <v>36356</v>
      </c>
      <c r="C2213" s="34">
        <v>5619.26</v>
      </c>
      <c r="D2213" s="200"/>
    </row>
    <row r="2214" spans="2:4" x14ac:dyDescent="0.35">
      <c r="B2214" s="35">
        <v>36357</v>
      </c>
      <c r="C2214" s="34">
        <v>5619.94</v>
      </c>
      <c r="D2214" s="200"/>
    </row>
    <row r="2215" spans="2:4" x14ac:dyDescent="0.35">
      <c r="B2215" s="35">
        <v>36360</v>
      </c>
      <c r="C2215" s="34">
        <v>5624.74</v>
      </c>
      <c r="D2215" s="200"/>
    </row>
    <row r="2216" spans="2:4" x14ac:dyDescent="0.35">
      <c r="B2216" s="35">
        <v>36361</v>
      </c>
      <c r="C2216" s="34">
        <v>5491.29</v>
      </c>
      <c r="D2216" s="200"/>
    </row>
    <row r="2217" spans="2:4" x14ac:dyDescent="0.35">
      <c r="B2217" s="35">
        <v>36362</v>
      </c>
      <c r="C2217" s="34">
        <v>5414.17</v>
      </c>
      <c r="D2217" s="200"/>
    </row>
    <row r="2218" spans="2:4" x14ac:dyDescent="0.35">
      <c r="B2218" s="35">
        <v>36363</v>
      </c>
      <c r="C2218" s="34">
        <v>5340.91</v>
      </c>
      <c r="D2218" s="200"/>
    </row>
    <row r="2219" spans="2:4" x14ac:dyDescent="0.35">
      <c r="B2219" s="35">
        <v>36364</v>
      </c>
      <c r="C2219" s="34">
        <v>5310.63</v>
      </c>
      <c r="D2219" s="200"/>
    </row>
    <row r="2220" spans="2:4" x14ac:dyDescent="0.35">
      <c r="B2220" s="35">
        <v>36367</v>
      </c>
      <c r="C2220" s="34">
        <v>5206.4399999999996</v>
      </c>
      <c r="D2220" s="200"/>
    </row>
    <row r="2221" spans="2:4" x14ac:dyDescent="0.35">
      <c r="B2221" s="35">
        <v>36368</v>
      </c>
      <c r="C2221" s="34">
        <v>5224.16</v>
      </c>
      <c r="D2221" s="200"/>
    </row>
    <row r="2222" spans="2:4" x14ac:dyDescent="0.35">
      <c r="B2222" s="35">
        <v>36369</v>
      </c>
      <c r="C2222" s="34">
        <v>5229.5600000000004</v>
      </c>
      <c r="D2222" s="200"/>
    </row>
    <row r="2223" spans="2:4" x14ac:dyDescent="0.35">
      <c r="B2223" s="35">
        <v>36370</v>
      </c>
      <c r="C2223" s="34">
        <v>5052.32</v>
      </c>
      <c r="D2223" s="200"/>
    </row>
    <row r="2224" spans="2:4" x14ac:dyDescent="0.35">
      <c r="B2224" s="35">
        <v>36371</v>
      </c>
      <c r="C2224" s="34">
        <v>5101.87</v>
      </c>
      <c r="D2224" s="200"/>
    </row>
    <row r="2225" spans="2:4" x14ac:dyDescent="0.35">
      <c r="B2225" s="35">
        <v>36374</v>
      </c>
      <c r="C2225" s="34">
        <v>5129.5</v>
      </c>
      <c r="D2225" s="200"/>
    </row>
    <row r="2226" spans="2:4" x14ac:dyDescent="0.35">
      <c r="B2226" s="35">
        <v>36375</v>
      </c>
      <c r="C2226" s="34">
        <v>5107.68</v>
      </c>
      <c r="D2226" s="200"/>
    </row>
    <row r="2227" spans="2:4" x14ac:dyDescent="0.35">
      <c r="B2227" s="35">
        <v>36376</v>
      </c>
      <c r="C2227" s="34">
        <v>5119.37</v>
      </c>
      <c r="D2227" s="200"/>
    </row>
    <row r="2228" spans="2:4" x14ac:dyDescent="0.35">
      <c r="B2228" s="35">
        <v>36377</v>
      </c>
      <c r="C2228" s="34">
        <v>4978.45</v>
      </c>
      <c r="D2228" s="200"/>
    </row>
    <row r="2229" spans="2:4" x14ac:dyDescent="0.35">
      <c r="B2229" s="35">
        <v>36378</v>
      </c>
      <c r="C2229" s="34">
        <v>5010.47</v>
      </c>
      <c r="D2229" s="200"/>
    </row>
    <row r="2230" spans="2:4" x14ac:dyDescent="0.35">
      <c r="B2230" s="35">
        <v>36381</v>
      </c>
      <c r="C2230" s="34">
        <v>5087.3</v>
      </c>
      <c r="D2230" s="200"/>
    </row>
    <row r="2231" spans="2:4" x14ac:dyDescent="0.35">
      <c r="B2231" s="35">
        <v>36382</v>
      </c>
      <c r="C2231" s="34">
        <v>5000.87</v>
      </c>
      <c r="D2231" s="200"/>
    </row>
    <row r="2232" spans="2:4" x14ac:dyDescent="0.35">
      <c r="B2232" s="35">
        <v>36383</v>
      </c>
      <c r="C2232" s="34">
        <v>5019.6899999999996</v>
      </c>
      <c r="D2232" s="200"/>
    </row>
    <row r="2233" spans="2:4" x14ac:dyDescent="0.35">
      <c r="B2233" s="35">
        <v>36384</v>
      </c>
      <c r="C2233" s="34">
        <v>5127.43</v>
      </c>
      <c r="D2233" s="200"/>
    </row>
    <row r="2234" spans="2:4" x14ac:dyDescent="0.35">
      <c r="B2234" s="35">
        <v>36385</v>
      </c>
      <c r="C2234" s="34">
        <v>5219.43</v>
      </c>
      <c r="D2234" s="200"/>
    </row>
    <row r="2235" spans="2:4" x14ac:dyDescent="0.35">
      <c r="B2235" s="35">
        <v>36388</v>
      </c>
      <c r="C2235" s="34">
        <v>5257.1</v>
      </c>
      <c r="D2235" s="200"/>
    </row>
    <row r="2236" spans="2:4" x14ac:dyDescent="0.35">
      <c r="B2236" s="35">
        <v>36389</v>
      </c>
      <c r="C2236" s="34">
        <v>5259.91</v>
      </c>
      <c r="D2236" s="200"/>
    </row>
    <row r="2237" spans="2:4" x14ac:dyDescent="0.35">
      <c r="B2237" s="35">
        <v>36390</v>
      </c>
      <c r="C2237" s="34">
        <v>5230.47</v>
      </c>
      <c r="D2237" s="200"/>
    </row>
    <row r="2238" spans="2:4" x14ac:dyDescent="0.35">
      <c r="B2238" s="35">
        <v>36391</v>
      </c>
      <c r="C2238" s="34">
        <v>5186.8500000000004</v>
      </c>
      <c r="D2238" s="200"/>
    </row>
    <row r="2239" spans="2:4" x14ac:dyDescent="0.35">
      <c r="B2239" s="35">
        <v>36392</v>
      </c>
      <c r="C2239" s="34">
        <v>5254.14</v>
      </c>
      <c r="D2239" s="200"/>
    </row>
    <row r="2240" spans="2:4" x14ac:dyDescent="0.35">
      <c r="B2240" s="35">
        <v>36395</v>
      </c>
      <c r="C2240" s="34">
        <v>5301.98</v>
      </c>
      <c r="D2240" s="200"/>
    </row>
    <row r="2241" spans="2:4" x14ac:dyDescent="0.35">
      <c r="B2241" s="35">
        <v>36396</v>
      </c>
      <c r="C2241" s="34">
        <v>5324.02</v>
      </c>
      <c r="D2241" s="200"/>
    </row>
    <row r="2242" spans="2:4" x14ac:dyDescent="0.35">
      <c r="B2242" s="35">
        <v>36397</v>
      </c>
      <c r="C2242" s="34">
        <v>5400.32</v>
      </c>
      <c r="D2242" s="200"/>
    </row>
    <row r="2243" spans="2:4" x14ac:dyDescent="0.35">
      <c r="B2243" s="35">
        <v>36398</v>
      </c>
      <c r="C2243" s="34">
        <v>5389.34</v>
      </c>
      <c r="D2243" s="200"/>
    </row>
    <row r="2244" spans="2:4" x14ac:dyDescent="0.35">
      <c r="B2244" s="35">
        <v>36399</v>
      </c>
      <c r="C2244" s="34">
        <v>5420.36</v>
      </c>
      <c r="D2244" s="200"/>
    </row>
    <row r="2245" spans="2:4" x14ac:dyDescent="0.35">
      <c r="B2245" s="35">
        <v>36402</v>
      </c>
      <c r="C2245" s="34">
        <v>5392.53</v>
      </c>
      <c r="D2245" s="200"/>
    </row>
    <row r="2246" spans="2:4" x14ac:dyDescent="0.35">
      <c r="B2246" s="35">
        <v>36403</v>
      </c>
      <c r="C2246" s="34">
        <v>5270.77</v>
      </c>
      <c r="D2246" s="200"/>
    </row>
    <row r="2247" spans="2:4" x14ac:dyDescent="0.35">
      <c r="B2247" s="35">
        <v>36404</v>
      </c>
      <c r="C2247" s="34">
        <v>5317.12</v>
      </c>
      <c r="D2247" s="200"/>
    </row>
    <row r="2248" spans="2:4" x14ac:dyDescent="0.35">
      <c r="B2248" s="35">
        <v>36405</v>
      </c>
      <c r="C2248" s="34">
        <v>5189.92</v>
      </c>
      <c r="D2248" s="200"/>
    </row>
    <row r="2249" spans="2:4" x14ac:dyDescent="0.35">
      <c r="B2249" s="35">
        <v>36406</v>
      </c>
      <c r="C2249" s="34">
        <v>5336.22</v>
      </c>
      <c r="D2249" s="200"/>
    </row>
    <row r="2250" spans="2:4" x14ac:dyDescent="0.35">
      <c r="B2250" s="35">
        <v>36409</v>
      </c>
      <c r="C2250" s="34">
        <v>5400.55</v>
      </c>
      <c r="D2250" s="200"/>
    </row>
    <row r="2251" spans="2:4" x14ac:dyDescent="0.35">
      <c r="B2251" s="35">
        <v>36410</v>
      </c>
      <c r="C2251" s="34">
        <v>5391.36</v>
      </c>
      <c r="D2251" s="200"/>
    </row>
    <row r="2252" spans="2:4" x14ac:dyDescent="0.35">
      <c r="B2252" s="35">
        <v>36411</v>
      </c>
      <c r="C2252" s="34">
        <v>5400.7</v>
      </c>
      <c r="D2252" s="200"/>
    </row>
    <row r="2253" spans="2:4" x14ac:dyDescent="0.35">
      <c r="B2253" s="35">
        <v>36412</v>
      </c>
      <c r="C2253" s="34">
        <v>5436.86</v>
      </c>
      <c r="D2253" s="200"/>
    </row>
    <row r="2254" spans="2:4" x14ac:dyDescent="0.35">
      <c r="B2254" s="35">
        <v>36413</v>
      </c>
      <c r="C2254" s="34">
        <v>5483.95</v>
      </c>
      <c r="D2254" s="200"/>
    </row>
    <row r="2255" spans="2:4" x14ac:dyDescent="0.35">
      <c r="B2255" s="35">
        <v>36416</v>
      </c>
      <c r="C2255" s="34">
        <v>5446.91</v>
      </c>
      <c r="D2255" s="200"/>
    </row>
    <row r="2256" spans="2:4" x14ac:dyDescent="0.35">
      <c r="B2256" s="35">
        <v>36417</v>
      </c>
      <c r="C2256" s="34">
        <v>5401.47</v>
      </c>
      <c r="D2256" s="200"/>
    </row>
    <row r="2257" spans="2:4" x14ac:dyDescent="0.35">
      <c r="B2257" s="35">
        <v>36418</v>
      </c>
      <c r="C2257" s="34">
        <v>5387.18</v>
      </c>
      <c r="D2257" s="200"/>
    </row>
    <row r="2258" spans="2:4" x14ac:dyDescent="0.35">
      <c r="B2258" s="35">
        <v>36419</v>
      </c>
      <c r="C2258" s="34">
        <v>5304.42</v>
      </c>
      <c r="D2258" s="200"/>
    </row>
    <row r="2259" spans="2:4" x14ac:dyDescent="0.35">
      <c r="B2259" s="35">
        <v>36420</v>
      </c>
      <c r="C2259" s="34">
        <v>5303.94</v>
      </c>
      <c r="D2259" s="200"/>
    </row>
    <row r="2260" spans="2:4" x14ac:dyDescent="0.35">
      <c r="B2260" s="35">
        <v>36423</v>
      </c>
      <c r="C2260" s="34">
        <v>5351.98</v>
      </c>
      <c r="D2260" s="200"/>
    </row>
    <row r="2261" spans="2:4" x14ac:dyDescent="0.35">
      <c r="B2261" s="35">
        <v>36424</v>
      </c>
      <c r="C2261" s="34">
        <v>5282.76</v>
      </c>
      <c r="D2261" s="200"/>
    </row>
    <row r="2262" spans="2:4" x14ac:dyDescent="0.35">
      <c r="B2262" s="35">
        <v>36425</v>
      </c>
      <c r="C2262" s="34">
        <v>5238.76</v>
      </c>
      <c r="D2262" s="200"/>
    </row>
    <row r="2263" spans="2:4" x14ac:dyDescent="0.35">
      <c r="B2263" s="35">
        <v>36426</v>
      </c>
      <c r="C2263" s="34">
        <v>5299.57</v>
      </c>
      <c r="D2263" s="200"/>
    </row>
    <row r="2264" spans="2:4" x14ac:dyDescent="0.35">
      <c r="B2264" s="35">
        <v>36427</v>
      </c>
      <c r="C2264" s="34">
        <v>5186.53</v>
      </c>
      <c r="D2264" s="200"/>
    </row>
    <row r="2265" spans="2:4" x14ac:dyDescent="0.35">
      <c r="B2265" s="35">
        <v>36430</v>
      </c>
      <c r="C2265" s="34">
        <v>5239.6400000000003</v>
      </c>
      <c r="D2265" s="200"/>
    </row>
    <row r="2266" spans="2:4" x14ac:dyDescent="0.35">
      <c r="B2266" s="35">
        <v>36431</v>
      </c>
      <c r="C2266" s="34">
        <v>5119.1000000000004</v>
      </c>
      <c r="D2266" s="200"/>
    </row>
    <row r="2267" spans="2:4" x14ac:dyDescent="0.35">
      <c r="B2267" s="35">
        <v>36432</v>
      </c>
      <c r="C2267" s="34">
        <v>5135.62</v>
      </c>
      <c r="D2267" s="200"/>
    </row>
    <row r="2268" spans="2:4" x14ac:dyDescent="0.35">
      <c r="B2268" s="35">
        <v>36433</v>
      </c>
      <c r="C2268" s="34">
        <v>5149.83</v>
      </c>
      <c r="D2268" s="200"/>
    </row>
    <row r="2269" spans="2:4" x14ac:dyDescent="0.35">
      <c r="B2269" s="35">
        <v>36434</v>
      </c>
      <c r="C2269" s="34">
        <v>5124.55</v>
      </c>
      <c r="D2269" s="200"/>
    </row>
    <row r="2270" spans="2:4" x14ac:dyDescent="0.35">
      <c r="B2270" s="35">
        <v>36437</v>
      </c>
      <c r="C2270" s="34">
        <v>5218.8599999999997</v>
      </c>
      <c r="D2270" s="200"/>
    </row>
    <row r="2271" spans="2:4" x14ac:dyDescent="0.35">
      <c r="B2271" s="35">
        <v>36438</v>
      </c>
      <c r="C2271" s="34">
        <v>5301.85</v>
      </c>
      <c r="D2271" s="200"/>
    </row>
    <row r="2272" spans="2:4" x14ac:dyDescent="0.35">
      <c r="B2272" s="35">
        <v>36439</v>
      </c>
      <c r="C2272" s="34">
        <v>5353.32</v>
      </c>
      <c r="D2272" s="200"/>
    </row>
    <row r="2273" spans="2:4" x14ac:dyDescent="0.35">
      <c r="B2273" s="35">
        <v>36440</v>
      </c>
      <c r="C2273" s="34">
        <v>5419.31</v>
      </c>
      <c r="D2273" s="200"/>
    </row>
    <row r="2274" spans="2:4" x14ac:dyDescent="0.35">
      <c r="B2274" s="35">
        <v>36441</v>
      </c>
      <c r="C2274" s="34">
        <v>5419.26</v>
      </c>
      <c r="D2274" s="200"/>
    </row>
    <row r="2275" spans="2:4" x14ac:dyDescent="0.35">
      <c r="B2275" s="35">
        <v>36444</v>
      </c>
      <c r="C2275" s="34">
        <v>5414.5</v>
      </c>
      <c r="D2275" s="200"/>
    </row>
    <row r="2276" spans="2:4" x14ac:dyDescent="0.35">
      <c r="B2276" s="35">
        <v>36445</v>
      </c>
      <c r="C2276" s="34">
        <v>5358.46</v>
      </c>
      <c r="D2276" s="200"/>
    </row>
    <row r="2277" spans="2:4" x14ac:dyDescent="0.35">
      <c r="B2277" s="35">
        <v>36446</v>
      </c>
      <c r="C2277" s="34">
        <v>5295.43</v>
      </c>
      <c r="D2277" s="200"/>
    </row>
    <row r="2278" spans="2:4" x14ac:dyDescent="0.35">
      <c r="B2278" s="35">
        <v>36447</v>
      </c>
      <c r="C2278" s="34">
        <v>5220.29</v>
      </c>
      <c r="D2278" s="200"/>
    </row>
    <row r="2279" spans="2:4" x14ac:dyDescent="0.35">
      <c r="B2279" s="35">
        <v>36448</v>
      </c>
      <c r="C2279" s="34">
        <v>5184.2299999999996</v>
      </c>
      <c r="D2279" s="200"/>
    </row>
    <row r="2280" spans="2:4" x14ac:dyDescent="0.35">
      <c r="B2280" s="35">
        <v>36451</v>
      </c>
      <c r="C2280" s="34">
        <v>5156.28</v>
      </c>
      <c r="D2280" s="200"/>
    </row>
    <row r="2281" spans="2:4" x14ac:dyDescent="0.35">
      <c r="B2281" s="35">
        <v>36452</v>
      </c>
      <c r="C2281" s="34">
        <v>5296.91</v>
      </c>
      <c r="D2281" s="200"/>
    </row>
    <row r="2282" spans="2:4" x14ac:dyDescent="0.35">
      <c r="B2282" s="35">
        <v>36453</v>
      </c>
      <c r="C2282" s="34">
        <v>5291.23</v>
      </c>
      <c r="D2282" s="200"/>
    </row>
    <row r="2283" spans="2:4" x14ac:dyDescent="0.35">
      <c r="B2283" s="35">
        <v>36454</v>
      </c>
      <c r="C2283" s="34">
        <v>5246.49</v>
      </c>
      <c r="D2283" s="200"/>
    </row>
    <row r="2284" spans="2:4" x14ac:dyDescent="0.35">
      <c r="B2284" s="35">
        <v>36455</v>
      </c>
      <c r="C2284" s="34">
        <v>5357.75</v>
      </c>
      <c r="D2284" s="200"/>
    </row>
    <row r="2285" spans="2:4" x14ac:dyDescent="0.35">
      <c r="B2285" s="35">
        <v>36458</v>
      </c>
      <c r="C2285" s="34">
        <v>5320.4</v>
      </c>
      <c r="D2285" s="200"/>
    </row>
    <row r="2286" spans="2:4" x14ac:dyDescent="0.35">
      <c r="B2286" s="35">
        <v>36459</v>
      </c>
      <c r="C2286" s="34">
        <v>5388.76</v>
      </c>
      <c r="D2286" s="200"/>
    </row>
    <row r="2287" spans="2:4" x14ac:dyDescent="0.35">
      <c r="B2287" s="35">
        <v>36460</v>
      </c>
      <c r="C2287" s="34">
        <v>5363.86</v>
      </c>
      <c r="D2287" s="200"/>
    </row>
    <row r="2288" spans="2:4" x14ac:dyDescent="0.35">
      <c r="B2288" s="35">
        <v>36461</v>
      </c>
      <c r="C2288" s="34">
        <v>5478.89</v>
      </c>
      <c r="D2288" s="200"/>
    </row>
    <row r="2289" spans="2:4" x14ac:dyDescent="0.35">
      <c r="B2289" s="35">
        <v>36462</v>
      </c>
      <c r="C2289" s="34">
        <v>5525.4</v>
      </c>
      <c r="D2289" s="200"/>
    </row>
    <row r="2290" spans="2:4" x14ac:dyDescent="0.35">
      <c r="B2290" s="35">
        <v>36465</v>
      </c>
      <c r="C2290" s="34">
        <v>5524.92</v>
      </c>
      <c r="D2290" s="200"/>
    </row>
    <row r="2291" spans="2:4" x14ac:dyDescent="0.35">
      <c r="B2291" s="35">
        <v>36466</v>
      </c>
      <c r="C2291" s="34">
        <v>5546.95</v>
      </c>
      <c r="D2291" s="200"/>
    </row>
    <row r="2292" spans="2:4" x14ac:dyDescent="0.35">
      <c r="B2292" s="35">
        <v>36467</v>
      </c>
      <c r="C2292" s="34">
        <v>5560.87</v>
      </c>
      <c r="D2292" s="200"/>
    </row>
    <row r="2293" spans="2:4" x14ac:dyDescent="0.35">
      <c r="B2293" s="35">
        <v>36468</v>
      </c>
      <c r="C2293" s="34">
        <v>5635.62</v>
      </c>
      <c r="D2293" s="200"/>
    </row>
    <row r="2294" spans="2:4" x14ac:dyDescent="0.35">
      <c r="B2294" s="35">
        <v>36469</v>
      </c>
      <c r="C2294" s="34">
        <v>5658.1</v>
      </c>
      <c r="D2294" s="200"/>
    </row>
    <row r="2295" spans="2:4" x14ac:dyDescent="0.35">
      <c r="B2295" s="35">
        <v>36472</v>
      </c>
      <c r="C2295" s="34">
        <v>5647.94</v>
      </c>
      <c r="D2295" s="200"/>
    </row>
    <row r="2296" spans="2:4" x14ac:dyDescent="0.35">
      <c r="B2296" s="35">
        <v>36473</v>
      </c>
      <c r="C2296" s="34">
        <v>5694.73</v>
      </c>
      <c r="D2296" s="200"/>
    </row>
    <row r="2297" spans="2:4" x14ac:dyDescent="0.35">
      <c r="B2297" s="35">
        <v>36474</v>
      </c>
      <c r="C2297" s="34">
        <v>5742.42</v>
      </c>
      <c r="D2297" s="200"/>
    </row>
    <row r="2298" spans="2:4" x14ac:dyDescent="0.35">
      <c r="B2298" s="35">
        <v>36475</v>
      </c>
      <c r="C2298" s="34">
        <v>5802.36</v>
      </c>
      <c r="D2298" s="200"/>
    </row>
    <row r="2299" spans="2:4" x14ac:dyDescent="0.35">
      <c r="B2299" s="35">
        <v>36476</v>
      </c>
      <c r="C2299" s="34">
        <v>5791.05</v>
      </c>
      <c r="D2299" s="200"/>
    </row>
    <row r="2300" spans="2:4" x14ac:dyDescent="0.35">
      <c r="B2300" s="35">
        <v>36479</v>
      </c>
      <c r="C2300" s="34">
        <v>5859.29</v>
      </c>
      <c r="D2300" s="200"/>
    </row>
    <row r="2301" spans="2:4" x14ac:dyDescent="0.35">
      <c r="B2301" s="35">
        <v>36480</v>
      </c>
      <c r="C2301" s="34">
        <v>5909.52</v>
      </c>
      <c r="D2301" s="200"/>
    </row>
    <row r="2302" spans="2:4" x14ac:dyDescent="0.35">
      <c r="B2302" s="35">
        <v>36481</v>
      </c>
      <c r="C2302" s="34">
        <v>5870.17</v>
      </c>
      <c r="D2302" s="200"/>
    </row>
    <row r="2303" spans="2:4" x14ac:dyDescent="0.35">
      <c r="B2303" s="35">
        <v>36482</v>
      </c>
      <c r="C2303" s="34">
        <v>5950.05</v>
      </c>
      <c r="D2303" s="200"/>
    </row>
    <row r="2304" spans="2:4" x14ac:dyDescent="0.35">
      <c r="B2304" s="35">
        <v>36483</v>
      </c>
      <c r="C2304" s="34">
        <v>5955.97</v>
      </c>
      <c r="D2304" s="200"/>
    </row>
    <row r="2305" spans="2:4" x14ac:dyDescent="0.35">
      <c r="B2305" s="35">
        <v>36486</v>
      </c>
      <c r="C2305" s="34">
        <v>5819.89</v>
      </c>
      <c r="D2305" s="200"/>
    </row>
    <row r="2306" spans="2:4" x14ac:dyDescent="0.35">
      <c r="B2306" s="35">
        <v>36487</v>
      </c>
      <c r="C2306" s="34">
        <v>5814.74</v>
      </c>
      <c r="D2306" s="200"/>
    </row>
    <row r="2307" spans="2:4" x14ac:dyDescent="0.35">
      <c r="B2307" s="35">
        <v>36488</v>
      </c>
      <c r="C2307" s="34">
        <v>5818.73</v>
      </c>
      <c r="D2307" s="200"/>
    </row>
    <row r="2308" spans="2:4" x14ac:dyDescent="0.35">
      <c r="B2308" s="35">
        <v>36489</v>
      </c>
      <c r="C2308" s="34">
        <v>5961.45</v>
      </c>
      <c r="D2308" s="200"/>
    </row>
    <row r="2309" spans="2:4" x14ac:dyDescent="0.35">
      <c r="B2309" s="35">
        <v>36490</v>
      </c>
      <c r="C2309" s="34">
        <v>5958.07</v>
      </c>
      <c r="D2309" s="200"/>
    </row>
    <row r="2310" spans="2:4" x14ac:dyDescent="0.35">
      <c r="B2310" s="35">
        <v>36493</v>
      </c>
      <c r="C2310" s="34">
        <v>5888.88</v>
      </c>
      <c r="D2310" s="200"/>
    </row>
    <row r="2311" spans="2:4" x14ac:dyDescent="0.35">
      <c r="B2311" s="35">
        <v>36494</v>
      </c>
      <c r="C2311" s="34">
        <v>5896.04</v>
      </c>
      <c r="D2311" s="200"/>
    </row>
    <row r="2312" spans="2:4" x14ac:dyDescent="0.35">
      <c r="B2312" s="35">
        <v>36495</v>
      </c>
      <c r="C2312" s="34">
        <v>5933.84</v>
      </c>
      <c r="D2312" s="200"/>
    </row>
    <row r="2313" spans="2:4" x14ac:dyDescent="0.35">
      <c r="B2313" s="35">
        <v>36496</v>
      </c>
      <c r="C2313" s="34">
        <v>5937.2</v>
      </c>
      <c r="D2313" s="200"/>
    </row>
    <row r="2314" spans="2:4" x14ac:dyDescent="0.35">
      <c r="B2314" s="35">
        <v>36497</v>
      </c>
      <c r="C2314" s="34">
        <v>6119.17</v>
      </c>
      <c r="D2314" s="200"/>
    </row>
    <row r="2315" spans="2:4" x14ac:dyDescent="0.35">
      <c r="B2315" s="35">
        <v>36500</v>
      </c>
      <c r="C2315" s="34">
        <v>6142.19</v>
      </c>
      <c r="D2315" s="200"/>
    </row>
    <row r="2316" spans="2:4" x14ac:dyDescent="0.35">
      <c r="B2316" s="35">
        <v>36501</v>
      </c>
      <c r="C2316" s="34">
        <v>6158.77</v>
      </c>
      <c r="D2316" s="200"/>
    </row>
    <row r="2317" spans="2:4" x14ac:dyDescent="0.35">
      <c r="B2317" s="35">
        <v>36502</v>
      </c>
      <c r="C2317" s="34">
        <v>6115.59</v>
      </c>
      <c r="D2317" s="200"/>
    </row>
    <row r="2318" spans="2:4" x14ac:dyDescent="0.35">
      <c r="B2318" s="35">
        <v>36503</v>
      </c>
      <c r="C2318" s="34">
        <v>6118.06</v>
      </c>
      <c r="D2318" s="200"/>
    </row>
    <row r="2319" spans="2:4" x14ac:dyDescent="0.35">
      <c r="B2319" s="35">
        <v>36504</v>
      </c>
      <c r="C2319" s="34">
        <v>6097.9</v>
      </c>
      <c r="D2319" s="200"/>
    </row>
    <row r="2320" spans="2:4" x14ac:dyDescent="0.35">
      <c r="B2320" s="35">
        <v>36507</v>
      </c>
      <c r="C2320" s="34">
        <v>6127.2</v>
      </c>
      <c r="D2320" s="200"/>
    </row>
    <row r="2321" spans="2:4" x14ac:dyDescent="0.35">
      <c r="B2321" s="35">
        <v>36508</v>
      </c>
      <c r="C2321" s="34">
        <v>6187.99</v>
      </c>
      <c r="D2321" s="200"/>
    </row>
    <row r="2322" spans="2:4" x14ac:dyDescent="0.35">
      <c r="B2322" s="35">
        <v>36509</v>
      </c>
      <c r="C2322" s="34">
        <v>6232.75</v>
      </c>
      <c r="D2322" s="200"/>
    </row>
    <row r="2323" spans="2:4" x14ac:dyDescent="0.35">
      <c r="B2323" s="35">
        <v>36510</v>
      </c>
      <c r="C2323" s="34">
        <v>6341.29</v>
      </c>
      <c r="D2323" s="200"/>
    </row>
    <row r="2324" spans="2:4" x14ac:dyDescent="0.35">
      <c r="B2324" s="35">
        <v>36511</v>
      </c>
      <c r="C2324" s="34">
        <v>6353.9</v>
      </c>
      <c r="D2324" s="200"/>
    </row>
    <row r="2325" spans="2:4" x14ac:dyDescent="0.35">
      <c r="B2325" s="35">
        <v>36514</v>
      </c>
      <c r="C2325" s="34">
        <v>6378.66</v>
      </c>
      <c r="D2325" s="200"/>
    </row>
    <row r="2326" spans="2:4" x14ac:dyDescent="0.35">
      <c r="B2326" s="35">
        <v>36515</v>
      </c>
      <c r="C2326" s="34">
        <v>6418.68</v>
      </c>
      <c r="D2326" s="200"/>
    </row>
    <row r="2327" spans="2:4" x14ac:dyDescent="0.35">
      <c r="B2327" s="35">
        <v>36516</v>
      </c>
      <c r="C2327" s="34">
        <v>6492.53</v>
      </c>
      <c r="D2327" s="200"/>
    </row>
    <row r="2328" spans="2:4" x14ac:dyDescent="0.35">
      <c r="B2328" s="35">
        <v>36517</v>
      </c>
      <c r="C2328" s="34">
        <v>6782.39</v>
      </c>
      <c r="D2328" s="200"/>
    </row>
    <row r="2329" spans="2:4" x14ac:dyDescent="0.35">
      <c r="B2329" s="35">
        <v>36521</v>
      </c>
      <c r="C2329" s="34">
        <v>6837.41</v>
      </c>
      <c r="D2329" s="200"/>
    </row>
    <row r="2330" spans="2:4" x14ac:dyDescent="0.35">
      <c r="B2330" s="35">
        <v>36522</v>
      </c>
      <c r="C2330" s="34">
        <v>6861.54</v>
      </c>
      <c r="D2330" s="200"/>
    </row>
    <row r="2331" spans="2:4" x14ac:dyDescent="0.35">
      <c r="B2331" s="35">
        <v>36523</v>
      </c>
      <c r="C2331" s="34">
        <v>6859.58</v>
      </c>
      <c r="D2331" s="200"/>
    </row>
    <row r="2332" spans="2:4" x14ac:dyDescent="0.35">
      <c r="B2332" s="35">
        <v>36524</v>
      </c>
      <c r="C2332" s="34">
        <v>6958.14</v>
      </c>
      <c r="D2332" s="200"/>
    </row>
    <row r="2333" spans="2:4" x14ac:dyDescent="0.35">
      <c r="B2333" s="35">
        <v>36528</v>
      </c>
      <c r="C2333" s="34">
        <v>6750.76</v>
      </c>
      <c r="D2333" s="200"/>
    </row>
    <row r="2334" spans="2:4" x14ac:dyDescent="0.35">
      <c r="B2334" s="35">
        <v>36529</v>
      </c>
      <c r="C2334" s="34">
        <v>6586.95</v>
      </c>
      <c r="D2334" s="200"/>
    </row>
    <row r="2335" spans="2:4" x14ac:dyDescent="0.35">
      <c r="B2335" s="35">
        <v>36530</v>
      </c>
      <c r="C2335" s="34">
        <v>6502.07</v>
      </c>
      <c r="D2335" s="200"/>
    </row>
    <row r="2336" spans="2:4" x14ac:dyDescent="0.35">
      <c r="B2336" s="35">
        <v>36531</v>
      </c>
      <c r="C2336" s="34">
        <v>6474.92</v>
      </c>
      <c r="D2336" s="200"/>
    </row>
    <row r="2337" spans="2:4" x14ac:dyDescent="0.35">
      <c r="B2337" s="35">
        <v>36532</v>
      </c>
      <c r="C2337" s="34">
        <v>6780.96</v>
      </c>
      <c r="D2337" s="200"/>
    </row>
    <row r="2338" spans="2:4" x14ac:dyDescent="0.35">
      <c r="B2338" s="35">
        <v>36535</v>
      </c>
      <c r="C2338" s="34">
        <v>6925.52</v>
      </c>
      <c r="D2338" s="200"/>
    </row>
    <row r="2339" spans="2:4" x14ac:dyDescent="0.35">
      <c r="B2339" s="35">
        <v>36536</v>
      </c>
      <c r="C2339" s="34">
        <v>6891.25</v>
      </c>
      <c r="D2339" s="200"/>
    </row>
    <row r="2340" spans="2:4" x14ac:dyDescent="0.35">
      <c r="B2340" s="35">
        <v>36537</v>
      </c>
      <c r="C2340" s="34">
        <v>6912.81</v>
      </c>
      <c r="D2340" s="200"/>
    </row>
    <row r="2341" spans="2:4" x14ac:dyDescent="0.35">
      <c r="B2341" s="35">
        <v>36538</v>
      </c>
      <c r="C2341" s="34">
        <v>6955.98</v>
      </c>
      <c r="D2341" s="200"/>
    </row>
    <row r="2342" spans="2:4" x14ac:dyDescent="0.35">
      <c r="B2342" s="35">
        <v>36539</v>
      </c>
      <c r="C2342" s="34">
        <v>7173.22</v>
      </c>
      <c r="D2342" s="200"/>
    </row>
    <row r="2343" spans="2:4" x14ac:dyDescent="0.35">
      <c r="B2343" s="35">
        <v>36542</v>
      </c>
      <c r="C2343" s="34">
        <v>7258.9</v>
      </c>
      <c r="D2343" s="200"/>
    </row>
    <row r="2344" spans="2:4" x14ac:dyDescent="0.35">
      <c r="B2344" s="35">
        <v>36543</v>
      </c>
      <c r="C2344" s="34">
        <v>7072.12</v>
      </c>
      <c r="D2344" s="200"/>
    </row>
    <row r="2345" spans="2:4" x14ac:dyDescent="0.35">
      <c r="B2345" s="35">
        <v>36544</v>
      </c>
      <c r="C2345" s="34">
        <v>7091.04</v>
      </c>
      <c r="D2345" s="200"/>
    </row>
    <row r="2346" spans="2:4" x14ac:dyDescent="0.35">
      <c r="B2346" s="35">
        <v>36545</v>
      </c>
      <c r="C2346" s="34">
        <v>7112.66</v>
      </c>
      <c r="D2346" s="200"/>
    </row>
    <row r="2347" spans="2:4" x14ac:dyDescent="0.35">
      <c r="B2347" s="35">
        <v>36546</v>
      </c>
      <c r="C2347" s="34">
        <v>6992.75</v>
      </c>
      <c r="D2347" s="200"/>
    </row>
    <row r="2348" spans="2:4" x14ac:dyDescent="0.35">
      <c r="B2348" s="35">
        <v>36549</v>
      </c>
      <c r="C2348" s="34">
        <v>6931.99</v>
      </c>
      <c r="D2348" s="200"/>
    </row>
    <row r="2349" spans="2:4" x14ac:dyDescent="0.35">
      <c r="B2349" s="35">
        <v>36550</v>
      </c>
      <c r="C2349" s="34">
        <v>6809.64</v>
      </c>
      <c r="D2349" s="200"/>
    </row>
    <row r="2350" spans="2:4" x14ac:dyDescent="0.35">
      <c r="B2350" s="35">
        <v>36551</v>
      </c>
      <c r="C2350" s="34">
        <v>6969.37</v>
      </c>
      <c r="D2350" s="200"/>
    </row>
    <row r="2351" spans="2:4" x14ac:dyDescent="0.35">
      <c r="B2351" s="35">
        <v>36552</v>
      </c>
      <c r="C2351" s="34">
        <v>7126.13</v>
      </c>
      <c r="D2351" s="200"/>
    </row>
    <row r="2352" spans="2:4" x14ac:dyDescent="0.35">
      <c r="B2352" s="35">
        <v>36553</v>
      </c>
      <c r="C2352" s="34">
        <v>7066.6</v>
      </c>
      <c r="D2352" s="200"/>
    </row>
    <row r="2353" spans="2:4" x14ac:dyDescent="0.35">
      <c r="B2353" s="35">
        <v>36556</v>
      </c>
      <c r="C2353" s="34">
        <v>6835.6</v>
      </c>
      <c r="D2353" s="200"/>
    </row>
    <row r="2354" spans="2:4" x14ac:dyDescent="0.35">
      <c r="B2354" s="35">
        <v>36557</v>
      </c>
      <c r="C2354" s="34">
        <v>7050.46</v>
      </c>
      <c r="D2354" s="200"/>
    </row>
    <row r="2355" spans="2:4" x14ac:dyDescent="0.35">
      <c r="B2355" s="35">
        <v>36558</v>
      </c>
      <c r="C2355" s="34">
        <v>7171.95</v>
      </c>
      <c r="D2355" s="200"/>
    </row>
    <row r="2356" spans="2:4" x14ac:dyDescent="0.35">
      <c r="B2356" s="35">
        <v>36559</v>
      </c>
      <c r="C2356" s="34">
        <v>7354.26</v>
      </c>
      <c r="D2356" s="200"/>
    </row>
    <row r="2357" spans="2:4" x14ac:dyDescent="0.35">
      <c r="B2357" s="35">
        <v>36560</v>
      </c>
      <c r="C2357" s="34">
        <v>7444.61</v>
      </c>
      <c r="D2357" s="200"/>
    </row>
    <row r="2358" spans="2:4" x14ac:dyDescent="0.35">
      <c r="B2358" s="35">
        <v>36563</v>
      </c>
      <c r="C2358" s="34">
        <v>7296.32</v>
      </c>
      <c r="D2358" s="200"/>
    </row>
    <row r="2359" spans="2:4" x14ac:dyDescent="0.35">
      <c r="B2359" s="35">
        <v>36564</v>
      </c>
      <c r="C2359" s="34">
        <v>7549.88</v>
      </c>
      <c r="D2359" s="200"/>
    </row>
    <row r="2360" spans="2:4" x14ac:dyDescent="0.35">
      <c r="B2360" s="35">
        <v>36565</v>
      </c>
      <c r="C2360" s="34">
        <v>7629.11</v>
      </c>
      <c r="D2360" s="200"/>
    </row>
    <row r="2361" spans="2:4" x14ac:dyDescent="0.35">
      <c r="B2361" s="35">
        <v>36566</v>
      </c>
      <c r="C2361" s="34">
        <v>7709.27</v>
      </c>
      <c r="D2361" s="200"/>
    </row>
    <row r="2362" spans="2:4" x14ac:dyDescent="0.35">
      <c r="B2362" s="35">
        <v>36567</v>
      </c>
      <c r="C2362" s="34">
        <v>7611.55</v>
      </c>
      <c r="D2362" s="200"/>
    </row>
    <row r="2363" spans="2:4" x14ac:dyDescent="0.35">
      <c r="B2363" s="35">
        <v>36570</v>
      </c>
      <c r="C2363" s="34">
        <v>7644.8</v>
      </c>
      <c r="D2363" s="200"/>
    </row>
    <row r="2364" spans="2:4" x14ac:dyDescent="0.35">
      <c r="B2364" s="35">
        <v>36571</v>
      </c>
      <c r="C2364" s="34">
        <v>7396.13</v>
      </c>
      <c r="D2364" s="200"/>
    </row>
    <row r="2365" spans="2:4" x14ac:dyDescent="0.35">
      <c r="B2365" s="35">
        <v>36572</v>
      </c>
      <c r="C2365" s="34">
        <v>7490.32</v>
      </c>
      <c r="D2365" s="200"/>
    </row>
    <row r="2366" spans="2:4" x14ac:dyDescent="0.35">
      <c r="B2366" s="35">
        <v>36573</v>
      </c>
      <c r="C2366" s="34">
        <v>7580.53</v>
      </c>
      <c r="D2366" s="200"/>
    </row>
    <row r="2367" spans="2:4" x14ac:dyDescent="0.35">
      <c r="B2367" s="35">
        <v>36574</v>
      </c>
      <c r="C2367" s="34">
        <v>7573.78</v>
      </c>
      <c r="D2367" s="200"/>
    </row>
    <row r="2368" spans="2:4" x14ac:dyDescent="0.35">
      <c r="B2368" s="35">
        <v>36577</v>
      </c>
      <c r="C2368" s="34">
        <v>7590.53</v>
      </c>
      <c r="D2368" s="200"/>
    </row>
    <row r="2369" spans="2:4" x14ac:dyDescent="0.35">
      <c r="B2369" s="35">
        <v>36578</v>
      </c>
      <c r="C2369" s="34">
        <v>7607.94</v>
      </c>
      <c r="D2369" s="200"/>
    </row>
    <row r="2370" spans="2:4" x14ac:dyDescent="0.35">
      <c r="B2370" s="35">
        <v>36579</v>
      </c>
      <c r="C2370" s="34">
        <v>7698.97</v>
      </c>
      <c r="D2370" s="200"/>
    </row>
    <row r="2371" spans="2:4" x14ac:dyDescent="0.35">
      <c r="B2371" s="35">
        <v>36580</v>
      </c>
      <c r="C2371" s="34">
        <v>7640.53</v>
      </c>
      <c r="D2371" s="200"/>
    </row>
    <row r="2372" spans="2:4" x14ac:dyDescent="0.35">
      <c r="B2372" s="35">
        <v>36581</v>
      </c>
      <c r="C2372" s="34">
        <v>7738.68</v>
      </c>
      <c r="D2372" s="200"/>
    </row>
    <row r="2373" spans="2:4" x14ac:dyDescent="0.35">
      <c r="B2373" s="35">
        <v>36584</v>
      </c>
      <c r="C2373" s="34">
        <v>7587.13</v>
      </c>
      <c r="D2373" s="200"/>
    </row>
    <row r="2374" spans="2:4" x14ac:dyDescent="0.35">
      <c r="B2374" s="35">
        <v>36585</v>
      </c>
      <c r="C2374" s="34">
        <v>7644.55</v>
      </c>
      <c r="D2374" s="200"/>
    </row>
    <row r="2375" spans="2:4" x14ac:dyDescent="0.35">
      <c r="B2375" s="35">
        <v>36586</v>
      </c>
      <c r="C2375" s="34">
        <v>7727.93</v>
      </c>
      <c r="D2375" s="200"/>
    </row>
    <row r="2376" spans="2:4" x14ac:dyDescent="0.35">
      <c r="B2376" s="35">
        <v>36587</v>
      </c>
      <c r="C2376" s="34">
        <v>7945.77</v>
      </c>
      <c r="D2376" s="200"/>
    </row>
    <row r="2377" spans="2:4" x14ac:dyDescent="0.35">
      <c r="B2377" s="35">
        <v>36588</v>
      </c>
      <c r="C2377" s="34">
        <v>7960.03</v>
      </c>
      <c r="D2377" s="200"/>
    </row>
    <row r="2378" spans="2:4" x14ac:dyDescent="0.35">
      <c r="B2378" s="35">
        <v>36591</v>
      </c>
      <c r="C2378" s="34">
        <v>7975.78</v>
      </c>
      <c r="D2378" s="200"/>
    </row>
    <row r="2379" spans="2:4" x14ac:dyDescent="0.35">
      <c r="B2379" s="35">
        <v>36592</v>
      </c>
      <c r="C2379" s="34">
        <v>8064.97</v>
      </c>
      <c r="D2379" s="200"/>
    </row>
    <row r="2380" spans="2:4" x14ac:dyDescent="0.35">
      <c r="B2380" s="35">
        <v>36593</v>
      </c>
      <c r="C2380" s="34">
        <v>7987</v>
      </c>
      <c r="D2380" s="200"/>
    </row>
    <row r="2381" spans="2:4" x14ac:dyDescent="0.35">
      <c r="B2381" s="35">
        <v>36594</v>
      </c>
      <c r="C2381" s="34">
        <v>7949.15</v>
      </c>
      <c r="D2381" s="200"/>
    </row>
    <row r="2382" spans="2:4" x14ac:dyDescent="0.35">
      <c r="B2382" s="35">
        <v>36595</v>
      </c>
      <c r="C2382" s="34">
        <v>7975.95</v>
      </c>
      <c r="D2382" s="200"/>
    </row>
    <row r="2383" spans="2:4" x14ac:dyDescent="0.35">
      <c r="B2383" s="35">
        <v>36598</v>
      </c>
      <c r="C2383" s="34">
        <v>7693.85</v>
      </c>
      <c r="D2383" s="200"/>
    </row>
    <row r="2384" spans="2:4" x14ac:dyDescent="0.35">
      <c r="B2384" s="35">
        <v>36599</v>
      </c>
      <c r="C2384" s="34">
        <v>7650.05</v>
      </c>
      <c r="D2384" s="200"/>
    </row>
    <row r="2385" spans="2:4" x14ac:dyDescent="0.35">
      <c r="B2385" s="35">
        <v>36600</v>
      </c>
      <c r="C2385" s="34">
        <v>7414.46</v>
      </c>
      <c r="D2385" s="200"/>
    </row>
    <row r="2386" spans="2:4" x14ac:dyDescent="0.35">
      <c r="B2386" s="35">
        <v>36601</v>
      </c>
      <c r="C2386" s="34">
        <v>7583.96</v>
      </c>
      <c r="D2386" s="200"/>
    </row>
    <row r="2387" spans="2:4" x14ac:dyDescent="0.35">
      <c r="B2387" s="35">
        <v>36602</v>
      </c>
      <c r="C2387" s="34">
        <v>7710.92</v>
      </c>
      <c r="D2387" s="200"/>
    </row>
    <row r="2388" spans="2:4" x14ac:dyDescent="0.35">
      <c r="B2388" s="35">
        <v>36605</v>
      </c>
      <c r="C2388" s="34">
        <v>7872.38</v>
      </c>
      <c r="D2388" s="200"/>
    </row>
    <row r="2389" spans="2:4" x14ac:dyDescent="0.35">
      <c r="B2389" s="35">
        <v>36606</v>
      </c>
      <c r="C2389" s="34">
        <v>7807.93</v>
      </c>
      <c r="D2389" s="200"/>
    </row>
    <row r="2390" spans="2:4" x14ac:dyDescent="0.35">
      <c r="B2390" s="35">
        <v>36607</v>
      </c>
      <c r="C2390" s="34">
        <v>7798.62</v>
      </c>
      <c r="D2390" s="200"/>
    </row>
    <row r="2391" spans="2:4" x14ac:dyDescent="0.35">
      <c r="B2391" s="35">
        <v>36608</v>
      </c>
      <c r="C2391" s="34">
        <v>7694.78</v>
      </c>
      <c r="D2391" s="200"/>
    </row>
    <row r="2392" spans="2:4" x14ac:dyDescent="0.35">
      <c r="B2392" s="35">
        <v>36609</v>
      </c>
      <c r="C2392" s="34">
        <v>7932.42</v>
      </c>
      <c r="D2392" s="200"/>
    </row>
    <row r="2393" spans="2:4" x14ac:dyDescent="0.35">
      <c r="B2393" s="35">
        <v>36612</v>
      </c>
      <c r="C2393" s="34">
        <v>7892.49</v>
      </c>
      <c r="D2393" s="200"/>
    </row>
    <row r="2394" spans="2:4" x14ac:dyDescent="0.35">
      <c r="B2394" s="35">
        <v>36613</v>
      </c>
      <c r="C2394" s="34">
        <v>7931.93</v>
      </c>
      <c r="D2394" s="200"/>
    </row>
    <row r="2395" spans="2:4" x14ac:dyDescent="0.35">
      <c r="B2395" s="35">
        <v>36614</v>
      </c>
      <c r="C2395" s="34">
        <v>7864.76</v>
      </c>
      <c r="D2395" s="200"/>
    </row>
    <row r="2396" spans="2:4" x14ac:dyDescent="0.35">
      <c r="B2396" s="35">
        <v>36615</v>
      </c>
      <c r="C2396" s="34">
        <v>7644.89</v>
      </c>
      <c r="D2396" s="200"/>
    </row>
    <row r="2397" spans="2:4" x14ac:dyDescent="0.35">
      <c r="B2397" s="35">
        <v>36616</v>
      </c>
      <c r="C2397" s="34">
        <v>7599.39</v>
      </c>
      <c r="D2397" s="200"/>
    </row>
    <row r="2398" spans="2:4" x14ac:dyDescent="0.35">
      <c r="B2398" s="35">
        <v>36619</v>
      </c>
      <c r="C2398" s="34">
        <v>7429.22</v>
      </c>
      <c r="D2398" s="200"/>
    </row>
    <row r="2399" spans="2:4" x14ac:dyDescent="0.35">
      <c r="B2399" s="35">
        <v>36620</v>
      </c>
      <c r="C2399" s="34">
        <v>7522.8</v>
      </c>
      <c r="D2399" s="200"/>
    </row>
    <row r="2400" spans="2:4" x14ac:dyDescent="0.35">
      <c r="B2400" s="35">
        <v>36621</v>
      </c>
      <c r="C2400" s="34">
        <v>7330.77</v>
      </c>
      <c r="D2400" s="200"/>
    </row>
    <row r="2401" spans="2:4" x14ac:dyDescent="0.35">
      <c r="B2401" s="35">
        <v>36622</v>
      </c>
      <c r="C2401" s="34">
        <v>7446.21</v>
      </c>
      <c r="D2401" s="200"/>
    </row>
    <row r="2402" spans="2:4" x14ac:dyDescent="0.35">
      <c r="B2402" s="35">
        <v>36623</v>
      </c>
      <c r="C2402" s="34">
        <v>7522.2</v>
      </c>
      <c r="D2402" s="200"/>
    </row>
    <row r="2403" spans="2:4" x14ac:dyDescent="0.35">
      <c r="B2403" s="35">
        <v>36626</v>
      </c>
      <c r="C2403" s="34">
        <v>7516.95</v>
      </c>
      <c r="D2403" s="200"/>
    </row>
    <row r="2404" spans="2:4" x14ac:dyDescent="0.35">
      <c r="B2404" s="35">
        <v>36627</v>
      </c>
      <c r="C2404" s="34">
        <v>7442.66</v>
      </c>
      <c r="D2404" s="200"/>
    </row>
    <row r="2405" spans="2:4" x14ac:dyDescent="0.35">
      <c r="B2405" s="35">
        <v>36628</v>
      </c>
      <c r="C2405" s="34">
        <v>7443.07</v>
      </c>
      <c r="D2405" s="200"/>
    </row>
    <row r="2406" spans="2:4" x14ac:dyDescent="0.35">
      <c r="B2406" s="35">
        <v>36629</v>
      </c>
      <c r="C2406" s="34">
        <v>7449.06</v>
      </c>
      <c r="D2406" s="200"/>
    </row>
    <row r="2407" spans="2:4" x14ac:dyDescent="0.35">
      <c r="B2407" s="35">
        <v>36630</v>
      </c>
      <c r="C2407" s="34">
        <v>7214.83</v>
      </c>
      <c r="D2407" s="200"/>
    </row>
    <row r="2408" spans="2:4" x14ac:dyDescent="0.35">
      <c r="B2408" s="35">
        <v>36633</v>
      </c>
      <c r="C2408" s="34">
        <v>7187.14</v>
      </c>
      <c r="D2408" s="200"/>
    </row>
    <row r="2409" spans="2:4" x14ac:dyDescent="0.35">
      <c r="B2409" s="35">
        <v>36634</v>
      </c>
      <c r="C2409" s="34">
        <v>7196.49</v>
      </c>
      <c r="D2409" s="200"/>
    </row>
    <row r="2410" spans="2:4" x14ac:dyDescent="0.35">
      <c r="B2410" s="35">
        <v>36635</v>
      </c>
      <c r="C2410" s="34">
        <v>7216.71</v>
      </c>
      <c r="D2410" s="200"/>
    </row>
    <row r="2411" spans="2:4" x14ac:dyDescent="0.35">
      <c r="B2411" s="35">
        <v>36636</v>
      </c>
      <c r="C2411" s="34">
        <v>7157.95</v>
      </c>
      <c r="D2411" s="200"/>
    </row>
    <row r="2412" spans="2:4" x14ac:dyDescent="0.35">
      <c r="B2412" s="35">
        <v>36641</v>
      </c>
      <c r="C2412" s="34">
        <v>7280.51</v>
      </c>
      <c r="D2412" s="200"/>
    </row>
    <row r="2413" spans="2:4" x14ac:dyDescent="0.35">
      <c r="B2413" s="35">
        <v>36642</v>
      </c>
      <c r="C2413" s="34">
        <v>7388.55</v>
      </c>
      <c r="D2413" s="200"/>
    </row>
    <row r="2414" spans="2:4" x14ac:dyDescent="0.35">
      <c r="B2414" s="35">
        <v>36643</v>
      </c>
      <c r="C2414" s="34">
        <v>7221.74</v>
      </c>
      <c r="D2414" s="200"/>
    </row>
    <row r="2415" spans="2:4" x14ac:dyDescent="0.35">
      <c r="B2415" s="35">
        <v>36644</v>
      </c>
      <c r="C2415" s="34">
        <v>7414.68</v>
      </c>
      <c r="D2415" s="200"/>
    </row>
    <row r="2416" spans="2:4" x14ac:dyDescent="0.35">
      <c r="B2416" s="35">
        <v>36648</v>
      </c>
      <c r="C2416" s="34">
        <v>7555.92</v>
      </c>
      <c r="D2416" s="200"/>
    </row>
    <row r="2417" spans="2:4" x14ac:dyDescent="0.35">
      <c r="B2417" s="35">
        <v>36649</v>
      </c>
      <c r="C2417" s="34">
        <v>7376.93</v>
      </c>
      <c r="D2417" s="200"/>
    </row>
    <row r="2418" spans="2:4" x14ac:dyDescent="0.35">
      <c r="B2418" s="35">
        <v>36650</v>
      </c>
      <c r="C2418" s="34">
        <v>7386.71</v>
      </c>
      <c r="D2418" s="200"/>
    </row>
    <row r="2419" spans="2:4" x14ac:dyDescent="0.35">
      <c r="B2419" s="35">
        <v>36651</v>
      </c>
      <c r="C2419" s="34">
        <v>7530.82</v>
      </c>
      <c r="D2419" s="200"/>
    </row>
    <row r="2420" spans="2:4" x14ac:dyDescent="0.35">
      <c r="B2420" s="35">
        <v>36654</v>
      </c>
      <c r="C2420" s="34">
        <v>7408.09</v>
      </c>
      <c r="D2420" s="200"/>
    </row>
    <row r="2421" spans="2:4" x14ac:dyDescent="0.35">
      <c r="B2421" s="35">
        <v>36655</v>
      </c>
      <c r="C2421" s="34">
        <v>7280.54</v>
      </c>
      <c r="D2421" s="200"/>
    </row>
    <row r="2422" spans="2:4" x14ac:dyDescent="0.35">
      <c r="B2422" s="35">
        <v>36656</v>
      </c>
      <c r="C2422" s="34">
        <v>7120.86</v>
      </c>
      <c r="D2422" s="200"/>
    </row>
    <row r="2423" spans="2:4" x14ac:dyDescent="0.35">
      <c r="B2423" s="35">
        <v>36657</v>
      </c>
      <c r="C2423" s="34">
        <v>7259.48</v>
      </c>
      <c r="D2423" s="200"/>
    </row>
    <row r="2424" spans="2:4" x14ac:dyDescent="0.35">
      <c r="B2424" s="35">
        <v>36658</v>
      </c>
      <c r="C2424" s="34">
        <v>7269.28</v>
      </c>
      <c r="D2424" s="200"/>
    </row>
    <row r="2425" spans="2:4" x14ac:dyDescent="0.35">
      <c r="B2425" s="35">
        <v>36661</v>
      </c>
      <c r="C2425" s="34">
        <v>7195.15</v>
      </c>
      <c r="D2425" s="200"/>
    </row>
    <row r="2426" spans="2:4" x14ac:dyDescent="0.35">
      <c r="B2426" s="35">
        <v>36662</v>
      </c>
      <c r="C2426" s="34">
        <v>7371.06</v>
      </c>
      <c r="D2426" s="200"/>
    </row>
    <row r="2427" spans="2:4" x14ac:dyDescent="0.35">
      <c r="B2427" s="35">
        <v>36663</v>
      </c>
      <c r="C2427" s="34">
        <v>7211.51</v>
      </c>
      <c r="D2427" s="200"/>
    </row>
    <row r="2428" spans="2:4" x14ac:dyDescent="0.35">
      <c r="B2428" s="35">
        <v>36664</v>
      </c>
      <c r="C2428" s="34">
        <v>7181.58</v>
      </c>
      <c r="D2428" s="200"/>
    </row>
    <row r="2429" spans="2:4" x14ac:dyDescent="0.35">
      <c r="B2429" s="35">
        <v>36665</v>
      </c>
      <c r="C2429" s="34">
        <v>6989.03</v>
      </c>
      <c r="D2429" s="200"/>
    </row>
    <row r="2430" spans="2:4" x14ac:dyDescent="0.35">
      <c r="B2430" s="35">
        <v>36668</v>
      </c>
      <c r="C2430" s="34">
        <v>6912.96</v>
      </c>
      <c r="D2430" s="200"/>
    </row>
    <row r="2431" spans="2:4" x14ac:dyDescent="0.35">
      <c r="B2431" s="35">
        <v>36669</v>
      </c>
      <c r="C2431" s="34">
        <v>6927.69</v>
      </c>
      <c r="D2431" s="200"/>
    </row>
    <row r="2432" spans="2:4" x14ac:dyDescent="0.35">
      <c r="B2432" s="35">
        <v>36670</v>
      </c>
      <c r="C2432" s="34">
        <v>6834.88</v>
      </c>
      <c r="D2432" s="200"/>
    </row>
    <row r="2433" spans="2:4" x14ac:dyDescent="0.35">
      <c r="B2433" s="35">
        <v>36671</v>
      </c>
      <c r="C2433" s="34">
        <v>6978.87</v>
      </c>
      <c r="D2433" s="200"/>
    </row>
    <row r="2434" spans="2:4" x14ac:dyDescent="0.35">
      <c r="B2434" s="35">
        <v>36672</v>
      </c>
      <c r="C2434" s="34">
        <v>6839.33</v>
      </c>
      <c r="D2434" s="200"/>
    </row>
    <row r="2435" spans="2:4" x14ac:dyDescent="0.35">
      <c r="B2435" s="35">
        <v>36675</v>
      </c>
      <c r="C2435" s="34">
        <v>7016.66</v>
      </c>
      <c r="D2435" s="200"/>
    </row>
    <row r="2436" spans="2:4" x14ac:dyDescent="0.35">
      <c r="B2436" s="35">
        <v>36676</v>
      </c>
      <c r="C2436" s="34">
        <v>7119.26</v>
      </c>
      <c r="D2436" s="200"/>
    </row>
    <row r="2437" spans="2:4" x14ac:dyDescent="0.35">
      <c r="B2437" s="35">
        <v>36677</v>
      </c>
      <c r="C2437" s="34">
        <v>7109.67</v>
      </c>
      <c r="D2437" s="200"/>
    </row>
    <row r="2438" spans="2:4" x14ac:dyDescent="0.35">
      <c r="B2438" s="35">
        <v>36678</v>
      </c>
      <c r="C2438" s="34">
        <v>7272.76</v>
      </c>
      <c r="D2438" s="200"/>
    </row>
    <row r="2439" spans="2:4" x14ac:dyDescent="0.35">
      <c r="B2439" s="35">
        <v>36679</v>
      </c>
      <c r="C2439" s="34">
        <v>7438.95</v>
      </c>
      <c r="D2439" s="200"/>
    </row>
    <row r="2440" spans="2:4" x14ac:dyDescent="0.35">
      <c r="B2440" s="35">
        <v>36682</v>
      </c>
      <c r="C2440" s="34">
        <v>7408.02</v>
      </c>
      <c r="D2440" s="200"/>
    </row>
    <row r="2441" spans="2:4" x14ac:dyDescent="0.35">
      <c r="B2441" s="35">
        <v>36683</v>
      </c>
      <c r="C2441" s="34">
        <v>7359.8</v>
      </c>
      <c r="D2441" s="200"/>
    </row>
    <row r="2442" spans="2:4" x14ac:dyDescent="0.35">
      <c r="B2442" s="35">
        <v>36684</v>
      </c>
      <c r="C2442" s="34">
        <v>7285.93</v>
      </c>
      <c r="D2442" s="200"/>
    </row>
    <row r="2443" spans="2:4" x14ac:dyDescent="0.35">
      <c r="B2443" s="35">
        <v>36685</v>
      </c>
      <c r="C2443" s="34">
        <v>7253.46</v>
      </c>
      <c r="D2443" s="200"/>
    </row>
    <row r="2444" spans="2:4" x14ac:dyDescent="0.35">
      <c r="B2444" s="35">
        <v>36686</v>
      </c>
      <c r="C2444" s="34">
        <v>7246.79</v>
      </c>
      <c r="D2444" s="200"/>
    </row>
    <row r="2445" spans="2:4" x14ac:dyDescent="0.35">
      <c r="B2445" s="35">
        <v>36689</v>
      </c>
      <c r="C2445" s="34">
        <v>7240.1</v>
      </c>
      <c r="D2445" s="200"/>
    </row>
    <row r="2446" spans="2:4" x14ac:dyDescent="0.35">
      <c r="B2446" s="35">
        <v>36690</v>
      </c>
      <c r="C2446" s="34">
        <v>7268.91</v>
      </c>
      <c r="D2446" s="200"/>
    </row>
    <row r="2447" spans="2:4" x14ac:dyDescent="0.35">
      <c r="B2447" s="35">
        <v>36691</v>
      </c>
      <c r="C2447" s="34">
        <v>7350.94</v>
      </c>
      <c r="D2447" s="200"/>
    </row>
    <row r="2448" spans="2:4" x14ac:dyDescent="0.35">
      <c r="B2448" s="35">
        <v>36692</v>
      </c>
      <c r="C2448" s="34">
        <v>7328.62</v>
      </c>
      <c r="D2448" s="200"/>
    </row>
    <row r="2449" spans="2:4" x14ac:dyDescent="0.35">
      <c r="B2449" s="35">
        <v>36693</v>
      </c>
      <c r="C2449" s="34">
        <v>7252.58</v>
      </c>
      <c r="D2449" s="200"/>
    </row>
    <row r="2450" spans="2:4" x14ac:dyDescent="0.35">
      <c r="B2450" s="35">
        <v>36696</v>
      </c>
      <c r="C2450" s="34">
        <v>7198.8</v>
      </c>
      <c r="D2450" s="200"/>
    </row>
    <row r="2451" spans="2:4" x14ac:dyDescent="0.35">
      <c r="B2451" s="35">
        <v>36697</v>
      </c>
      <c r="C2451" s="34">
        <v>7227.27</v>
      </c>
      <c r="D2451" s="200"/>
    </row>
    <row r="2452" spans="2:4" x14ac:dyDescent="0.35">
      <c r="B2452" s="35">
        <v>36698</v>
      </c>
      <c r="C2452" s="34">
        <v>7100.09</v>
      </c>
      <c r="D2452" s="200"/>
    </row>
    <row r="2453" spans="2:4" x14ac:dyDescent="0.35">
      <c r="B2453" s="35">
        <v>36699</v>
      </c>
      <c r="C2453" s="34">
        <v>7064.73</v>
      </c>
      <c r="D2453" s="200"/>
    </row>
    <row r="2454" spans="2:4" x14ac:dyDescent="0.35">
      <c r="B2454" s="35">
        <v>36700</v>
      </c>
      <c r="C2454" s="34">
        <v>6980.41</v>
      </c>
      <c r="D2454" s="200"/>
    </row>
    <row r="2455" spans="2:4" x14ac:dyDescent="0.35">
      <c r="B2455" s="35">
        <v>36703</v>
      </c>
      <c r="C2455" s="34">
        <v>7027.19</v>
      </c>
      <c r="D2455" s="200"/>
    </row>
    <row r="2456" spans="2:4" x14ac:dyDescent="0.35">
      <c r="B2456" s="35">
        <v>36704</v>
      </c>
      <c r="C2456" s="34">
        <v>7048.96</v>
      </c>
      <c r="D2456" s="200"/>
    </row>
    <row r="2457" spans="2:4" x14ac:dyDescent="0.35">
      <c r="B2457" s="35">
        <v>36705</v>
      </c>
      <c r="C2457" s="34">
        <v>7054.3</v>
      </c>
      <c r="D2457" s="200"/>
    </row>
    <row r="2458" spans="2:4" x14ac:dyDescent="0.35">
      <c r="B2458" s="35">
        <v>36706</v>
      </c>
      <c r="C2458" s="34">
        <v>6881.94</v>
      </c>
      <c r="D2458" s="200"/>
    </row>
    <row r="2459" spans="2:4" x14ac:dyDescent="0.35">
      <c r="B2459" s="35">
        <v>36707</v>
      </c>
      <c r="C2459" s="34">
        <v>6882.44</v>
      </c>
      <c r="D2459" s="200"/>
    </row>
    <row r="2460" spans="2:4" x14ac:dyDescent="0.35">
      <c r="B2460" s="35">
        <v>36710</v>
      </c>
      <c r="C2460" s="34">
        <v>6962.02</v>
      </c>
      <c r="D2460" s="200"/>
    </row>
    <row r="2461" spans="2:4" x14ac:dyDescent="0.35">
      <c r="B2461" s="35">
        <v>36711</v>
      </c>
      <c r="C2461" s="34">
        <v>6944.36</v>
      </c>
      <c r="D2461" s="200"/>
    </row>
    <row r="2462" spans="2:4" x14ac:dyDescent="0.35">
      <c r="B2462" s="35">
        <v>36712</v>
      </c>
      <c r="C2462" s="34">
        <v>6961.73</v>
      </c>
      <c r="D2462" s="200"/>
    </row>
    <row r="2463" spans="2:4" x14ac:dyDescent="0.35">
      <c r="B2463" s="35">
        <v>36713</v>
      </c>
      <c r="C2463" s="34">
        <v>6972.8</v>
      </c>
      <c r="D2463" s="200"/>
    </row>
    <row r="2464" spans="2:4" x14ac:dyDescent="0.35">
      <c r="B2464" s="35">
        <v>36714</v>
      </c>
      <c r="C2464" s="34">
        <v>7044.77</v>
      </c>
      <c r="D2464" s="200"/>
    </row>
    <row r="2465" spans="2:4" x14ac:dyDescent="0.35">
      <c r="B2465" s="35">
        <v>36717</v>
      </c>
      <c r="C2465" s="34">
        <v>7066.22</v>
      </c>
      <c r="D2465" s="200"/>
    </row>
    <row r="2466" spans="2:4" x14ac:dyDescent="0.35">
      <c r="B2466" s="35">
        <v>36718</v>
      </c>
      <c r="C2466" s="34">
        <v>7006.05</v>
      </c>
      <c r="D2466" s="200"/>
    </row>
    <row r="2467" spans="2:4" x14ac:dyDescent="0.35">
      <c r="B2467" s="35">
        <v>36719</v>
      </c>
      <c r="C2467" s="34">
        <v>7065.97</v>
      </c>
      <c r="D2467" s="200"/>
    </row>
    <row r="2468" spans="2:4" x14ac:dyDescent="0.35">
      <c r="B2468" s="35">
        <v>36720</v>
      </c>
      <c r="C2468" s="34">
        <v>7166.51</v>
      </c>
      <c r="D2468" s="200"/>
    </row>
    <row r="2469" spans="2:4" x14ac:dyDescent="0.35">
      <c r="B2469" s="35">
        <v>36721</v>
      </c>
      <c r="C2469" s="34">
        <v>7321.94</v>
      </c>
      <c r="D2469" s="200"/>
    </row>
    <row r="2470" spans="2:4" x14ac:dyDescent="0.35">
      <c r="B2470" s="35">
        <v>36724</v>
      </c>
      <c r="C2470" s="34">
        <v>7430.7</v>
      </c>
      <c r="D2470" s="200"/>
    </row>
    <row r="2471" spans="2:4" x14ac:dyDescent="0.35">
      <c r="B2471" s="35">
        <v>36725</v>
      </c>
      <c r="C2471" s="34">
        <v>7406.91</v>
      </c>
      <c r="D2471" s="200"/>
    </row>
    <row r="2472" spans="2:4" x14ac:dyDescent="0.35">
      <c r="B2472" s="35">
        <v>36726</v>
      </c>
      <c r="C2472" s="34">
        <v>7366.57</v>
      </c>
      <c r="D2472" s="200"/>
    </row>
    <row r="2473" spans="2:4" x14ac:dyDescent="0.35">
      <c r="B2473" s="35">
        <v>36727</v>
      </c>
      <c r="C2473" s="34">
        <v>7480.14</v>
      </c>
      <c r="D2473" s="200"/>
    </row>
    <row r="2474" spans="2:4" x14ac:dyDescent="0.35">
      <c r="B2474" s="35">
        <v>36728</v>
      </c>
      <c r="C2474" s="34">
        <v>7378.86</v>
      </c>
      <c r="D2474" s="200"/>
    </row>
    <row r="2475" spans="2:4" x14ac:dyDescent="0.35">
      <c r="B2475" s="35">
        <v>36731</v>
      </c>
      <c r="C2475" s="34">
        <v>7314.2</v>
      </c>
      <c r="D2475" s="200"/>
    </row>
    <row r="2476" spans="2:4" x14ac:dyDescent="0.35">
      <c r="B2476" s="35">
        <v>36732</v>
      </c>
      <c r="C2476" s="34">
        <v>7329.46</v>
      </c>
      <c r="D2476" s="200"/>
    </row>
    <row r="2477" spans="2:4" x14ac:dyDescent="0.35">
      <c r="B2477" s="35">
        <v>36733</v>
      </c>
      <c r="C2477" s="34">
        <v>7268</v>
      </c>
      <c r="D2477" s="200"/>
    </row>
    <row r="2478" spans="2:4" x14ac:dyDescent="0.35">
      <c r="B2478" s="35">
        <v>36734</v>
      </c>
      <c r="C2478" s="34">
        <v>7183.44</v>
      </c>
      <c r="D2478" s="200"/>
    </row>
    <row r="2479" spans="2:4" x14ac:dyDescent="0.35">
      <c r="B2479" s="35">
        <v>36735</v>
      </c>
      <c r="C2479" s="34">
        <v>7128.3</v>
      </c>
      <c r="D2479" s="200"/>
    </row>
    <row r="2480" spans="2:4" x14ac:dyDescent="0.35">
      <c r="B2480" s="35">
        <v>36738</v>
      </c>
      <c r="C2480" s="34">
        <v>7190.37</v>
      </c>
      <c r="D2480" s="200"/>
    </row>
    <row r="2481" spans="2:4" x14ac:dyDescent="0.35">
      <c r="B2481" s="35">
        <v>36739</v>
      </c>
      <c r="C2481" s="34">
        <v>7145.53</v>
      </c>
      <c r="D2481" s="200"/>
    </row>
    <row r="2482" spans="2:4" x14ac:dyDescent="0.35">
      <c r="B2482" s="35">
        <v>36740</v>
      </c>
      <c r="C2482" s="34">
        <v>7112.45</v>
      </c>
      <c r="D2482" s="200"/>
    </row>
    <row r="2483" spans="2:4" x14ac:dyDescent="0.35">
      <c r="B2483" s="35">
        <v>36741</v>
      </c>
      <c r="C2483" s="34">
        <v>7011.74</v>
      </c>
      <c r="D2483" s="200"/>
    </row>
    <row r="2484" spans="2:4" x14ac:dyDescent="0.35">
      <c r="B2484" s="35">
        <v>36742</v>
      </c>
      <c r="C2484" s="34">
        <v>7016.59</v>
      </c>
      <c r="D2484" s="200"/>
    </row>
    <row r="2485" spans="2:4" x14ac:dyDescent="0.35">
      <c r="B2485" s="35">
        <v>36745</v>
      </c>
      <c r="C2485" s="34">
        <v>7113.22</v>
      </c>
      <c r="D2485" s="200"/>
    </row>
    <row r="2486" spans="2:4" x14ac:dyDescent="0.35">
      <c r="B2486" s="35">
        <v>36746</v>
      </c>
      <c r="C2486" s="34">
        <v>7143.96</v>
      </c>
      <c r="D2486" s="200"/>
    </row>
    <row r="2487" spans="2:4" x14ac:dyDescent="0.35">
      <c r="B2487" s="35">
        <v>36747</v>
      </c>
      <c r="C2487" s="34">
        <v>7226.71</v>
      </c>
      <c r="D2487" s="200"/>
    </row>
    <row r="2488" spans="2:4" x14ac:dyDescent="0.35">
      <c r="B2488" s="35">
        <v>36748</v>
      </c>
      <c r="C2488" s="34">
        <v>7280.97</v>
      </c>
      <c r="D2488" s="200"/>
    </row>
    <row r="2489" spans="2:4" x14ac:dyDescent="0.35">
      <c r="B2489" s="35">
        <v>36749</v>
      </c>
      <c r="C2489" s="34">
        <v>7322.98</v>
      </c>
      <c r="D2489" s="200"/>
    </row>
    <row r="2490" spans="2:4" x14ac:dyDescent="0.35">
      <c r="B2490" s="35">
        <v>36752</v>
      </c>
      <c r="C2490" s="34">
        <v>7331.67</v>
      </c>
      <c r="D2490" s="200"/>
    </row>
    <row r="2491" spans="2:4" x14ac:dyDescent="0.35">
      <c r="B2491" s="35">
        <v>36753</v>
      </c>
      <c r="C2491" s="34">
        <v>7307.43</v>
      </c>
      <c r="D2491" s="200"/>
    </row>
    <row r="2492" spans="2:4" x14ac:dyDescent="0.35">
      <c r="B2492" s="35">
        <v>36754</v>
      </c>
      <c r="C2492" s="34">
        <v>7315.27</v>
      </c>
      <c r="D2492" s="200"/>
    </row>
    <row r="2493" spans="2:4" x14ac:dyDescent="0.35">
      <c r="B2493" s="35">
        <v>36755</v>
      </c>
      <c r="C2493" s="34">
        <v>7278.43</v>
      </c>
      <c r="D2493" s="200"/>
    </row>
    <row r="2494" spans="2:4" x14ac:dyDescent="0.35">
      <c r="B2494" s="35">
        <v>36756</v>
      </c>
      <c r="C2494" s="34">
        <v>7232.42</v>
      </c>
      <c r="D2494" s="200"/>
    </row>
    <row r="2495" spans="2:4" x14ac:dyDescent="0.35">
      <c r="B2495" s="35">
        <v>36759</v>
      </c>
      <c r="C2495" s="34">
        <v>7199.34</v>
      </c>
      <c r="D2495" s="200"/>
    </row>
    <row r="2496" spans="2:4" x14ac:dyDescent="0.35">
      <c r="B2496" s="35">
        <v>36760</v>
      </c>
      <c r="C2496" s="34">
        <v>7249.2</v>
      </c>
      <c r="D2496" s="200"/>
    </row>
    <row r="2497" spans="2:4" x14ac:dyDescent="0.35">
      <c r="B2497" s="35">
        <v>36761</v>
      </c>
      <c r="C2497" s="34">
        <v>7232.78</v>
      </c>
      <c r="D2497" s="200"/>
    </row>
    <row r="2498" spans="2:4" x14ac:dyDescent="0.35">
      <c r="B2498" s="35">
        <v>36762</v>
      </c>
      <c r="C2498" s="34">
        <v>7230.26</v>
      </c>
      <c r="D2498" s="200"/>
    </row>
    <row r="2499" spans="2:4" x14ac:dyDescent="0.35">
      <c r="B2499" s="35">
        <v>36763</v>
      </c>
      <c r="C2499" s="34">
        <v>7307.17</v>
      </c>
      <c r="D2499" s="200"/>
    </row>
    <row r="2500" spans="2:4" x14ac:dyDescent="0.35">
      <c r="B2500" s="35">
        <v>36766</v>
      </c>
      <c r="C2500" s="34">
        <v>7339.22</v>
      </c>
      <c r="D2500" s="200"/>
    </row>
    <row r="2501" spans="2:4" x14ac:dyDescent="0.35">
      <c r="B2501" s="35">
        <v>36767</v>
      </c>
      <c r="C2501" s="34">
        <v>7294.4</v>
      </c>
      <c r="D2501" s="200"/>
    </row>
    <row r="2502" spans="2:4" x14ac:dyDescent="0.35">
      <c r="B2502" s="35">
        <v>36768</v>
      </c>
      <c r="C2502" s="34">
        <v>7192.69</v>
      </c>
      <c r="D2502" s="200"/>
    </row>
    <row r="2503" spans="2:4" x14ac:dyDescent="0.35">
      <c r="B2503" s="35">
        <v>36769</v>
      </c>
      <c r="C2503" s="34">
        <v>7244.79</v>
      </c>
      <c r="D2503" s="200"/>
    </row>
    <row r="2504" spans="2:4" x14ac:dyDescent="0.35">
      <c r="B2504" s="35">
        <v>36770</v>
      </c>
      <c r="C2504" s="34">
        <v>7344.67</v>
      </c>
      <c r="D2504" s="200"/>
    </row>
    <row r="2505" spans="2:4" x14ac:dyDescent="0.35">
      <c r="B2505" s="35">
        <v>36773</v>
      </c>
      <c r="C2505" s="34">
        <v>7445.56</v>
      </c>
      <c r="D2505" s="200"/>
    </row>
    <row r="2506" spans="2:4" x14ac:dyDescent="0.35">
      <c r="B2506" s="35">
        <v>36774</v>
      </c>
      <c r="C2506" s="34">
        <v>7391.27</v>
      </c>
      <c r="D2506" s="200"/>
    </row>
    <row r="2507" spans="2:4" x14ac:dyDescent="0.35">
      <c r="B2507" s="35">
        <v>36775</v>
      </c>
      <c r="C2507" s="34">
        <v>7329.9</v>
      </c>
      <c r="D2507" s="200"/>
    </row>
    <row r="2508" spans="2:4" x14ac:dyDescent="0.35">
      <c r="B2508" s="35">
        <v>36776</v>
      </c>
      <c r="C2508" s="34">
        <v>7373.34</v>
      </c>
      <c r="D2508" s="200"/>
    </row>
    <row r="2509" spans="2:4" x14ac:dyDescent="0.35">
      <c r="B2509" s="35">
        <v>36777</v>
      </c>
      <c r="C2509" s="34">
        <v>7261.04</v>
      </c>
      <c r="D2509" s="200"/>
    </row>
    <row r="2510" spans="2:4" x14ac:dyDescent="0.35">
      <c r="B2510" s="35">
        <v>36780</v>
      </c>
      <c r="C2510" s="34">
        <v>7214.45</v>
      </c>
      <c r="D2510" s="200"/>
    </row>
    <row r="2511" spans="2:4" x14ac:dyDescent="0.35">
      <c r="B2511" s="35">
        <v>36781</v>
      </c>
      <c r="C2511" s="34">
        <v>7135.75</v>
      </c>
      <c r="D2511" s="200"/>
    </row>
    <row r="2512" spans="2:4" x14ac:dyDescent="0.35">
      <c r="B2512" s="35">
        <v>36782</v>
      </c>
      <c r="C2512" s="34">
        <v>7006.26</v>
      </c>
      <c r="D2512" s="200"/>
    </row>
    <row r="2513" spans="2:4" x14ac:dyDescent="0.35">
      <c r="B2513" s="35">
        <v>36783</v>
      </c>
      <c r="C2513" s="34">
        <v>7049.82</v>
      </c>
      <c r="D2513" s="200"/>
    </row>
    <row r="2514" spans="2:4" x14ac:dyDescent="0.35">
      <c r="B2514" s="35">
        <v>36784</v>
      </c>
      <c r="C2514" s="34">
        <v>6999.54</v>
      </c>
      <c r="D2514" s="200"/>
    </row>
    <row r="2515" spans="2:4" x14ac:dyDescent="0.35">
      <c r="B2515" s="35">
        <v>36787</v>
      </c>
      <c r="C2515" s="34">
        <v>6891.69</v>
      </c>
      <c r="D2515" s="200"/>
    </row>
    <row r="2516" spans="2:4" x14ac:dyDescent="0.35">
      <c r="B2516" s="35">
        <v>36788</v>
      </c>
      <c r="C2516" s="34">
        <v>6915.49</v>
      </c>
      <c r="D2516" s="200"/>
    </row>
    <row r="2517" spans="2:4" x14ac:dyDescent="0.35">
      <c r="B2517" s="35">
        <v>36789</v>
      </c>
      <c r="C2517" s="34">
        <v>6765.23</v>
      </c>
      <c r="D2517" s="200"/>
    </row>
    <row r="2518" spans="2:4" x14ac:dyDescent="0.35">
      <c r="B2518" s="35">
        <v>36790</v>
      </c>
      <c r="C2518" s="34">
        <v>6682.92</v>
      </c>
      <c r="D2518" s="200"/>
    </row>
    <row r="2519" spans="2:4" x14ac:dyDescent="0.35">
      <c r="B2519" s="35">
        <v>36791</v>
      </c>
      <c r="C2519" s="34">
        <v>6740.25</v>
      </c>
      <c r="D2519" s="200"/>
    </row>
    <row r="2520" spans="2:4" x14ac:dyDescent="0.35">
      <c r="B2520" s="35">
        <v>36794</v>
      </c>
      <c r="C2520" s="34">
        <v>6788.69</v>
      </c>
      <c r="D2520" s="200"/>
    </row>
    <row r="2521" spans="2:4" x14ac:dyDescent="0.35">
      <c r="B2521" s="35">
        <v>36795</v>
      </c>
      <c r="C2521" s="34">
        <v>6765.04</v>
      </c>
      <c r="D2521" s="200"/>
    </row>
    <row r="2522" spans="2:4" x14ac:dyDescent="0.35">
      <c r="B2522" s="35">
        <v>36796</v>
      </c>
      <c r="C2522" s="34">
        <v>6814.06</v>
      </c>
      <c r="D2522" s="200"/>
    </row>
    <row r="2523" spans="2:4" x14ac:dyDescent="0.35">
      <c r="B2523" s="35">
        <v>36797</v>
      </c>
      <c r="C2523" s="34">
        <v>6832.76</v>
      </c>
      <c r="D2523" s="200"/>
    </row>
    <row r="2524" spans="2:4" x14ac:dyDescent="0.35">
      <c r="B2524" s="35">
        <v>36798</v>
      </c>
      <c r="C2524" s="34">
        <v>6798.12</v>
      </c>
      <c r="D2524" s="200"/>
    </row>
    <row r="2525" spans="2:4" x14ac:dyDescent="0.35">
      <c r="B2525" s="35">
        <v>36801</v>
      </c>
      <c r="C2525" s="34">
        <v>6862.26</v>
      </c>
      <c r="D2525" s="200"/>
    </row>
    <row r="2526" spans="2:4" x14ac:dyDescent="0.35">
      <c r="B2526" s="35">
        <v>36803</v>
      </c>
      <c r="C2526" s="34">
        <v>6823.43</v>
      </c>
      <c r="D2526" s="200"/>
    </row>
    <row r="2527" spans="2:4" x14ac:dyDescent="0.35">
      <c r="B2527" s="35">
        <v>36804</v>
      </c>
      <c r="C2527" s="34">
        <v>6892.49</v>
      </c>
      <c r="D2527" s="200"/>
    </row>
    <row r="2528" spans="2:4" x14ac:dyDescent="0.35">
      <c r="B2528" s="35">
        <v>36805</v>
      </c>
      <c r="C2528" s="34">
        <v>6776.39</v>
      </c>
      <c r="D2528" s="200"/>
    </row>
    <row r="2529" spans="2:4" x14ac:dyDescent="0.35">
      <c r="B2529" s="35">
        <v>36808</v>
      </c>
      <c r="C2529" s="34">
        <v>6680.78</v>
      </c>
      <c r="D2529" s="200"/>
    </row>
    <row r="2530" spans="2:4" x14ac:dyDescent="0.35">
      <c r="B2530" s="35">
        <v>36809</v>
      </c>
      <c r="C2530" s="34">
        <v>6673.15</v>
      </c>
      <c r="D2530" s="200"/>
    </row>
    <row r="2531" spans="2:4" x14ac:dyDescent="0.35">
      <c r="B2531" s="35">
        <v>36810</v>
      </c>
      <c r="C2531" s="34">
        <v>6554.14</v>
      </c>
      <c r="D2531" s="200"/>
    </row>
    <row r="2532" spans="2:4" x14ac:dyDescent="0.35">
      <c r="B2532" s="35">
        <v>36811</v>
      </c>
      <c r="C2532" s="34">
        <v>6465.26</v>
      </c>
      <c r="D2532" s="200"/>
    </row>
    <row r="2533" spans="2:4" x14ac:dyDescent="0.35">
      <c r="B2533" s="35">
        <v>36812</v>
      </c>
      <c r="C2533" s="34">
        <v>6661.3</v>
      </c>
      <c r="D2533" s="200"/>
    </row>
    <row r="2534" spans="2:4" x14ac:dyDescent="0.35">
      <c r="B2534" s="35">
        <v>36815</v>
      </c>
      <c r="C2534" s="34">
        <v>6627.25</v>
      </c>
      <c r="D2534" s="200"/>
    </row>
    <row r="2535" spans="2:4" x14ac:dyDescent="0.35">
      <c r="B2535" s="35">
        <v>36816</v>
      </c>
      <c r="C2535" s="34">
        <v>6531.71</v>
      </c>
      <c r="D2535" s="200"/>
    </row>
    <row r="2536" spans="2:4" x14ac:dyDescent="0.35">
      <c r="B2536" s="35">
        <v>36817</v>
      </c>
      <c r="C2536" s="34">
        <v>6470.06</v>
      </c>
      <c r="D2536" s="200"/>
    </row>
    <row r="2537" spans="2:4" x14ac:dyDescent="0.35">
      <c r="B2537" s="35">
        <v>36818</v>
      </c>
      <c r="C2537" s="34">
        <v>6619.43</v>
      </c>
      <c r="D2537" s="200"/>
    </row>
    <row r="2538" spans="2:4" x14ac:dyDescent="0.35">
      <c r="B2538" s="35">
        <v>36819</v>
      </c>
      <c r="C2538" s="34">
        <v>6615.9</v>
      </c>
      <c r="D2538" s="200"/>
    </row>
    <row r="2539" spans="2:4" x14ac:dyDescent="0.35">
      <c r="B2539" s="35">
        <v>36822</v>
      </c>
      <c r="C2539" s="34">
        <v>6620.87</v>
      </c>
      <c r="D2539" s="200"/>
    </row>
    <row r="2540" spans="2:4" x14ac:dyDescent="0.35">
      <c r="B2540" s="35">
        <v>36823</v>
      </c>
      <c r="C2540" s="34">
        <v>6802.81</v>
      </c>
      <c r="D2540" s="200"/>
    </row>
    <row r="2541" spans="2:4" x14ac:dyDescent="0.35">
      <c r="B2541" s="35">
        <v>36824</v>
      </c>
      <c r="C2541" s="34">
        <v>6748.22</v>
      </c>
      <c r="D2541" s="200"/>
    </row>
    <row r="2542" spans="2:4" x14ac:dyDescent="0.35">
      <c r="B2542" s="35">
        <v>36825</v>
      </c>
      <c r="C2542" s="34">
        <v>6767.9</v>
      </c>
      <c r="D2542" s="200"/>
    </row>
    <row r="2543" spans="2:4" x14ac:dyDescent="0.35">
      <c r="B2543" s="35">
        <v>36826</v>
      </c>
      <c r="C2543" s="34">
        <v>6924.68</v>
      </c>
      <c r="D2543" s="200"/>
    </row>
    <row r="2544" spans="2:4" x14ac:dyDescent="0.35">
      <c r="B2544" s="35">
        <v>36829</v>
      </c>
      <c r="C2544" s="34">
        <v>6926.57</v>
      </c>
      <c r="D2544" s="200"/>
    </row>
    <row r="2545" spans="2:4" x14ac:dyDescent="0.35">
      <c r="B2545" s="35">
        <v>36830</v>
      </c>
      <c r="C2545" s="34">
        <v>7077.44</v>
      </c>
      <c r="D2545" s="200"/>
    </row>
    <row r="2546" spans="2:4" x14ac:dyDescent="0.35">
      <c r="B2546" s="35">
        <v>36831</v>
      </c>
      <c r="C2546" s="34">
        <v>7059.07</v>
      </c>
      <c r="D2546" s="200"/>
    </row>
    <row r="2547" spans="2:4" x14ac:dyDescent="0.35">
      <c r="B2547" s="35">
        <v>36832</v>
      </c>
      <c r="C2547" s="34">
        <v>7088.64</v>
      </c>
      <c r="D2547" s="200"/>
    </row>
    <row r="2548" spans="2:4" x14ac:dyDescent="0.35">
      <c r="B2548" s="35">
        <v>36833</v>
      </c>
      <c r="C2548" s="34">
        <v>7128.27</v>
      </c>
      <c r="D2548" s="200"/>
    </row>
    <row r="2549" spans="2:4" x14ac:dyDescent="0.35">
      <c r="B2549" s="35">
        <v>36836</v>
      </c>
      <c r="C2549" s="34">
        <v>7136.3</v>
      </c>
      <c r="D2549" s="200"/>
    </row>
    <row r="2550" spans="2:4" x14ac:dyDescent="0.35">
      <c r="B2550" s="35">
        <v>36837</v>
      </c>
      <c r="C2550" s="34">
        <v>7083.7</v>
      </c>
      <c r="D2550" s="200"/>
    </row>
    <row r="2551" spans="2:4" x14ac:dyDescent="0.35">
      <c r="B2551" s="35">
        <v>36838</v>
      </c>
      <c r="C2551" s="34">
        <v>7010.2</v>
      </c>
      <c r="D2551" s="200"/>
    </row>
    <row r="2552" spans="2:4" x14ac:dyDescent="0.35">
      <c r="B2552" s="35">
        <v>36839</v>
      </c>
      <c r="C2552" s="34">
        <v>6959.5</v>
      </c>
      <c r="D2552" s="200"/>
    </row>
    <row r="2553" spans="2:4" x14ac:dyDescent="0.35">
      <c r="B2553" s="35">
        <v>36840</v>
      </c>
      <c r="C2553" s="34">
        <v>6851.69</v>
      </c>
      <c r="D2553" s="200"/>
    </row>
    <row r="2554" spans="2:4" x14ac:dyDescent="0.35">
      <c r="B2554" s="35">
        <v>36843</v>
      </c>
      <c r="C2554" s="34">
        <v>6742.1</v>
      </c>
      <c r="D2554" s="200"/>
    </row>
    <row r="2555" spans="2:4" x14ac:dyDescent="0.35">
      <c r="B2555" s="35">
        <v>36844</v>
      </c>
      <c r="C2555" s="34">
        <v>6966.65</v>
      </c>
      <c r="D2555" s="200"/>
    </row>
    <row r="2556" spans="2:4" x14ac:dyDescent="0.35">
      <c r="B2556" s="35">
        <v>36845</v>
      </c>
      <c r="C2556" s="34">
        <v>6961.09</v>
      </c>
      <c r="D2556" s="200"/>
    </row>
    <row r="2557" spans="2:4" x14ac:dyDescent="0.35">
      <c r="B2557" s="35">
        <v>36846</v>
      </c>
      <c r="C2557" s="34">
        <v>6811.49</v>
      </c>
      <c r="D2557" s="200"/>
    </row>
    <row r="2558" spans="2:4" x14ac:dyDescent="0.35">
      <c r="B2558" s="35">
        <v>36847</v>
      </c>
      <c r="C2558" s="34">
        <v>6752.29</v>
      </c>
      <c r="D2558" s="200"/>
    </row>
    <row r="2559" spans="2:4" x14ac:dyDescent="0.35">
      <c r="B2559" s="35">
        <v>36850</v>
      </c>
      <c r="C2559" s="34">
        <v>6605.53</v>
      </c>
      <c r="D2559" s="200"/>
    </row>
    <row r="2560" spans="2:4" x14ac:dyDescent="0.35">
      <c r="B2560" s="35">
        <v>36851</v>
      </c>
      <c r="C2560" s="34">
        <v>6666.06</v>
      </c>
      <c r="D2560" s="200"/>
    </row>
    <row r="2561" spans="2:4" x14ac:dyDescent="0.35">
      <c r="B2561" s="35">
        <v>36852</v>
      </c>
      <c r="C2561" s="34">
        <v>6510.54</v>
      </c>
      <c r="D2561" s="200"/>
    </row>
    <row r="2562" spans="2:4" x14ac:dyDescent="0.35">
      <c r="B2562" s="35">
        <v>36853</v>
      </c>
      <c r="C2562" s="34">
        <v>6596.93</v>
      </c>
      <c r="D2562" s="200"/>
    </row>
    <row r="2563" spans="2:4" x14ac:dyDescent="0.35">
      <c r="B2563" s="35">
        <v>36854</v>
      </c>
      <c r="C2563" s="34">
        <v>6664.18</v>
      </c>
      <c r="D2563" s="200"/>
    </row>
    <row r="2564" spans="2:4" x14ac:dyDescent="0.35">
      <c r="B2564" s="35">
        <v>36857</v>
      </c>
      <c r="C2564" s="34">
        <v>6696.91</v>
      </c>
      <c r="D2564" s="200"/>
    </row>
    <row r="2565" spans="2:4" x14ac:dyDescent="0.35">
      <c r="B2565" s="35">
        <v>36858</v>
      </c>
      <c r="C2565" s="34">
        <v>6625.56</v>
      </c>
      <c r="D2565" s="200"/>
    </row>
    <row r="2566" spans="2:4" x14ac:dyDescent="0.35">
      <c r="B2566" s="35">
        <v>36859</v>
      </c>
      <c r="C2566" s="34">
        <v>6598.32</v>
      </c>
      <c r="D2566" s="200"/>
    </row>
    <row r="2567" spans="2:4" x14ac:dyDescent="0.35">
      <c r="B2567" s="35">
        <v>36860</v>
      </c>
      <c r="C2567" s="34">
        <v>6372.33</v>
      </c>
      <c r="D2567" s="200"/>
    </row>
    <row r="2568" spans="2:4" x14ac:dyDescent="0.35">
      <c r="B2568" s="35">
        <v>36861</v>
      </c>
      <c r="C2568" s="34">
        <v>6512.91</v>
      </c>
      <c r="D2568" s="200"/>
    </row>
    <row r="2569" spans="2:4" x14ac:dyDescent="0.35">
      <c r="B2569" s="35">
        <v>36864</v>
      </c>
      <c r="C2569" s="34">
        <v>6408.1</v>
      </c>
      <c r="D2569" s="200"/>
    </row>
    <row r="2570" spans="2:4" x14ac:dyDescent="0.35">
      <c r="B2570" s="35">
        <v>36865</v>
      </c>
      <c r="C2570" s="34">
        <v>6637.09</v>
      </c>
      <c r="D2570" s="200"/>
    </row>
    <row r="2571" spans="2:4" x14ac:dyDescent="0.35">
      <c r="B2571" s="35">
        <v>36866</v>
      </c>
      <c r="C2571" s="34">
        <v>6622.25</v>
      </c>
      <c r="D2571" s="200"/>
    </row>
    <row r="2572" spans="2:4" x14ac:dyDescent="0.35">
      <c r="B2572" s="35">
        <v>36867</v>
      </c>
      <c r="C2572" s="34">
        <v>6583.13</v>
      </c>
      <c r="D2572" s="200"/>
    </row>
    <row r="2573" spans="2:4" x14ac:dyDescent="0.35">
      <c r="B2573" s="35">
        <v>36868</v>
      </c>
      <c r="C2573" s="34">
        <v>6691.25</v>
      </c>
      <c r="D2573" s="200"/>
    </row>
    <row r="2574" spans="2:4" x14ac:dyDescent="0.35">
      <c r="B2574" s="35">
        <v>36871</v>
      </c>
      <c r="C2574" s="34">
        <v>6782.52</v>
      </c>
      <c r="D2574" s="200"/>
    </row>
    <row r="2575" spans="2:4" x14ac:dyDescent="0.35">
      <c r="B2575" s="35">
        <v>36872</v>
      </c>
      <c r="C2575" s="34">
        <v>6733.59</v>
      </c>
      <c r="D2575" s="200"/>
    </row>
    <row r="2576" spans="2:4" x14ac:dyDescent="0.35">
      <c r="B2576" s="35">
        <v>36873</v>
      </c>
      <c r="C2576" s="34">
        <v>6620.21</v>
      </c>
      <c r="D2576" s="200"/>
    </row>
    <row r="2577" spans="2:4" x14ac:dyDescent="0.35">
      <c r="B2577" s="35">
        <v>36874</v>
      </c>
      <c r="C2577" s="34">
        <v>6475.84</v>
      </c>
      <c r="D2577" s="200"/>
    </row>
    <row r="2578" spans="2:4" x14ac:dyDescent="0.35">
      <c r="B2578" s="35">
        <v>36875</v>
      </c>
      <c r="C2578" s="34">
        <v>6331.3</v>
      </c>
      <c r="D2578" s="200"/>
    </row>
    <row r="2579" spans="2:4" x14ac:dyDescent="0.35">
      <c r="B2579" s="35">
        <v>36878</v>
      </c>
      <c r="C2579" s="34">
        <v>6390.25</v>
      </c>
      <c r="D2579" s="200"/>
    </row>
    <row r="2580" spans="2:4" x14ac:dyDescent="0.35">
      <c r="B2580" s="35">
        <v>36879</v>
      </c>
      <c r="C2580" s="34">
        <v>6479.28</v>
      </c>
      <c r="D2580" s="200"/>
    </row>
    <row r="2581" spans="2:4" x14ac:dyDescent="0.35">
      <c r="B2581" s="35">
        <v>36880</v>
      </c>
      <c r="C2581" s="34">
        <v>6248.76</v>
      </c>
      <c r="D2581" s="200"/>
    </row>
    <row r="2582" spans="2:4" x14ac:dyDescent="0.35">
      <c r="B2582" s="35">
        <v>36881</v>
      </c>
      <c r="C2582" s="34">
        <v>6200.71</v>
      </c>
      <c r="D2582" s="200"/>
    </row>
    <row r="2583" spans="2:4" x14ac:dyDescent="0.35">
      <c r="B2583" s="35">
        <v>36882</v>
      </c>
      <c r="C2583" s="34">
        <v>6251.4</v>
      </c>
      <c r="D2583" s="200"/>
    </row>
    <row r="2584" spans="2:4" x14ac:dyDescent="0.35">
      <c r="B2584" s="35">
        <v>36887</v>
      </c>
      <c r="C2584" s="34">
        <v>6328.16</v>
      </c>
      <c r="D2584" s="200"/>
    </row>
    <row r="2585" spans="2:4" x14ac:dyDescent="0.35">
      <c r="B2585" s="35">
        <v>36888</v>
      </c>
      <c r="C2585" s="34">
        <v>6371.64</v>
      </c>
      <c r="D2585" s="200"/>
    </row>
    <row r="2586" spans="2:4" x14ac:dyDescent="0.35">
      <c r="B2586" s="35">
        <v>36889</v>
      </c>
      <c r="C2586" s="34">
        <v>6433.61</v>
      </c>
      <c r="D2586" s="200"/>
    </row>
    <row r="2587" spans="2:4" x14ac:dyDescent="0.35">
      <c r="B2587" s="35">
        <v>36893</v>
      </c>
      <c r="C2587" s="34">
        <v>6289.82</v>
      </c>
      <c r="D2587" s="200"/>
    </row>
    <row r="2588" spans="2:4" x14ac:dyDescent="0.35">
      <c r="B2588" s="35">
        <v>36894</v>
      </c>
      <c r="C2588" s="34">
        <v>6434.96</v>
      </c>
      <c r="D2588" s="200"/>
    </row>
    <row r="2589" spans="2:4" x14ac:dyDescent="0.35">
      <c r="B2589" s="35">
        <v>36895</v>
      </c>
      <c r="C2589" s="34">
        <v>6376.54</v>
      </c>
      <c r="D2589" s="200"/>
    </row>
    <row r="2590" spans="2:4" x14ac:dyDescent="0.35">
      <c r="B2590" s="35">
        <v>36896</v>
      </c>
      <c r="C2590" s="34">
        <v>6382.31</v>
      </c>
      <c r="D2590" s="200"/>
    </row>
    <row r="2591" spans="2:4" x14ac:dyDescent="0.35">
      <c r="B2591" s="35">
        <v>36899</v>
      </c>
      <c r="C2591" s="34">
        <v>6392.17</v>
      </c>
      <c r="D2591" s="200"/>
    </row>
    <row r="2592" spans="2:4" x14ac:dyDescent="0.35">
      <c r="B2592" s="35">
        <v>36900</v>
      </c>
      <c r="C2592" s="34">
        <v>6404.52</v>
      </c>
      <c r="D2592" s="200"/>
    </row>
    <row r="2593" spans="2:4" x14ac:dyDescent="0.35">
      <c r="B2593" s="35">
        <v>36901</v>
      </c>
      <c r="C2593" s="34">
        <v>6320.07</v>
      </c>
      <c r="D2593" s="200"/>
    </row>
    <row r="2594" spans="2:4" x14ac:dyDescent="0.35">
      <c r="B2594" s="35">
        <v>36902</v>
      </c>
      <c r="C2594" s="34">
        <v>6465.21</v>
      </c>
      <c r="D2594" s="200"/>
    </row>
    <row r="2595" spans="2:4" x14ac:dyDescent="0.35">
      <c r="B2595" s="35">
        <v>36903</v>
      </c>
      <c r="C2595" s="34">
        <v>6490.03</v>
      </c>
      <c r="D2595" s="200"/>
    </row>
    <row r="2596" spans="2:4" x14ac:dyDescent="0.35">
      <c r="B2596" s="35">
        <v>36906</v>
      </c>
      <c r="C2596" s="34">
        <v>6522.87</v>
      </c>
      <c r="D2596" s="200"/>
    </row>
    <row r="2597" spans="2:4" x14ac:dyDescent="0.35">
      <c r="B2597" s="35">
        <v>36907</v>
      </c>
      <c r="C2597" s="34">
        <v>6502.89</v>
      </c>
      <c r="D2597" s="200"/>
    </row>
    <row r="2598" spans="2:4" x14ac:dyDescent="0.35">
      <c r="B2598" s="35">
        <v>36908</v>
      </c>
      <c r="C2598" s="34">
        <v>6653.38</v>
      </c>
      <c r="D2598" s="200"/>
    </row>
    <row r="2599" spans="2:4" x14ac:dyDescent="0.35">
      <c r="B2599" s="35">
        <v>36909</v>
      </c>
      <c r="C2599" s="34">
        <v>6635.76</v>
      </c>
      <c r="D2599" s="200"/>
    </row>
    <row r="2600" spans="2:4" x14ac:dyDescent="0.35">
      <c r="B2600" s="35">
        <v>36910</v>
      </c>
      <c r="C2600" s="34">
        <v>6651.53</v>
      </c>
      <c r="D2600" s="200"/>
    </row>
    <row r="2601" spans="2:4" x14ac:dyDescent="0.35">
      <c r="B2601" s="35">
        <v>36913</v>
      </c>
      <c r="C2601" s="34">
        <v>6675</v>
      </c>
      <c r="D2601" s="200"/>
    </row>
    <row r="2602" spans="2:4" x14ac:dyDescent="0.35">
      <c r="B2602" s="35">
        <v>36914</v>
      </c>
      <c r="C2602" s="34">
        <v>6722.41</v>
      </c>
      <c r="D2602" s="200"/>
    </row>
    <row r="2603" spans="2:4" x14ac:dyDescent="0.35">
      <c r="B2603" s="35">
        <v>36915</v>
      </c>
      <c r="C2603" s="34">
        <v>6706.67</v>
      </c>
      <c r="D2603" s="200"/>
    </row>
    <row r="2604" spans="2:4" x14ac:dyDescent="0.35">
      <c r="B2604" s="35">
        <v>36916</v>
      </c>
      <c r="C2604" s="34">
        <v>6727.49</v>
      </c>
      <c r="D2604" s="200"/>
    </row>
    <row r="2605" spans="2:4" x14ac:dyDescent="0.35">
      <c r="B2605" s="35">
        <v>36917</v>
      </c>
      <c r="C2605" s="34">
        <v>6695.2</v>
      </c>
      <c r="D2605" s="200"/>
    </row>
    <row r="2606" spans="2:4" x14ac:dyDescent="0.35">
      <c r="B2606" s="35">
        <v>36920</v>
      </c>
      <c r="C2606" s="34">
        <v>6750.96</v>
      </c>
      <c r="D2606" s="200"/>
    </row>
    <row r="2607" spans="2:4" x14ac:dyDescent="0.35">
      <c r="B2607" s="35">
        <v>36921</v>
      </c>
      <c r="C2607" s="34">
        <v>6739.3</v>
      </c>
      <c r="D2607" s="200"/>
    </row>
    <row r="2608" spans="2:4" x14ac:dyDescent="0.35">
      <c r="B2608" s="35">
        <v>36922</v>
      </c>
      <c r="C2608" s="34">
        <v>6795.14</v>
      </c>
      <c r="D2608" s="200"/>
    </row>
    <row r="2609" spans="2:4" x14ac:dyDescent="0.35">
      <c r="B2609" s="35">
        <v>36923</v>
      </c>
      <c r="C2609" s="34">
        <v>6704.68</v>
      </c>
      <c r="D2609" s="200"/>
    </row>
    <row r="2610" spans="2:4" x14ac:dyDescent="0.35">
      <c r="B2610" s="35">
        <v>36924</v>
      </c>
      <c r="C2610" s="34">
        <v>6638.2</v>
      </c>
      <c r="D2610" s="200"/>
    </row>
    <row r="2611" spans="2:4" x14ac:dyDescent="0.35">
      <c r="B2611" s="35">
        <v>36927</v>
      </c>
      <c r="C2611" s="34">
        <v>6628.07</v>
      </c>
      <c r="D2611" s="200"/>
    </row>
    <row r="2612" spans="2:4" x14ac:dyDescent="0.35">
      <c r="B2612" s="35">
        <v>36928</v>
      </c>
      <c r="C2612" s="34">
        <v>6693.03</v>
      </c>
      <c r="D2612" s="200"/>
    </row>
    <row r="2613" spans="2:4" x14ac:dyDescent="0.35">
      <c r="B2613" s="35">
        <v>36929</v>
      </c>
      <c r="C2613" s="34">
        <v>6578.96</v>
      </c>
      <c r="D2613" s="200"/>
    </row>
    <row r="2614" spans="2:4" x14ac:dyDescent="0.35">
      <c r="B2614" s="35">
        <v>36930</v>
      </c>
      <c r="C2614" s="34">
        <v>6636.81</v>
      </c>
      <c r="D2614" s="200"/>
    </row>
    <row r="2615" spans="2:4" x14ac:dyDescent="0.35">
      <c r="B2615" s="35">
        <v>36931</v>
      </c>
      <c r="C2615" s="34">
        <v>6497.07</v>
      </c>
      <c r="D2615" s="200"/>
    </row>
    <row r="2616" spans="2:4" x14ac:dyDescent="0.35">
      <c r="B2616" s="35">
        <v>36934</v>
      </c>
      <c r="C2616" s="34">
        <v>6564.91</v>
      </c>
      <c r="D2616" s="200"/>
    </row>
    <row r="2617" spans="2:4" x14ac:dyDescent="0.35">
      <c r="B2617" s="35">
        <v>36935</v>
      </c>
      <c r="C2617" s="34">
        <v>6557.93</v>
      </c>
      <c r="D2617" s="200"/>
    </row>
    <row r="2618" spans="2:4" x14ac:dyDescent="0.35">
      <c r="B2618" s="35">
        <v>36936</v>
      </c>
      <c r="C2618" s="34">
        <v>6479.87</v>
      </c>
      <c r="D2618" s="200"/>
    </row>
    <row r="2619" spans="2:4" x14ac:dyDescent="0.35">
      <c r="B2619" s="35">
        <v>36937</v>
      </c>
      <c r="C2619" s="34">
        <v>6591.67</v>
      </c>
      <c r="D2619" s="200"/>
    </row>
    <row r="2620" spans="2:4" x14ac:dyDescent="0.35">
      <c r="B2620" s="35">
        <v>36938</v>
      </c>
      <c r="C2620" s="34">
        <v>6439.26</v>
      </c>
      <c r="D2620" s="200"/>
    </row>
    <row r="2621" spans="2:4" x14ac:dyDescent="0.35">
      <c r="B2621" s="35">
        <v>36941</v>
      </c>
      <c r="C2621" s="34">
        <v>6472.21</v>
      </c>
      <c r="D2621" s="200"/>
    </row>
    <row r="2622" spans="2:4" x14ac:dyDescent="0.35">
      <c r="B2622" s="35">
        <v>36942</v>
      </c>
      <c r="C2622" s="34">
        <v>6451.57</v>
      </c>
      <c r="D2622" s="200"/>
    </row>
    <row r="2623" spans="2:4" x14ac:dyDescent="0.35">
      <c r="B2623" s="35">
        <v>36943</v>
      </c>
      <c r="C2623" s="34">
        <v>6347.99</v>
      </c>
      <c r="D2623" s="200"/>
    </row>
    <row r="2624" spans="2:4" x14ac:dyDescent="0.35">
      <c r="B2624" s="35">
        <v>36944</v>
      </c>
      <c r="C2624" s="34">
        <v>6277.99</v>
      </c>
      <c r="D2624" s="200"/>
    </row>
    <row r="2625" spans="2:4" x14ac:dyDescent="0.35">
      <c r="B2625" s="35">
        <v>36945</v>
      </c>
      <c r="C2625" s="34">
        <v>6075.34</v>
      </c>
      <c r="D2625" s="200"/>
    </row>
    <row r="2626" spans="2:4" x14ac:dyDescent="0.35">
      <c r="B2626" s="35">
        <v>36948</v>
      </c>
      <c r="C2626" s="34">
        <v>6189.07</v>
      </c>
      <c r="D2626" s="200"/>
    </row>
    <row r="2627" spans="2:4" x14ac:dyDescent="0.35">
      <c r="B2627" s="35">
        <v>36949</v>
      </c>
      <c r="C2627" s="34">
        <v>6220.48</v>
      </c>
      <c r="D2627" s="200"/>
    </row>
    <row r="2628" spans="2:4" x14ac:dyDescent="0.35">
      <c r="B2628" s="35">
        <v>36950</v>
      </c>
      <c r="C2628" s="34">
        <v>6208.24</v>
      </c>
      <c r="D2628" s="200"/>
    </row>
    <row r="2629" spans="2:4" x14ac:dyDescent="0.35">
      <c r="B2629" s="35">
        <v>36951</v>
      </c>
      <c r="C2629" s="34">
        <v>6123.38</v>
      </c>
      <c r="D2629" s="200"/>
    </row>
    <row r="2630" spans="2:4" x14ac:dyDescent="0.35">
      <c r="B2630" s="35">
        <v>36952</v>
      </c>
      <c r="C2630" s="34">
        <v>6159.02</v>
      </c>
      <c r="D2630" s="200"/>
    </row>
    <row r="2631" spans="2:4" x14ac:dyDescent="0.35">
      <c r="B2631" s="35">
        <v>36955</v>
      </c>
      <c r="C2631" s="34">
        <v>6216.38</v>
      </c>
      <c r="D2631" s="200"/>
    </row>
    <row r="2632" spans="2:4" x14ac:dyDescent="0.35">
      <c r="B2632" s="35">
        <v>36956</v>
      </c>
      <c r="C2632" s="34">
        <v>6284.06</v>
      </c>
      <c r="D2632" s="200"/>
    </row>
    <row r="2633" spans="2:4" x14ac:dyDescent="0.35">
      <c r="B2633" s="35">
        <v>36957</v>
      </c>
      <c r="C2633" s="34">
        <v>6305.64</v>
      </c>
      <c r="D2633" s="200"/>
    </row>
    <row r="2634" spans="2:4" x14ac:dyDescent="0.35">
      <c r="B2634" s="35">
        <v>36958</v>
      </c>
      <c r="C2634" s="34">
        <v>6267.06</v>
      </c>
      <c r="D2634" s="200"/>
    </row>
    <row r="2635" spans="2:4" x14ac:dyDescent="0.35">
      <c r="B2635" s="35">
        <v>36959</v>
      </c>
      <c r="C2635" s="34">
        <v>6204.42</v>
      </c>
      <c r="D2635" s="200"/>
    </row>
    <row r="2636" spans="2:4" x14ac:dyDescent="0.35">
      <c r="B2636" s="35">
        <v>36962</v>
      </c>
      <c r="C2636" s="34">
        <v>6046.56</v>
      </c>
      <c r="D2636" s="200"/>
    </row>
    <row r="2637" spans="2:4" x14ac:dyDescent="0.35">
      <c r="B2637" s="35">
        <v>36963</v>
      </c>
      <c r="C2637" s="34">
        <v>5962.93</v>
      </c>
      <c r="D2637" s="200"/>
    </row>
    <row r="2638" spans="2:4" x14ac:dyDescent="0.35">
      <c r="B2638" s="35">
        <v>36964</v>
      </c>
      <c r="C2638" s="34">
        <v>5794.12</v>
      </c>
      <c r="D2638" s="200"/>
    </row>
    <row r="2639" spans="2:4" x14ac:dyDescent="0.35">
      <c r="B2639" s="35">
        <v>36965</v>
      </c>
      <c r="C2639" s="34">
        <v>5889.95</v>
      </c>
      <c r="D2639" s="200"/>
    </row>
    <row r="2640" spans="2:4" x14ac:dyDescent="0.35">
      <c r="B2640" s="35">
        <v>36966</v>
      </c>
      <c r="C2640" s="34">
        <v>5734.49</v>
      </c>
      <c r="D2640" s="200"/>
    </row>
    <row r="2641" spans="2:4" x14ac:dyDescent="0.35">
      <c r="B2641" s="35">
        <v>36969</v>
      </c>
      <c r="C2641" s="34">
        <v>5657.29</v>
      </c>
      <c r="D2641" s="200"/>
    </row>
    <row r="2642" spans="2:4" x14ac:dyDescent="0.35">
      <c r="B2642" s="35">
        <v>36970</v>
      </c>
      <c r="C2642" s="34">
        <v>5782.16</v>
      </c>
      <c r="D2642" s="200"/>
    </row>
    <row r="2643" spans="2:4" x14ac:dyDescent="0.35">
      <c r="B2643" s="35">
        <v>36971</v>
      </c>
      <c r="C2643" s="34">
        <v>5622.09</v>
      </c>
      <c r="D2643" s="200"/>
    </row>
    <row r="2644" spans="2:4" x14ac:dyDescent="0.35">
      <c r="B2644" s="35">
        <v>36972</v>
      </c>
      <c r="C2644" s="34">
        <v>5388.02</v>
      </c>
      <c r="D2644" s="200"/>
    </row>
    <row r="2645" spans="2:4" x14ac:dyDescent="0.35">
      <c r="B2645" s="35">
        <v>36973</v>
      </c>
      <c r="C2645" s="34">
        <v>5544.67</v>
      </c>
      <c r="D2645" s="200"/>
    </row>
    <row r="2646" spans="2:4" x14ac:dyDescent="0.35">
      <c r="B2646" s="35">
        <v>36976</v>
      </c>
      <c r="C2646" s="34">
        <v>5726.97</v>
      </c>
      <c r="D2646" s="200"/>
    </row>
    <row r="2647" spans="2:4" x14ac:dyDescent="0.35">
      <c r="B2647" s="35">
        <v>36977</v>
      </c>
      <c r="C2647" s="34">
        <v>5938.21</v>
      </c>
      <c r="D2647" s="200"/>
    </row>
    <row r="2648" spans="2:4" x14ac:dyDescent="0.35">
      <c r="B2648" s="35">
        <v>36978</v>
      </c>
      <c r="C2648" s="34">
        <v>5817.52</v>
      </c>
      <c r="D2648" s="200"/>
    </row>
    <row r="2649" spans="2:4" x14ac:dyDescent="0.35">
      <c r="B2649" s="35">
        <v>36979</v>
      </c>
      <c r="C2649" s="34">
        <v>5879.3</v>
      </c>
      <c r="D2649" s="200"/>
    </row>
    <row r="2650" spans="2:4" x14ac:dyDescent="0.35">
      <c r="B2650" s="35">
        <v>36980</v>
      </c>
      <c r="C2650" s="34">
        <v>5829.95</v>
      </c>
      <c r="D2650" s="200"/>
    </row>
    <row r="2651" spans="2:4" x14ac:dyDescent="0.35">
      <c r="B2651" s="35">
        <v>36983</v>
      </c>
      <c r="C2651" s="34">
        <v>5760.76</v>
      </c>
      <c r="D2651" s="200"/>
    </row>
    <row r="2652" spans="2:4" x14ac:dyDescent="0.35">
      <c r="B2652" s="35">
        <v>36984</v>
      </c>
      <c r="C2652" s="34">
        <v>5553.46</v>
      </c>
      <c r="D2652" s="200"/>
    </row>
    <row r="2653" spans="2:4" x14ac:dyDescent="0.35">
      <c r="B2653" s="35">
        <v>36985</v>
      </c>
      <c r="C2653" s="34">
        <v>5597.66</v>
      </c>
      <c r="D2653" s="200"/>
    </row>
    <row r="2654" spans="2:4" x14ac:dyDescent="0.35">
      <c r="B2654" s="35">
        <v>36986</v>
      </c>
      <c r="C2654" s="34">
        <v>5773.34</v>
      </c>
      <c r="D2654" s="200"/>
    </row>
    <row r="2655" spans="2:4" x14ac:dyDescent="0.35">
      <c r="B2655" s="35">
        <v>36987</v>
      </c>
      <c r="C2655" s="34">
        <v>5698.88</v>
      </c>
      <c r="D2655" s="200"/>
    </row>
    <row r="2656" spans="2:4" x14ac:dyDescent="0.35">
      <c r="B2656" s="35">
        <v>36990</v>
      </c>
      <c r="C2656" s="34">
        <v>5781.01</v>
      </c>
      <c r="D2656" s="200"/>
    </row>
    <row r="2657" spans="2:4" x14ac:dyDescent="0.35">
      <c r="B2657" s="35">
        <v>36991</v>
      </c>
      <c r="C2657" s="34">
        <v>5913.84</v>
      </c>
      <c r="D2657" s="200"/>
    </row>
    <row r="2658" spans="2:4" x14ac:dyDescent="0.35">
      <c r="B2658" s="35">
        <v>36992</v>
      </c>
      <c r="C2658" s="34">
        <v>5951.16</v>
      </c>
      <c r="D2658" s="200"/>
    </row>
    <row r="2659" spans="2:4" x14ac:dyDescent="0.35">
      <c r="B2659" s="35">
        <v>36993</v>
      </c>
      <c r="C2659" s="34">
        <v>6002.3</v>
      </c>
      <c r="D2659" s="200"/>
    </row>
    <row r="2660" spans="2:4" x14ac:dyDescent="0.35">
      <c r="B2660" s="35">
        <v>36998</v>
      </c>
      <c r="C2660" s="34">
        <v>5935.58</v>
      </c>
      <c r="D2660" s="200"/>
    </row>
    <row r="2661" spans="2:4" x14ac:dyDescent="0.35">
      <c r="B2661" s="35">
        <v>36999</v>
      </c>
      <c r="C2661" s="34">
        <v>6164.88</v>
      </c>
      <c r="D2661" s="200"/>
    </row>
    <row r="2662" spans="2:4" x14ac:dyDescent="0.35">
      <c r="B2662" s="35">
        <v>37000</v>
      </c>
      <c r="C2662" s="34">
        <v>6181.91</v>
      </c>
      <c r="D2662" s="200"/>
    </row>
    <row r="2663" spans="2:4" x14ac:dyDescent="0.35">
      <c r="B2663" s="35">
        <v>37001</v>
      </c>
      <c r="C2663" s="34">
        <v>6127.97</v>
      </c>
      <c r="D2663" s="200"/>
    </row>
    <row r="2664" spans="2:4" x14ac:dyDescent="0.35">
      <c r="B2664" s="35">
        <v>37004</v>
      </c>
      <c r="C2664" s="34">
        <v>6051.48</v>
      </c>
      <c r="D2664" s="200"/>
    </row>
    <row r="2665" spans="2:4" x14ac:dyDescent="0.35">
      <c r="B2665" s="35">
        <v>37005</v>
      </c>
      <c r="C2665" s="34">
        <v>6124.57</v>
      </c>
      <c r="D2665" s="200"/>
    </row>
    <row r="2666" spans="2:4" x14ac:dyDescent="0.35">
      <c r="B2666" s="35">
        <v>37006</v>
      </c>
      <c r="C2666" s="34">
        <v>6115.19</v>
      </c>
      <c r="D2666" s="200"/>
    </row>
    <row r="2667" spans="2:4" x14ac:dyDescent="0.35">
      <c r="B2667" s="35">
        <v>37007</v>
      </c>
      <c r="C2667" s="34">
        <v>6123.66</v>
      </c>
      <c r="D2667" s="200"/>
    </row>
    <row r="2668" spans="2:4" x14ac:dyDescent="0.35">
      <c r="B2668" s="35">
        <v>37008</v>
      </c>
      <c r="C2668" s="34">
        <v>6175.24</v>
      </c>
      <c r="D2668" s="200"/>
    </row>
    <row r="2669" spans="2:4" x14ac:dyDescent="0.35">
      <c r="B2669" s="35">
        <v>37011</v>
      </c>
      <c r="C2669" s="34">
        <v>6264.51</v>
      </c>
      <c r="D2669" s="200"/>
    </row>
    <row r="2670" spans="2:4" x14ac:dyDescent="0.35">
      <c r="B2670" s="35">
        <v>37013</v>
      </c>
      <c r="C2670" s="34">
        <v>6213.84</v>
      </c>
      <c r="D2670" s="200"/>
    </row>
    <row r="2671" spans="2:4" x14ac:dyDescent="0.35">
      <c r="B2671" s="35">
        <v>37014</v>
      </c>
      <c r="C2671" s="34">
        <v>6089.17</v>
      </c>
      <c r="D2671" s="200"/>
    </row>
    <row r="2672" spans="2:4" x14ac:dyDescent="0.35">
      <c r="B2672" s="35">
        <v>37015</v>
      </c>
      <c r="C2672" s="34">
        <v>6138.28</v>
      </c>
      <c r="D2672" s="200"/>
    </row>
    <row r="2673" spans="2:4" x14ac:dyDescent="0.35">
      <c r="B2673" s="35">
        <v>37018</v>
      </c>
      <c r="C2673" s="34">
        <v>6122.62</v>
      </c>
      <c r="D2673" s="200"/>
    </row>
    <row r="2674" spans="2:4" x14ac:dyDescent="0.35">
      <c r="B2674" s="35">
        <v>37019</v>
      </c>
      <c r="C2674" s="34">
        <v>6108.72</v>
      </c>
      <c r="D2674" s="200"/>
    </row>
    <row r="2675" spans="2:4" x14ac:dyDescent="0.35">
      <c r="B2675" s="35">
        <v>37020</v>
      </c>
      <c r="C2675" s="34">
        <v>6063.94</v>
      </c>
      <c r="D2675" s="200"/>
    </row>
    <row r="2676" spans="2:4" x14ac:dyDescent="0.35">
      <c r="B2676" s="35">
        <v>37021</v>
      </c>
      <c r="C2676" s="34">
        <v>6165.18</v>
      </c>
      <c r="D2676" s="200"/>
    </row>
    <row r="2677" spans="2:4" x14ac:dyDescent="0.35">
      <c r="B2677" s="35">
        <v>37022</v>
      </c>
      <c r="C2677" s="34">
        <v>6141.02</v>
      </c>
      <c r="D2677" s="200"/>
    </row>
    <row r="2678" spans="2:4" x14ac:dyDescent="0.35">
      <c r="B2678" s="35">
        <v>37025</v>
      </c>
      <c r="C2678" s="34">
        <v>6064.68</v>
      </c>
      <c r="D2678" s="200"/>
    </row>
    <row r="2679" spans="2:4" x14ac:dyDescent="0.35">
      <c r="B2679" s="35">
        <v>37026</v>
      </c>
      <c r="C2679" s="34">
        <v>6070.38</v>
      </c>
      <c r="D2679" s="200"/>
    </row>
    <row r="2680" spans="2:4" x14ac:dyDescent="0.35">
      <c r="B2680" s="35">
        <v>37027</v>
      </c>
      <c r="C2680" s="34">
        <v>6148.44</v>
      </c>
      <c r="D2680" s="200"/>
    </row>
    <row r="2681" spans="2:4" x14ac:dyDescent="0.35">
      <c r="B2681" s="35">
        <v>37028</v>
      </c>
      <c r="C2681" s="34">
        <v>6173.81</v>
      </c>
      <c r="D2681" s="200"/>
    </row>
    <row r="2682" spans="2:4" x14ac:dyDescent="0.35">
      <c r="B2682" s="35">
        <v>37029</v>
      </c>
      <c r="C2682" s="34">
        <v>6186.87</v>
      </c>
      <c r="D2682" s="200"/>
    </row>
    <row r="2683" spans="2:4" x14ac:dyDescent="0.35">
      <c r="B2683" s="35">
        <v>37032</v>
      </c>
      <c r="C2683" s="34">
        <v>6249.87</v>
      </c>
      <c r="D2683" s="200"/>
    </row>
    <row r="2684" spans="2:4" x14ac:dyDescent="0.35">
      <c r="B2684" s="35">
        <v>37033</v>
      </c>
      <c r="C2684" s="34">
        <v>6270.59</v>
      </c>
      <c r="D2684" s="200"/>
    </row>
    <row r="2685" spans="2:4" x14ac:dyDescent="0.35">
      <c r="B2685" s="35">
        <v>37034</v>
      </c>
      <c r="C2685" s="34">
        <v>6215.25</v>
      </c>
      <c r="D2685" s="200"/>
    </row>
    <row r="2686" spans="2:4" x14ac:dyDescent="0.35">
      <c r="B2686" s="35">
        <v>37035</v>
      </c>
      <c r="C2686" s="34">
        <v>6278.9</v>
      </c>
      <c r="D2686" s="200"/>
    </row>
    <row r="2687" spans="2:4" x14ac:dyDescent="0.35">
      <c r="B2687" s="35">
        <v>37036</v>
      </c>
      <c r="C2687" s="34">
        <v>6223.57</v>
      </c>
      <c r="D2687" s="200"/>
    </row>
    <row r="2688" spans="2:4" x14ac:dyDescent="0.35">
      <c r="B2688" s="35">
        <v>37039</v>
      </c>
      <c r="C2688" s="34">
        <v>6216.83</v>
      </c>
      <c r="D2688" s="200"/>
    </row>
    <row r="2689" spans="2:4" x14ac:dyDescent="0.35">
      <c r="B2689" s="35">
        <v>37040</v>
      </c>
      <c r="C2689" s="34">
        <v>6120.33</v>
      </c>
      <c r="D2689" s="200"/>
    </row>
    <row r="2690" spans="2:4" x14ac:dyDescent="0.35">
      <c r="B2690" s="35">
        <v>37041</v>
      </c>
      <c r="C2690" s="34">
        <v>6041.22</v>
      </c>
      <c r="D2690" s="200"/>
    </row>
    <row r="2691" spans="2:4" x14ac:dyDescent="0.35">
      <c r="B2691" s="35">
        <v>37042</v>
      </c>
      <c r="C2691" s="34">
        <v>6123.26</v>
      </c>
      <c r="D2691" s="200"/>
    </row>
    <row r="2692" spans="2:4" x14ac:dyDescent="0.35">
      <c r="B2692" s="35">
        <v>37043</v>
      </c>
      <c r="C2692" s="34">
        <v>6125.17</v>
      </c>
      <c r="D2692" s="200"/>
    </row>
    <row r="2693" spans="2:4" x14ac:dyDescent="0.35">
      <c r="B2693" s="35">
        <v>37046</v>
      </c>
      <c r="C2693" s="34">
        <v>6177.74</v>
      </c>
      <c r="D2693" s="200"/>
    </row>
    <row r="2694" spans="2:4" x14ac:dyDescent="0.35">
      <c r="B2694" s="35">
        <v>37047</v>
      </c>
      <c r="C2694" s="34">
        <v>6242.13</v>
      </c>
      <c r="D2694" s="200"/>
    </row>
    <row r="2695" spans="2:4" x14ac:dyDescent="0.35">
      <c r="B2695" s="35">
        <v>37048</v>
      </c>
      <c r="C2695" s="34">
        <v>6192.44</v>
      </c>
      <c r="D2695" s="200"/>
    </row>
    <row r="2696" spans="2:4" x14ac:dyDescent="0.35">
      <c r="B2696" s="35">
        <v>37049</v>
      </c>
      <c r="C2696" s="34">
        <v>6184.25</v>
      </c>
      <c r="D2696" s="200"/>
    </row>
    <row r="2697" spans="2:4" x14ac:dyDescent="0.35">
      <c r="B2697" s="35">
        <v>37050</v>
      </c>
      <c r="C2697" s="34">
        <v>6187.21</v>
      </c>
      <c r="D2697" s="200"/>
    </row>
    <row r="2698" spans="2:4" x14ac:dyDescent="0.35">
      <c r="B2698" s="35">
        <v>37053</v>
      </c>
      <c r="C2698" s="34">
        <v>6162.74</v>
      </c>
      <c r="D2698" s="200"/>
    </row>
    <row r="2699" spans="2:4" x14ac:dyDescent="0.35">
      <c r="B2699" s="35">
        <v>37054</v>
      </c>
      <c r="C2699" s="34">
        <v>6059.15</v>
      </c>
      <c r="D2699" s="200"/>
    </row>
    <row r="2700" spans="2:4" x14ac:dyDescent="0.35">
      <c r="B2700" s="35">
        <v>37055</v>
      </c>
      <c r="C2700" s="34">
        <v>6111.94</v>
      </c>
      <c r="D2700" s="200"/>
    </row>
    <row r="2701" spans="2:4" x14ac:dyDescent="0.35">
      <c r="B2701" s="35">
        <v>37056</v>
      </c>
      <c r="C2701" s="34">
        <v>6031.27</v>
      </c>
      <c r="D2701" s="200"/>
    </row>
    <row r="2702" spans="2:4" x14ac:dyDescent="0.35">
      <c r="B2702" s="35">
        <v>37057</v>
      </c>
      <c r="C2702" s="34">
        <v>5915.18</v>
      </c>
      <c r="D2702" s="200"/>
    </row>
    <row r="2703" spans="2:4" x14ac:dyDescent="0.35">
      <c r="B2703" s="35">
        <v>37060</v>
      </c>
      <c r="C2703" s="34">
        <v>5869.04</v>
      </c>
      <c r="D2703" s="200"/>
    </row>
    <row r="2704" spans="2:4" x14ac:dyDescent="0.35">
      <c r="B2704" s="35">
        <v>37061</v>
      </c>
      <c r="C2704" s="34">
        <v>5922.53</v>
      </c>
      <c r="D2704" s="200"/>
    </row>
    <row r="2705" spans="2:4" x14ac:dyDescent="0.35">
      <c r="B2705" s="35">
        <v>37062</v>
      </c>
      <c r="C2705" s="34">
        <v>5876.04</v>
      </c>
      <c r="D2705" s="200"/>
    </row>
    <row r="2706" spans="2:4" x14ac:dyDescent="0.35">
      <c r="B2706" s="35">
        <v>37063</v>
      </c>
      <c r="C2706" s="34">
        <v>5926.38</v>
      </c>
      <c r="D2706" s="200"/>
    </row>
    <row r="2707" spans="2:4" x14ac:dyDescent="0.35">
      <c r="B2707" s="35">
        <v>37064</v>
      </c>
      <c r="C2707" s="34">
        <v>5941.77</v>
      </c>
      <c r="D2707" s="200"/>
    </row>
    <row r="2708" spans="2:4" x14ac:dyDescent="0.35">
      <c r="B2708" s="35">
        <v>37067</v>
      </c>
      <c r="C2708" s="34">
        <v>5902.32</v>
      </c>
      <c r="D2708" s="200"/>
    </row>
    <row r="2709" spans="2:4" x14ac:dyDescent="0.35">
      <c r="B2709" s="35">
        <v>37068</v>
      </c>
      <c r="C2709" s="34">
        <v>5847.79</v>
      </c>
      <c r="D2709" s="200"/>
    </row>
    <row r="2710" spans="2:4" x14ac:dyDescent="0.35">
      <c r="B2710" s="35">
        <v>37069</v>
      </c>
      <c r="C2710" s="34">
        <v>5833.1</v>
      </c>
      <c r="D2710" s="200"/>
    </row>
    <row r="2711" spans="2:4" x14ac:dyDescent="0.35">
      <c r="B2711" s="35">
        <v>37070</v>
      </c>
      <c r="C2711" s="34">
        <v>5971.77</v>
      </c>
      <c r="D2711" s="200"/>
    </row>
    <row r="2712" spans="2:4" x14ac:dyDescent="0.35">
      <c r="B2712" s="35">
        <v>37071</v>
      </c>
      <c r="C2712" s="34">
        <v>6058.38</v>
      </c>
      <c r="D2712" s="200"/>
    </row>
    <row r="2713" spans="2:4" x14ac:dyDescent="0.35">
      <c r="B2713" s="35">
        <v>37074</v>
      </c>
      <c r="C2713" s="34">
        <v>6109.5</v>
      </c>
      <c r="D2713" s="200"/>
    </row>
    <row r="2714" spans="2:4" x14ac:dyDescent="0.35">
      <c r="B2714" s="35">
        <v>37075</v>
      </c>
      <c r="C2714" s="34">
        <v>6056.84</v>
      </c>
      <c r="D2714" s="200"/>
    </row>
    <row r="2715" spans="2:4" x14ac:dyDescent="0.35">
      <c r="B2715" s="35">
        <v>37076</v>
      </c>
      <c r="C2715" s="34">
        <v>6015.72</v>
      </c>
      <c r="D2715" s="200"/>
    </row>
    <row r="2716" spans="2:4" x14ac:dyDescent="0.35">
      <c r="B2716" s="35">
        <v>37077</v>
      </c>
      <c r="C2716" s="34">
        <v>5999.19</v>
      </c>
      <c r="D2716" s="200"/>
    </row>
    <row r="2717" spans="2:4" x14ac:dyDescent="0.35">
      <c r="B2717" s="35">
        <v>37078</v>
      </c>
      <c r="C2717" s="34">
        <v>5862.1</v>
      </c>
      <c r="D2717" s="200"/>
    </row>
    <row r="2718" spans="2:4" x14ac:dyDescent="0.35">
      <c r="B2718" s="35">
        <v>37081</v>
      </c>
      <c r="C2718" s="34">
        <v>5869.86</v>
      </c>
      <c r="D2718" s="200"/>
    </row>
    <row r="2719" spans="2:4" x14ac:dyDescent="0.35">
      <c r="B2719" s="35">
        <v>37082</v>
      </c>
      <c r="C2719" s="34">
        <v>5816.32</v>
      </c>
      <c r="D2719" s="200"/>
    </row>
    <row r="2720" spans="2:4" x14ac:dyDescent="0.35">
      <c r="B2720" s="35">
        <v>37083</v>
      </c>
      <c r="C2720" s="34">
        <v>5801.8</v>
      </c>
      <c r="D2720" s="200"/>
    </row>
    <row r="2721" spans="2:4" x14ac:dyDescent="0.35">
      <c r="B2721" s="35">
        <v>37084</v>
      </c>
      <c r="C2721" s="34">
        <v>5889.88</v>
      </c>
      <c r="D2721" s="200"/>
    </row>
    <row r="2722" spans="2:4" x14ac:dyDescent="0.35">
      <c r="B2722" s="35">
        <v>37085</v>
      </c>
      <c r="C2722" s="34">
        <v>5928.01</v>
      </c>
      <c r="D2722" s="200"/>
    </row>
    <row r="2723" spans="2:4" x14ac:dyDescent="0.35">
      <c r="B2723" s="35">
        <v>37088</v>
      </c>
      <c r="C2723" s="34">
        <v>5853.76</v>
      </c>
      <c r="D2723" s="200"/>
    </row>
    <row r="2724" spans="2:4" x14ac:dyDescent="0.35">
      <c r="B2724" s="35">
        <v>37089</v>
      </c>
      <c r="C2724" s="34">
        <v>5846.66</v>
      </c>
      <c r="D2724" s="200"/>
    </row>
    <row r="2725" spans="2:4" x14ac:dyDescent="0.35">
      <c r="B2725" s="35">
        <v>37090</v>
      </c>
      <c r="C2725" s="34">
        <v>5728.37</v>
      </c>
      <c r="D2725" s="200"/>
    </row>
    <row r="2726" spans="2:4" x14ac:dyDescent="0.35">
      <c r="B2726" s="35">
        <v>37091</v>
      </c>
      <c r="C2726" s="34">
        <v>5829.69</v>
      </c>
      <c r="D2726" s="200"/>
    </row>
    <row r="2727" spans="2:4" x14ac:dyDescent="0.35">
      <c r="B2727" s="35">
        <v>37092</v>
      </c>
      <c r="C2727" s="34">
        <v>5764.06</v>
      </c>
      <c r="D2727" s="200"/>
    </row>
    <row r="2728" spans="2:4" x14ac:dyDescent="0.35">
      <c r="B2728" s="35">
        <v>37095</v>
      </c>
      <c r="C2728" s="34">
        <v>5791.73</v>
      </c>
      <c r="D2728" s="200"/>
    </row>
    <row r="2729" spans="2:4" x14ac:dyDescent="0.35">
      <c r="B2729" s="35">
        <v>37096</v>
      </c>
      <c r="C2729" s="34">
        <v>5663.26</v>
      </c>
      <c r="D2729" s="200"/>
    </row>
    <row r="2730" spans="2:4" x14ac:dyDescent="0.35">
      <c r="B2730" s="35">
        <v>37097</v>
      </c>
      <c r="C2730" s="34">
        <v>5582.76</v>
      </c>
      <c r="D2730" s="200"/>
    </row>
    <row r="2731" spans="2:4" x14ac:dyDescent="0.35">
      <c r="B2731" s="35">
        <v>37098</v>
      </c>
      <c r="C2731" s="34">
        <v>5675.76</v>
      </c>
      <c r="D2731" s="200"/>
    </row>
    <row r="2732" spans="2:4" x14ac:dyDescent="0.35">
      <c r="B2732" s="35">
        <v>37099</v>
      </c>
      <c r="C2732" s="34">
        <v>5754.86</v>
      </c>
      <c r="D2732" s="200"/>
    </row>
    <row r="2733" spans="2:4" x14ac:dyDescent="0.35">
      <c r="B2733" s="35">
        <v>37102</v>
      </c>
      <c r="C2733" s="34">
        <v>5792.19</v>
      </c>
      <c r="D2733" s="200"/>
    </row>
    <row r="2734" spans="2:4" x14ac:dyDescent="0.35">
      <c r="B2734" s="35">
        <v>37103</v>
      </c>
      <c r="C2734" s="34">
        <v>5861.19</v>
      </c>
      <c r="D2734" s="200"/>
    </row>
    <row r="2735" spans="2:4" x14ac:dyDescent="0.35">
      <c r="B2735" s="35">
        <v>37104</v>
      </c>
      <c r="C2735" s="34">
        <v>5835.23</v>
      </c>
      <c r="D2735" s="200"/>
    </row>
    <row r="2736" spans="2:4" x14ac:dyDescent="0.35">
      <c r="B2736" s="35">
        <v>37105</v>
      </c>
      <c r="C2736" s="34">
        <v>5777.28</v>
      </c>
      <c r="D2736" s="200"/>
    </row>
    <row r="2737" spans="2:4" x14ac:dyDescent="0.35">
      <c r="B2737" s="35">
        <v>37106</v>
      </c>
      <c r="C2737" s="34">
        <v>5735.88</v>
      </c>
      <c r="D2737" s="200"/>
    </row>
    <row r="2738" spans="2:4" x14ac:dyDescent="0.35">
      <c r="B2738" s="35">
        <v>37109</v>
      </c>
      <c r="C2738" s="34">
        <v>5746.04</v>
      </c>
      <c r="D2738" s="200"/>
    </row>
    <row r="2739" spans="2:4" x14ac:dyDescent="0.35">
      <c r="B2739" s="35">
        <v>37110</v>
      </c>
      <c r="C2739" s="34">
        <v>5752.51</v>
      </c>
      <c r="D2739" s="200"/>
    </row>
    <row r="2740" spans="2:4" x14ac:dyDescent="0.35">
      <c r="B2740" s="35">
        <v>37111</v>
      </c>
      <c r="C2740" s="34">
        <v>5614.51</v>
      </c>
      <c r="D2740" s="200"/>
    </row>
    <row r="2741" spans="2:4" x14ac:dyDescent="0.35">
      <c r="B2741" s="35">
        <v>37112</v>
      </c>
      <c r="C2741" s="34">
        <v>5512.28</v>
      </c>
      <c r="D2741" s="200"/>
    </row>
    <row r="2742" spans="2:4" x14ac:dyDescent="0.35">
      <c r="B2742" s="35">
        <v>37113</v>
      </c>
      <c r="C2742" s="34">
        <v>5433.49</v>
      </c>
      <c r="D2742" s="200"/>
    </row>
    <row r="2743" spans="2:4" x14ac:dyDescent="0.35">
      <c r="B2743" s="35">
        <v>37116</v>
      </c>
      <c r="C2743" s="34">
        <v>5453.77</v>
      </c>
      <c r="D2743" s="200"/>
    </row>
    <row r="2744" spans="2:4" x14ac:dyDescent="0.35">
      <c r="B2744" s="35">
        <v>37117</v>
      </c>
      <c r="C2744" s="34">
        <v>5520.71</v>
      </c>
      <c r="D2744" s="200"/>
    </row>
    <row r="2745" spans="2:4" x14ac:dyDescent="0.35">
      <c r="B2745" s="35">
        <v>37118</v>
      </c>
      <c r="C2745" s="34">
        <v>5455.44</v>
      </c>
      <c r="D2745" s="200"/>
    </row>
    <row r="2746" spans="2:4" x14ac:dyDescent="0.35">
      <c r="B2746" s="35">
        <v>37119</v>
      </c>
      <c r="C2746" s="34">
        <v>5361.92</v>
      </c>
      <c r="D2746" s="200"/>
    </row>
    <row r="2747" spans="2:4" x14ac:dyDescent="0.35">
      <c r="B2747" s="35">
        <v>37120</v>
      </c>
      <c r="C2747" s="34">
        <v>5222.12</v>
      </c>
      <c r="D2747" s="200"/>
    </row>
    <row r="2748" spans="2:4" x14ac:dyDescent="0.35">
      <c r="B2748" s="35">
        <v>37123</v>
      </c>
      <c r="C2748" s="34">
        <v>5207.83</v>
      </c>
      <c r="D2748" s="200"/>
    </row>
    <row r="2749" spans="2:4" x14ac:dyDescent="0.35">
      <c r="B2749" s="35">
        <v>37124</v>
      </c>
      <c r="C2749" s="34">
        <v>5216.1099999999997</v>
      </c>
      <c r="D2749" s="200"/>
    </row>
    <row r="2750" spans="2:4" x14ac:dyDescent="0.35">
      <c r="B2750" s="35">
        <v>37125</v>
      </c>
      <c r="C2750" s="34">
        <v>5220.21</v>
      </c>
      <c r="D2750" s="200"/>
    </row>
    <row r="2751" spans="2:4" x14ac:dyDescent="0.35">
      <c r="B2751" s="35">
        <v>37126</v>
      </c>
      <c r="C2751" s="34">
        <v>5254.04</v>
      </c>
      <c r="D2751" s="200"/>
    </row>
    <row r="2752" spans="2:4" x14ac:dyDescent="0.35">
      <c r="B2752" s="35">
        <v>37127</v>
      </c>
      <c r="C2752" s="34">
        <v>5387.5</v>
      </c>
      <c r="D2752" s="200"/>
    </row>
    <row r="2753" spans="2:4" x14ac:dyDescent="0.35">
      <c r="B2753" s="35">
        <v>37130</v>
      </c>
      <c r="C2753" s="34">
        <v>5406.47</v>
      </c>
      <c r="D2753" s="200"/>
    </row>
    <row r="2754" spans="2:4" x14ac:dyDescent="0.35">
      <c r="B2754" s="35">
        <v>37131</v>
      </c>
      <c r="C2754" s="34">
        <v>5308.78</v>
      </c>
      <c r="D2754" s="200"/>
    </row>
    <row r="2755" spans="2:4" x14ac:dyDescent="0.35">
      <c r="B2755" s="35">
        <v>37132</v>
      </c>
      <c r="C2755" s="34">
        <v>5305</v>
      </c>
      <c r="D2755" s="200"/>
    </row>
    <row r="2756" spans="2:4" x14ac:dyDescent="0.35">
      <c r="B2756" s="35">
        <v>37133</v>
      </c>
      <c r="C2756" s="34">
        <v>5162.3999999999996</v>
      </c>
      <c r="D2756" s="200"/>
    </row>
    <row r="2757" spans="2:4" x14ac:dyDescent="0.35">
      <c r="B2757" s="35">
        <v>37134</v>
      </c>
      <c r="C2757" s="34">
        <v>5188.17</v>
      </c>
      <c r="D2757" s="200"/>
    </row>
    <row r="2758" spans="2:4" x14ac:dyDescent="0.35">
      <c r="B2758" s="35">
        <v>37137</v>
      </c>
      <c r="C2758" s="34">
        <v>5094.1000000000004</v>
      </c>
      <c r="D2758" s="200"/>
    </row>
    <row r="2759" spans="2:4" x14ac:dyDescent="0.35">
      <c r="B2759" s="35">
        <v>37138</v>
      </c>
      <c r="C2759" s="34">
        <v>5208.1000000000004</v>
      </c>
      <c r="D2759" s="200"/>
    </row>
    <row r="2760" spans="2:4" x14ac:dyDescent="0.35">
      <c r="B2760" s="35">
        <v>37139</v>
      </c>
      <c r="C2760" s="34">
        <v>5048.08</v>
      </c>
      <c r="D2760" s="200"/>
    </row>
    <row r="2761" spans="2:4" x14ac:dyDescent="0.35">
      <c r="B2761" s="35">
        <v>37140</v>
      </c>
      <c r="C2761" s="34">
        <v>4875.37</v>
      </c>
      <c r="D2761" s="200"/>
    </row>
    <row r="2762" spans="2:4" x14ac:dyDescent="0.35">
      <c r="B2762" s="35">
        <v>37141</v>
      </c>
      <c r="C2762" s="34">
        <v>4730.67</v>
      </c>
      <c r="D2762" s="200"/>
    </row>
    <row r="2763" spans="2:4" x14ac:dyDescent="0.35">
      <c r="B2763" s="35">
        <v>37144</v>
      </c>
      <c r="C2763" s="34">
        <v>4670.13</v>
      </c>
      <c r="D2763" s="200"/>
    </row>
    <row r="2764" spans="2:4" x14ac:dyDescent="0.35">
      <c r="B2764" s="35">
        <v>37146</v>
      </c>
      <c r="C2764" s="34">
        <v>4369.57</v>
      </c>
      <c r="D2764" s="200"/>
    </row>
    <row r="2765" spans="2:4" x14ac:dyDescent="0.35">
      <c r="B2765" s="35">
        <v>37147</v>
      </c>
      <c r="C2765" s="34">
        <v>4392.3999999999996</v>
      </c>
      <c r="D2765" s="200"/>
    </row>
    <row r="2766" spans="2:4" x14ac:dyDescent="0.35">
      <c r="B2766" s="35">
        <v>37148</v>
      </c>
      <c r="C2766" s="34">
        <v>4115.9799999999996</v>
      </c>
      <c r="D2766" s="200"/>
    </row>
    <row r="2767" spans="2:4" x14ac:dyDescent="0.35">
      <c r="B2767" s="35">
        <v>37151</v>
      </c>
      <c r="C2767" s="34">
        <v>4243.68</v>
      </c>
      <c r="D2767" s="200"/>
    </row>
    <row r="2768" spans="2:4" x14ac:dyDescent="0.35">
      <c r="B2768" s="35">
        <v>37152</v>
      </c>
      <c r="C2768" s="34">
        <v>4194.8500000000004</v>
      </c>
      <c r="D2768" s="200"/>
    </row>
    <row r="2769" spans="2:4" x14ac:dyDescent="0.35">
      <c r="B2769" s="35">
        <v>37153</v>
      </c>
      <c r="C2769" s="34">
        <v>4041.8</v>
      </c>
      <c r="D2769" s="200"/>
    </row>
    <row r="2770" spans="2:4" x14ac:dyDescent="0.35">
      <c r="B2770" s="35">
        <v>37154</v>
      </c>
      <c r="C2770" s="34">
        <v>3809.67</v>
      </c>
      <c r="D2770" s="200"/>
    </row>
    <row r="2771" spans="2:4" x14ac:dyDescent="0.35">
      <c r="B2771" s="35">
        <v>37155</v>
      </c>
      <c r="C2771" s="34">
        <v>3787.23</v>
      </c>
      <c r="D2771" s="200"/>
    </row>
    <row r="2772" spans="2:4" x14ac:dyDescent="0.35">
      <c r="B2772" s="35">
        <v>37158</v>
      </c>
      <c r="C2772" s="34">
        <v>4038.69</v>
      </c>
      <c r="D2772" s="200"/>
    </row>
    <row r="2773" spans="2:4" x14ac:dyDescent="0.35">
      <c r="B2773" s="35">
        <v>37159</v>
      </c>
      <c r="C2773" s="34">
        <v>4009.12</v>
      </c>
      <c r="D2773" s="200"/>
    </row>
    <row r="2774" spans="2:4" x14ac:dyDescent="0.35">
      <c r="B2774" s="35">
        <v>37160</v>
      </c>
      <c r="C2774" s="34">
        <v>4095.32</v>
      </c>
      <c r="D2774" s="200"/>
    </row>
    <row r="2775" spans="2:4" x14ac:dyDescent="0.35">
      <c r="B2775" s="35">
        <v>37161</v>
      </c>
      <c r="C2775" s="34">
        <v>4184.5</v>
      </c>
      <c r="D2775" s="200"/>
    </row>
    <row r="2776" spans="2:4" x14ac:dyDescent="0.35">
      <c r="B2776" s="35">
        <v>37162</v>
      </c>
      <c r="C2776" s="34">
        <v>4308.1499999999996</v>
      </c>
      <c r="D2776" s="200"/>
    </row>
    <row r="2777" spans="2:4" x14ac:dyDescent="0.35">
      <c r="B2777" s="35">
        <v>37165</v>
      </c>
      <c r="C2777" s="34">
        <v>4239.97</v>
      </c>
      <c r="D2777" s="200"/>
    </row>
    <row r="2778" spans="2:4" x14ac:dyDescent="0.35">
      <c r="B2778" s="35">
        <v>37166</v>
      </c>
      <c r="C2778" s="34">
        <v>4304.2</v>
      </c>
      <c r="D2778" s="200"/>
    </row>
    <row r="2779" spans="2:4" x14ac:dyDescent="0.35">
      <c r="B2779" s="35">
        <v>37167</v>
      </c>
      <c r="C2779" s="34">
        <v>4436.66</v>
      </c>
      <c r="D2779" s="200"/>
    </row>
    <row r="2780" spans="2:4" x14ac:dyDescent="0.35">
      <c r="B2780" s="35">
        <v>37168</v>
      </c>
      <c r="C2780" s="34">
        <v>4548.13</v>
      </c>
      <c r="D2780" s="200"/>
    </row>
    <row r="2781" spans="2:4" x14ac:dyDescent="0.35">
      <c r="B2781" s="35">
        <v>37169</v>
      </c>
      <c r="C2781" s="34">
        <v>4487.6899999999996</v>
      </c>
      <c r="D2781" s="200"/>
    </row>
    <row r="2782" spans="2:4" x14ac:dyDescent="0.35">
      <c r="B2782" s="35">
        <v>37172</v>
      </c>
      <c r="C2782" s="34">
        <v>4495.1499999999996</v>
      </c>
      <c r="D2782" s="200"/>
    </row>
    <row r="2783" spans="2:4" x14ac:dyDescent="0.35">
      <c r="B2783" s="35">
        <v>37173</v>
      </c>
      <c r="C2783" s="34">
        <v>4472.42</v>
      </c>
      <c r="D2783" s="200"/>
    </row>
    <row r="2784" spans="2:4" x14ac:dyDescent="0.35">
      <c r="B2784" s="35">
        <v>37174</v>
      </c>
      <c r="C2784" s="34">
        <v>4613.1899999999996</v>
      </c>
      <c r="D2784" s="200"/>
    </row>
    <row r="2785" spans="2:4" x14ac:dyDescent="0.35">
      <c r="B2785" s="35">
        <v>37175</v>
      </c>
      <c r="C2785" s="34">
        <v>4718.46</v>
      </c>
      <c r="D2785" s="200"/>
    </row>
    <row r="2786" spans="2:4" x14ac:dyDescent="0.35">
      <c r="B2786" s="35">
        <v>37176</v>
      </c>
      <c r="C2786" s="34">
        <v>4625.13</v>
      </c>
      <c r="D2786" s="200"/>
    </row>
    <row r="2787" spans="2:4" x14ac:dyDescent="0.35">
      <c r="B2787" s="35">
        <v>37179</v>
      </c>
      <c r="C2787" s="34">
        <v>4548.4799999999996</v>
      </c>
      <c r="D2787" s="200"/>
    </row>
    <row r="2788" spans="2:4" x14ac:dyDescent="0.35">
      <c r="B2788" s="35">
        <v>37180</v>
      </c>
      <c r="C2788" s="34">
        <v>4626.4799999999996</v>
      </c>
      <c r="D2788" s="200"/>
    </row>
    <row r="2789" spans="2:4" x14ac:dyDescent="0.35">
      <c r="B2789" s="35">
        <v>37181</v>
      </c>
      <c r="C2789" s="34">
        <v>4644.82</v>
      </c>
      <c r="D2789" s="200"/>
    </row>
    <row r="2790" spans="2:4" x14ac:dyDescent="0.35">
      <c r="B2790" s="35">
        <v>37182</v>
      </c>
      <c r="C2790" s="34">
        <v>4574.37</v>
      </c>
      <c r="D2790" s="200"/>
    </row>
    <row r="2791" spans="2:4" x14ac:dyDescent="0.35">
      <c r="B2791" s="35">
        <v>37183</v>
      </c>
      <c r="C2791" s="34">
        <v>4513.53</v>
      </c>
      <c r="D2791" s="200"/>
    </row>
    <row r="2792" spans="2:4" x14ac:dyDescent="0.35">
      <c r="B2792" s="35">
        <v>37186</v>
      </c>
      <c r="C2792" s="34">
        <v>4619.32</v>
      </c>
      <c r="D2792" s="200"/>
    </row>
    <row r="2793" spans="2:4" x14ac:dyDescent="0.35">
      <c r="B2793" s="35">
        <v>37187</v>
      </c>
      <c r="C2793" s="34">
        <v>4704.22</v>
      </c>
      <c r="D2793" s="200"/>
    </row>
    <row r="2794" spans="2:4" x14ac:dyDescent="0.35">
      <c r="B2794" s="35">
        <v>37188</v>
      </c>
      <c r="C2794" s="34">
        <v>4811.82</v>
      </c>
      <c r="D2794" s="200"/>
    </row>
    <row r="2795" spans="2:4" x14ac:dyDescent="0.35">
      <c r="B2795" s="35">
        <v>37189</v>
      </c>
      <c r="C2795" s="34">
        <v>4715.6000000000004</v>
      </c>
      <c r="D2795" s="200"/>
    </row>
    <row r="2796" spans="2:4" x14ac:dyDescent="0.35">
      <c r="B2796" s="35">
        <v>37190</v>
      </c>
      <c r="C2796" s="34">
        <v>4820.26</v>
      </c>
      <c r="D2796" s="200"/>
    </row>
    <row r="2797" spans="2:4" x14ac:dyDescent="0.35">
      <c r="B2797" s="35">
        <v>37193</v>
      </c>
      <c r="C2797" s="34">
        <v>4660.3500000000004</v>
      </c>
      <c r="D2797" s="200"/>
    </row>
    <row r="2798" spans="2:4" x14ac:dyDescent="0.35">
      <c r="B2798" s="35">
        <v>37194</v>
      </c>
      <c r="C2798" s="34">
        <v>4543.9799999999996</v>
      </c>
      <c r="D2798" s="200"/>
    </row>
    <row r="2799" spans="2:4" x14ac:dyDescent="0.35">
      <c r="B2799" s="35">
        <v>37195</v>
      </c>
      <c r="C2799" s="34">
        <v>4559.13</v>
      </c>
      <c r="D2799" s="200"/>
    </row>
    <row r="2800" spans="2:4" x14ac:dyDescent="0.35">
      <c r="B2800" s="35">
        <v>37196</v>
      </c>
      <c r="C2800" s="34">
        <v>4636.13</v>
      </c>
      <c r="D2800" s="200"/>
    </row>
    <row r="2801" spans="2:4" x14ac:dyDescent="0.35">
      <c r="B2801" s="35">
        <v>37197</v>
      </c>
      <c r="C2801" s="34">
        <v>4583.3100000000004</v>
      </c>
      <c r="D2801" s="200"/>
    </row>
    <row r="2802" spans="2:4" x14ac:dyDescent="0.35">
      <c r="B2802" s="35">
        <v>37200</v>
      </c>
      <c r="C2802" s="34">
        <v>4755.1099999999997</v>
      </c>
      <c r="D2802" s="200"/>
    </row>
    <row r="2803" spans="2:4" x14ac:dyDescent="0.35">
      <c r="B2803" s="35">
        <v>37201</v>
      </c>
      <c r="C2803" s="34">
        <v>4707.6499999999996</v>
      </c>
      <c r="D2803" s="200"/>
    </row>
    <row r="2804" spans="2:4" x14ac:dyDescent="0.35">
      <c r="B2804" s="35">
        <v>37202</v>
      </c>
      <c r="C2804" s="34">
        <v>4860.66</v>
      </c>
      <c r="D2804" s="200"/>
    </row>
    <row r="2805" spans="2:4" x14ac:dyDescent="0.35">
      <c r="B2805" s="35">
        <v>37203</v>
      </c>
      <c r="C2805" s="34">
        <v>4993.57</v>
      </c>
      <c r="D2805" s="200"/>
    </row>
    <row r="2806" spans="2:4" x14ac:dyDescent="0.35">
      <c r="B2806" s="35">
        <v>37204</v>
      </c>
      <c r="C2806" s="34">
        <v>4910.07</v>
      </c>
      <c r="D2806" s="200"/>
    </row>
    <row r="2807" spans="2:4" x14ac:dyDescent="0.35">
      <c r="B2807" s="35">
        <v>37207</v>
      </c>
      <c r="C2807" s="34">
        <v>4820.37</v>
      </c>
      <c r="D2807" s="200"/>
    </row>
    <row r="2808" spans="2:4" x14ac:dyDescent="0.35">
      <c r="B2808" s="35">
        <v>37208</v>
      </c>
      <c r="C2808" s="34">
        <v>4946.97</v>
      </c>
      <c r="D2808" s="200"/>
    </row>
    <row r="2809" spans="2:4" x14ac:dyDescent="0.35">
      <c r="B2809" s="35">
        <v>37209</v>
      </c>
      <c r="C2809" s="34">
        <v>4953.53</v>
      </c>
      <c r="D2809" s="200"/>
    </row>
    <row r="2810" spans="2:4" x14ac:dyDescent="0.35">
      <c r="B2810" s="35">
        <v>37210</v>
      </c>
      <c r="C2810" s="34">
        <v>5006.33</v>
      </c>
      <c r="D2810" s="200"/>
    </row>
    <row r="2811" spans="2:4" x14ac:dyDescent="0.35">
      <c r="B2811" s="35">
        <v>37211</v>
      </c>
      <c r="C2811" s="34">
        <v>5062.6400000000003</v>
      </c>
      <c r="D2811" s="200"/>
    </row>
    <row r="2812" spans="2:4" x14ac:dyDescent="0.35">
      <c r="B2812" s="35">
        <v>37214</v>
      </c>
      <c r="C2812" s="34">
        <v>5185.1000000000004</v>
      </c>
      <c r="D2812" s="200"/>
    </row>
    <row r="2813" spans="2:4" x14ac:dyDescent="0.35">
      <c r="B2813" s="35">
        <v>37215</v>
      </c>
      <c r="C2813" s="34">
        <v>5096.18</v>
      </c>
      <c r="D2813" s="200"/>
    </row>
    <row r="2814" spans="2:4" x14ac:dyDescent="0.35">
      <c r="B2814" s="35">
        <v>37216</v>
      </c>
      <c r="C2814" s="34">
        <v>5087.03</v>
      </c>
      <c r="D2814" s="200"/>
    </row>
    <row r="2815" spans="2:4" x14ac:dyDescent="0.35">
      <c r="B2815" s="35">
        <v>37217</v>
      </c>
      <c r="C2815" s="34">
        <v>5124.54</v>
      </c>
      <c r="D2815" s="200"/>
    </row>
    <row r="2816" spans="2:4" x14ac:dyDescent="0.35">
      <c r="B2816" s="35">
        <v>37218</v>
      </c>
      <c r="C2816" s="34">
        <v>5150.97</v>
      </c>
      <c r="D2816" s="200"/>
    </row>
    <row r="2817" spans="2:4" x14ac:dyDescent="0.35">
      <c r="B2817" s="35">
        <v>37221</v>
      </c>
      <c r="C2817" s="34">
        <v>5114.12</v>
      </c>
      <c r="D2817" s="200"/>
    </row>
    <row r="2818" spans="2:4" x14ac:dyDescent="0.35">
      <c r="B2818" s="35">
        <v>37222</v>
      </c>
      <c r="C2818" s="34">
        <v>5059.57</v>
      </c>
      <c r="D2818" s="200"/>
    </row>
    <row r="2819" spans="2:4" x14ac:dyDescent="0.35">
      <c r="B2819" s="35">
        <v>37223</v>
      </c>
      <c r="C2819" s="34">
        <v>4915.95</v>
      </c>
      <c r="D2819" s="200"/>
    </row>
    <row r="2820" spans="2:4" x14ac:dyDescent="0.35">
      <c r="B2820" s="35">
        <v>37224</v>
      </c>
      <c r="C2820" s="34">
        <v>4936.08</v>
      </c>
      <c r="D2820" s="200"/>
    </row>
    <row r="2821" spans="2:4" x14ac:dyDescent="0.35">
      <c r="B2821" s="35">
        <v>37225</v>
      </c>
      <c r="C2821" s="34">
        <v>4989.91</v>
      </c>
      <c r="D2821" s="200"/>
    </row>
    <row r="2822" spans="2:4" x14ac:dyDescent="0.35">
      <c r="B2822" s="35">
        <v>37228</v>
      </c>
      <c r="C2822" s="34">
        <v>4988.4399999999996</v>
      </c>
      <c r="D2822" s="200"/>
    </row>
    <row r="2823" spans="2:4" x14ac:dyDescent="0.35">
      <c r="B2823" s="35">
        <v>37229</v>
      </c>
      <c r="C2823" s="34">
        <v>5013.99</v>
      </c>
      <c r="D2823" s="200"/>
    </row>
    <row r="2824" spans="2:4" x14ac:dyDescent="0.35">
      <c r="B2824" s="35">
        <v>37230</v>
      </c>
      <c r="C2824" s="34">
        <v>5262.75</v>
      </c>
      <c r="D2824" s="200"/>
    </row>
    <row r="2825" spans="2:4" x14ac:dyDescent="0.35">
      <c r="B2825" s="35">
        <v>37231</v>
      </c>
      <c r="C2825" s="34">
        <v>5271.29</v>
      </c>
      <c r="D2825" s="200"/>
    </row>
    <row r="2826" spans="2:4" x14ac:dyDescent="0.35">
      <c r="B2826" s="35">
        <v>37232</v>
      </c>
      <c r="C2826" s="34">
        <v>5199.03</v>
      </c>
      <c r="D2826" s="200"/>
    </row>
    <row r="2827" spans="2:4" x14ac:dyDescent="0.35">
      <c r="B2827" s="35">
        <v>37235</v>
      </c>
      <c r="C2827" s="34">
        <v>5124.68</v>
      </c>
      <c r="D2827" s="200"/>
    </row>
    <row r="2828" spans="2:4" x14ac:dyDescent="0.35">
      <c r="B2828" s="35">
        <v>37236</v>
      </c>
      <c r="C2828" s="34">
        <v>5146.45</v>
      </c>
      <c r="D2828" s="200"/>
    </row>
    <row r="2829" spans="2:4" x14ac:dyDescent="0.35">
      <c r="B2829" s="35">
        <v>37237</v>
      </c>
      <c r="C2829" s="34">
        <v>5062.5600000000004</v>
      </c>
      <c r="D2829" s="200"/>
    </row>
    <row r="2830" spans="2:4" x14ac:dyDescent="0.35">
      <c r="B2830" s="35">
        <v>37238</v>
      </c>
      <c r="C2830" s="34">
        <v>4966.05</v>
      </c>
      <c r="D2830" s="200"/>
    </row>
    <row r="2831" spans="2:4" x14ac:dyDescent="0.35">
      <c r="B2831" s="35">
        <v>37239</v>
      </c>
      <c r="C2831" s="34">
        <v>4909.42</v>
      </c>
      <c r="D2831" s="200"/>
    </row>
    <row r="2832" spans="2:4" x14ac:dyDescent="0.35">
      <c r="B2832" s="35">
        <v>37242</v>
      </c>
      <c r="C2832" s="34">
        <v>5067.99</v>
      </c>
      <c r="D2832" s="200"/>
    </row>
    <row r="2833" spans="2:4" x14ac:dyDescent="0.35">
      <c r="B2833" s="35">
        <v>37243</v>
      </c>
      <c r="C2833" s="34">
        <v>5039.6400000000003</v>
      </c>
      <c r="D2833" s="200"/>
    </row>
    <row r="2834" spans="2:4" x14ac:dyDescent="0.35">
      <c r="B2834" s="35">
        <v>37244</v>
      </c>
      <c r="C2834" s="34">
        <v>4984.6899999999996</v>
      </c>
      <c r="D2834" s="200"/>
    </row>
    <row r="2835" spans="2:4" x14ac:dyDescent="0.35">
      <c r="B2835" s="35">
        <v>37245</v>
      </c>
      <c r="C2835" s="34">
        <v>4934.1400000000003</v>
      </c>
      <c r="D2835" s="200"/>
    </row>
    <row r="2836" spans="2:4" x14ac:dyDescent="0.35">
      <c r="B2836" s="35">
        <v>37246</v>
      </c>
      <c r="C2836" s="34">
        <v>5019.01</v>
      </c>
      <c r="D2836" s="200"/>
    </row>
    <row r="2837" spans="2:4" x14ac:dyDescent="0.35">
      <c r="B2837" s="35">
        <v>37252</v>
      </c>
      <c r="C2837" s="34">
        <v>5117.13</v>
      </c>
      <c r="D2837" s="200"/>
    </row>
    <row r="2838" spans="2:4" x14ac:dyDescent="0.35">
      <c r="B2838" s="35">
        <v>37253</v>
      </c>
      <c r="C2838" s="34">
        <v>5160.1000000000004</v>
      </c>
      <c r="D2838" s="200"/>
    </row>
    <row r="2839" spans="2:4" x14ac:dyDescent="0.35">
      <c r="B2839" s="35">
        <v>37258</v>
      </c>
      <c r="C2839" s="34">
        <v>5167.88</v>
      </c>
      <c r="D2839" s="200"/>
    </row>
    <row r="2840" spans="2:4" x14ac:dyDescent="0.35">
      <c r="B2840" s="35">
        <v>37259</v>
      </c>
      <c r="C2840" s="34">
        <v>5270.29</v>
      </c>
      <c r="D2840" s="200"/>
    </row>
    <row r="2841" spans="2:4" x14ac:dyDescent="0.35">
      <c r="B2841" s="35">
        <v>37260</v>
      </c>
      <c r="C2841" s="34">
        <v>5318.73</v>
      </c>
      <c r="D2841" s="200"/>
    </row>
    <row r="2842" spans="2:4" x14ac:dyDescent="0.35">
      <c r="B2842" s="35">
        <v>37263</v>
      </c>
      <c r="C2842" s="34">
        <v>5232.22</v>
      </c>
      <c r="D2842" s="200"/>
    </row>
    <row r="2843" spans="2:4" x14ac:dyDescent="0.35">
      <c r="B2843" s="35">
        <v>37264</v>
      </c>
      <c r="C2843" s="34">
        <v>5236.37</v>
      </c>
      <c r="D2843" s="200"/>
    </row>
    <row r="2844" spans="2:4" x14ac:dyDescent="0.35">
      <c r="B2844" s="35">
        <v>37265</v>
      </c>
      <c r="C2844" s="34">
        <v>5288.21</v>
      </c>
      <c r="D2844" s="200"/>
    </row>
    <row r="2845" spans="2:4" x14ac:dyDescent="0.35">
      <c r="B2845" s="35">
        <v>37266</v>
      </c>
      <c r="C2845" s="34">
        <v>5228.1099999999997</v>
      </c>
      <c r="D2845" s="200"/>
    </row>
    <row r="2846" spans="2:4" x14ac:dyDescent="0.35">
      <c r="B2846" s="35">
        <v>37267</v>
      </c>
      <c r="C2846" s="34">
        <v>5209.97</v>
      </c>
      <c r="D2846" s="200"/>
    </row>
    <row r="2847" spans="2:4" x14ac:dyDescent="0.35">
      <c r="B2847" s="35">
        <v>37270</v>
      </c>
      <c r="C2847" s="34">
        <v>5065.84</v>
      </c>
      <c r="D2847" s="200"/>
    </row>
    <row r="2848" spans="2:4" x14ac:dyDescent="0.35">
      <c r="B2848" s="35">
        <v>37271</v>
      </c>
      <c r="C2848" s="34">
        <v>5062.04</v>
      </c>
      <c r="D2848" s="200"/>
    </row>
    <row r="2849" spans="2:4" x14ac:dyDescent="0.35">
      <c r="B2849" s="35">
        <v>37272</v>
      </c>
      <c r="C2849" s="34">
        <v>4984.2</v>
      </c>
      <c r="D2849" s="200"/>
    </row>
    <row r="2850" spans="2:4" x14ac:dyDescent="0.35">
      <c r="B2850" s="35">
        <v>37273</v>
      </c>
      <c r="C2850" s="34">
        <v>5133.3999999999996</v>
      </c>
      <c r="D2850" s="200"/>
    </row>
    <row r="2851" spans="2:4" x14ac:dyDescent="0.35">
      <c r="B2851" s="35">
        <v>37274</v>
      </c>
      <c r="C2851" s="34">
        <v>5122.2299999999996</v>
      </c>
      <c r="D2851" s="200"/>
    </row>
    <row r="2852" spans="2:4" x14ac:dyDescent="0.35">
      <c r="B2852" s="35">
        <v>37277</v>
      </c>
      <c r="C2852" s="34">
        <v>5069.74</v>
      </c>
      <c r="D2852" s="200"/>
    </row>
    <row r="2853" spans="2:4" x14ac:dyDescent="0.35">
      <c r="B2853" s="35">
        <v>37278</v>
      </c>
      <c r="C2853" s="34">
        <v>5045.72</v>
      </c>
      <c r="D2853" s="200"/>
    </row>
    <row r="2854" spans="2:4" x14ac:dyDescent="0.35">
      <c r="B2854" s="35">
        <v>37279</v>
      </c>
      <c r="C2854" s="34">
        <v>5163.03</v>
      </c>
      <c r="D2854" s="200"/>
    </row>
    <row r="2855" spans="2:4" x14ac:dyDescent="0.35">
      <c r="B2855" s="35">
        <v>37280</v>
      </c>
      <c r="C2855" s="34">
        <v>5170.4399999999996</v>
      </c>
      <c r="D2855" s="200"/>
    </row>
    <row r="2856" spans="2:4" x14ac:dyDescent="0.35">
      <c r="B2856" s="35">
        <v>37281</v>
      </c>
      <c r="C2856" s="34">
        <v>5156.63</v>
      </c>
      <c r="D2856" s="200"/>
    </row>
    <row r="2857" spans="2:4" x14ac:dyDescent="0.35">
      <c r="B2857" s="35">
        <v>37284</v>
      </c>
      <c r="C2857" s="34">
        <v>5159.0200000000004</v>
      </c>
      <c r="D2857" s="200"/>
    </row>
    <row r="2858" spans="2:4" x14ac:dyDescent="0.35">
      <c r="B2858" s="35">
        <v>37285</v>
      </c>
      <c r="C2858" s="34">
        <v>5084.5200000000004</v>
      </c>
      <c r="D2858" s="200"/>
    </row>
    <row r="2859" spans="2:4" x14ac:dyDescent="0.35">
      <c r="B2859" s="35">
        <v>37286</v>
      </c>
      <c r="C2859" s="34">
        <v>5052.2</v>
      </c>
      <c r="D2859" s="200"/>
    </row>
    <row r="2860" spans="2:4" x14ac:dyDescent="0.35">
      <c r="B2860" s="35">
        <v>37287</v>
      </c>
      <c r="C2860" s="34">
        <v>5107.6099999999997</v>
      </c>
      <c r="D2860" s="200"/>
    </row>
    <row r="2861" spans="2:4" x14ac:dyDescent="0.35">
      <c r="B2861" s="35">
        <v>37288</v>
      </c>
      <c r="C2861" s="34">
        <v>5097.0600000000004</v>
      </c>
      <c r="D2861" s="200"/>
    </row>
    <row r="2862" spans="2:4" x14ac:dyDescent="0.35">
      <c r="B2862" s="35">
        <v>37291</v>
      </c>
      <c r="C2862" s="34">
        <v>4984.4799999999996</v>
      </c>
      <c r="D2862" s="200"/>
    </row>
    <row r="2863" spans="2:4" x14ac:dyDescent="0.35">
      <c r="B2863" s="35">
        <v>37292</v>
      </c>
      <c r="C2863" s="34">
        <v>4936.75</v>
      </c>
      <c r="D2863" s="200"/>
    </row>
    <row r="2864" spans="2:4" x14ac:dyDescent="0.35">
      <c r="B2864" s="35">
        <v>37293</v>
      </c>
      <c r="C2864" s="34">
        <v>4804.41</v>
      </c>
      <c r="D2864" s="200"/>
    </row>
    <row r="2865" spans="2:4" x14ac:dyDescent="0.35">
      <c r="B2865" s="35">
        <v>37294</v>
      </c>
      <c r="C2865" s="34">
        <v>4862.62</v>
      </c>
      <c r="D2865" s="200"/>
    </row>
    <row r="2866" spans="2:4" x14ac:dyDescent="0.35">
      <c r="B2866" s="35">
        <v>37295</v>
      </c>
      <c r="C2866" s="34">
        <v>4835.95</v>
      </c>
      <c r="D2866" s="200"/>
    </row>
    <row r="2867" spans="2:4" x14ac:dyDescent="0.35">
      <c r="B2867" s="35">
        <v>37298</v>
      </c>
      <c r="C2867" s="34">
        <v>4940</v>
      </c>
      <c r="D2867" s="200"/>
    </row>
    <row r="2868" spans="2:4" x14ac:dyDescent="0.35">
      <c r="B2868" s="35">
        <v>37299</v>
      </c>
      <c r="C2868" s="34">
        <v>4884.78</v>
      </c>
      <c r="D2868" s="200"/>
    </row>
    <row r="2869" spans="2:4" x14ac:dyDescent="0.35">
      <c r="B2869" s="35">
        <v>37300</v>
      </c>
      <c r="C2869" s="34">
        <v>4935.3500000000004</v>
      </c>
      <c r="D2869" s="200"/>
    </row>
    <row r="2870" spans="2:4" x14ac:dyDescent="0.35">
      <c r="B2870" s="35">
        <v>37301</v>
      </c>
      <c r="C2870" s="34">
        <v>4973.7700000000004</v>
      </c>
      <c r="D2870" s="200"/>
    </row>
    <row r="2871" spans="2:4" x14ac:dyDescent="0.35">
      <c r="B2871" s="35">
        <v>37302</v>
      </c>
      <c r="C2871" s="34">
        <v>4862.6000000000004</v>
      </c>
      <c r="D2871" s="200"/>
    </row>
    <row r="2872" spans="2:4" x14ac:dyDescent="0.35">
      <c r="B2872" s="35">
        <v>37305</v>
      </c>
      <c r="C2872" s="34">
        <v>4871.76</v>
      </c>
      <c r="D2872" s="200"/>
    </row>
    <row r="2873" spans="2:4" x14ac:dyDescent="0.35">
      <c r="B2873" s="35">
        <v>37306</v>
      </c>
      <c r="C2873" s="34">
        <v>4764.05</v>
      </c>
      <c r="D2873" s="200"/>
    </row>
    <row r="2874" spans="2:4" x14ac:dyDescent="0.35">
      <c r="B2874" s="35">
        <v>37307</v>
      </c>
      <c r="C2874" s="34">
        <v>4780.24</v>
      </c>
      <c r="D2874" s="200"/>
    </row>
    <row r="2875" spans="2:4" x14ac:dyDescent="0.35">
      <c r="B2875" s="35">
        <v>37308</v>
      </c>
      <c r="C2875" s="34">
        <v>4850.7299999999996</v>
      </c>
      <c r="D2875" s="200"/>
    </row>
    <row r="2876" spans="2:4" x14ac:dyDescent="0.35">
      <c r="B2876" s="35">
        <v>37309</v>
      </c>
      <c r="C2876" s="34">
        <v>4745.58</v>
      </c>
      <c r="D2876" s="200"/>
    </row>
    <row r="2877" spans="2:4" x14ac:dyDescent="0.35">
      <c r="B2877" s="35">
        <v>37312</v>
      </c>
      <c r="C2877" s="34">
        <v>4863.54</v>
      </c>
      <c r="D2877" s="200"/>
    </row>
    <row r="2878" spans="2:4" x14ac:dyDescent="0.35">
      <c r="B2878" s="35">
        <v>37313</v>
      </c>
      <c r="C2878" s="34">
        <v>4897.75</v>
      </c>
      <c r="D2878" s="200"/>
    </row>
    <row r="2879" spans="2:4" x14ac:dyDescent="0.35">
      <c r="B2879" s="35">
        <v>37314</v>
      </c>
      <c r="C2879" s="34">
        <v>4960.22</v>
      </c>
      <c r="D2879" s="200"/>
    </row>
    <row r="2880" spans="2:4" x14ac:dyDescent="0.35">
      <c r="B2880" s="35">
        <v>37315</v>
      </c>
      <c r="C2880" s="34">
        <v>5039.08</v>
      </c>
      <c r="D2880" s="200"/>
    </row>
    <row r="2881" spans="2:4" x14ac:dyDescent="0.35">
      <c r="B2881" s="35">
        <v>37316</v>
      </c>
      <c r="C2881" s="34">
        <v>5097.41</v>
      </c>
      <c r="D2881" s="200"/>
    </row>
    <row r="2882" spans="2:4" x14ac:dyDescent="0.35">
      <c r="B2882" s="35">
        <v>37319</v>
      </c>
      <c r="C2882" s="34">
        <v>5245.84</v>
      </c>
      <c r="D2882" s="200"/>
    </row>
    <row r="2883" spans="2:4" x14ac:dyDescent="0.35">
      <c r="B2883" s="35">
        <v>37320</v>
      </c>
      <c r="C2883" s="34">
        <v>5228.67</v>
      </c>
      <c r="D2883" s="200"/>
    </row>
    <row r="2884" spans="2:4" x14ac:dyDescent="0.35">
      <c r="B2884" s="35">
        <v>37321</v>
      </c>
      <c r="C2884" s="34">
        <v>5285.26</v>
      </c>
      <c r="D2884" s="200"/>
    </row>
    <row r="2885" spans="2:4" x14ac:dyDescent="0.35">
      <c r="B2885" s="35">
        <v>37322</v>
      </c>
      <c r="C2885" s="34">
        <v>5289.43</v>
      </c>
      <c r="D2885" s="200"/>
    </row>
    <row r="2886" spans="2:4" x14ac:dyDescent="0.35">
      <c r="B2886" s="35">
        <v>37323</v>
      </c>
      <c r="C2886" s="34">
        <v>5359.55</v>
      </c>
      <c r="D2886" s="200"/>
    </row>
    <row r="2887" spans="2:4" x14ac:dyDescent="0.35">
      <c r="B2887" s="35">
        <v>37326</v>
      </c>
      <c r="C2887" s="34">
        <v>5340.67</v>
      </c>
      <c r="D2887" s="200"/>
    </row>
    <row r="2888" spans="2:4" x14ac:dyDescent="0.35">
      <c r="B2888" s="35">
        <v>37327</v>
      </c>
      <c r="C2888" s="34">
        <v>5275.81</v>
      </c>
      <c r="D2888" s="200"/>
    </row>
    <row r="2889" spans="2:4" x14ac:dyDescent="0.35">
      <c r="B2889" s="35">
        <v>37328</v>
      </c>
      <c r="C2889" s="34">
        <v>5245.99</v>
      </c>
      <c r="D2889" s="200"/>
    </row>
    <row r="2890" spans="2:4" x14ac:dyDescent="0.35">
      <c r="B2890" s="35">
        <v>37329</v>
      </c>
      <c r="C2890" s="34">
        <v>5276.87</v>
      </c>
      <c r="D2890" s="200"/>
    </row>
    <row r="2891" spans="2:4" x14ac:dyDescent="0.35">
      <c r="B2891" s="35">
        <v>37330</v>
      </c>
      <c r="C2891" s="34">
        <v>5401.11</v>
      </c>
      <c r="D2891" s="200"/>
    </row>
    <row r="2892" spans="2:4" x14ac:dyDescent="0.35">
      <c r="B2892" s="35">
        <v>37333</v>
      </c>
      <c r="C2892" s="34">
        <v>5426.04</v>
      </c>
      <c r="D2892" s="200"/>
    </row>
    <row r="2893" spans="2:4" x14ac:dyDescent="0.35">
      <c r="B2893" s="35">
        <v>37334</v>
      </c>
      <c r="C2893" s="34">
        <v>5462.55</v>
      </c>
      <c r="D2893" s="200"/>
    </row>
    <row r="2894" spans="2:4" x14ac:dyDescent="0.35">
      <c r="B2894" s="35">
        <v>37335</v>
      </c>
      <c r="C2894" s="34">
        <v>5364.7</v>
      </c>
      <c r="D2894" s="200"/>
    </row>
    <row r="2895" spans="2:4" x14ac:dyDescent="0.35">
      <c r="B2895" s="35">
        <v>37336</v>
      </c>
      <c r="C2895" s="34">
        <v>5348.68</v>
      </c>
      <c r="D2895" s="200"/>
    </row>
    <row r="2896" spans="2:4" x14ac:dyDescent="0.35">
      <c r="B2896" s="35">
        <v>37337</v>
      </c>
      <c r="C2896" s="34">
        <v>5366.13</v>
      </c>
      <c r="D2896" s="200"/>
    </row>
    <row r="2897" spans="2:4" x14ac:dyDescent="0.35">
      <c r="B2897" s="35">
        <v>37340</v>
      </c>
      <c r="C2897" s="34">
        <v>5317.38</v>
      </c>
      <c r="D2897" s="200"/>
    </row>
    <row r="2898" spans="2:4" x14ac:dyDescent="0.35">
      <c r="B2898" s="35">
        <v>37341</v>
      </c>
      <c r="C2898" s="34">
        <v>5390.59</v>
      </c>
      <c r="D2898" s="200"/>
    </row>
    <row r="2899" spans="2:4" x14ac:dyDescent="0.35">
      <c r="B2899" s="35">
        <v>37342</v>
      </c>
      <c r="C2899" s="34">
        <v>5348</v>
      </c>
      <c r="D2899" s="200"/>
    </row>
    <row r="2900" spans="2:4" x14ac:dyDescent="0.35">
      <c r="B2900" s="35">
        <v>37343</v>
      </c>
      <c r="C2900" s="34">
        <v>5397.29</v>
      </c>
      <c r="D2900" s="200"/>
    </row>
    <row r="2901" spans="2:4" x14ac:dyDescent="0.35">
      <c r="B2901" s="35">
        <v>37348</v>
      </c>
      <c r="C2901" s="34">
        <v>5311.08</v>
      </c>
      <c r="D2901" s="200"/>
    </row>
    <row r="2902" spans="2:4" x14ac:dyDescent="0.35">
      <c r="B2902" s="35">
        <v>37349</v>
      </c>
      <c r="C2902" s="34">
        <v>5281.84</v>
      </c>
      <c r="D2902" s="200"/>
    </row>
    <row r="2903" spans="2:4" x14ac:dyDescent="0.35">
      <c r="B2903" s="35">
        <v>37350</v>
      </c>
      <c r="C2903" s="34">
        <v>5254.95</v>
      </c>
      <c r="D2903" s="200"/>
    </row>
    <row r="2904" spans="2:4" x14ac:dyDescent="0.35">
      <c r="B2904" s="35">
        <v>37351</v>
      </c>
      <c r="C2904" s="34">
        <v>5260.53</v>
      </c>
      <c r="D2904" s="200"/>
    </row>
    <row r="2905" spans="2:4" x14ac:dyDescent="0.35">
      <c r="B2905" s="35">
        <v>37354</v>
      </c>
      <c r="C2905" s="34">
        <v>5180.33</v>
      </c>
      <c r="D2905" s="200"/>
    </row>
    <row r="2906" spans="2:4" x14ac:dyDescent="0.35">
      <c r="B2906" s="35">
        <v>37355</v>
      </c>
      <c r="C2906" s="34">
        <v>5170.25</v>
      </c>
      <c r="D2906" s="200"/>
    </row>
    <row r="2907" spans="2:4" x14ac:dyDescent="0.35">
      <c r="B2907" s="35">
        <v>37356</v>
      </c>
      <c r="C2907" s="34">
        <v>5265.36</v>
      </c>
      <c r="D2907" s="200"/>
    </row>
    <row r="2908" spans="2:4" x14ac:dyDescent="0.35">
      <c r="B2908" s="35">
        <v>37357</v>
      </c>
      <c r="C2908" s="34">
        <v>5162.96</v>
      </c>
      <c r="D2908" s="200"/>
    </row>
    <row r="2909" spans="2:4" x14ac:dyDescent="0.35">
      <c r="B2909" s="35">
        <v>37358</v>
      </c>
      <c r="C2909" s="34">
        <v>5189.6499999999996</v>
      </c>
      <c r="D2909" s="200"/>
    </row>
    <row r="2910" spans="2:4" x14ac:dyDescent="0.35">
      <c r="B2910" s="35">
        <v>37361</v>
      </c>
      <c r="C2910" s="34">
        <v>5244.2</v>
      </c>
      <c r="D2910" s="200"/>
    </row>
    <row r="2911" spans="2:4" x14ac:dyDescent="0.35">
      <c r="B2911" s="35">
        <v>37362</v>
      </c>
      <c r="C2911" s="34">
        <v>5343.88</v>
      </c>
      <c r="D2911" s="200"/>
    </row>
    <row r="2912" spans="2:4" x14ac:dyDescent="0.35">
      <c r="B2912" s="35">
        <v>37363</v>
      </c>
      <c r="C2912" s="34">
        <v>5318.55</v>
      </c>
      <c r="D2912" s="200"/>
    </row>
    <row r="2913" spans="2:4" x14ac:dyDescent="0.35">
      <c r="B2913" s="35">
        <v>37364</v>
      </c>
      <c r="C2913" s="34">
        <v>5262.88</v>
      </c>
      <c r="D2913" s="200"/>
    </row>
    <row r="2914" spans="2:4" x14ac:dyDescent="0.35">
      <c r="B2914" s="35">
        <v>37365</v>
      </c>
      <c r="C2914" s="34">
        <v>5284.55</v>
      </c>
      <c r="D2914" s="200"/>
    </row>
    <row r="2915" spans="2:4" x14ac:dyDescent="0.35">
      <c r="B2915" s="35">
        <v>37368</v>
      </c>
      <c r="C2915" s="34">
        <v>5205.4799999999996</v>
      </c>
      <c r="D2915" s="200"/>
    </row>
    <row r="2916" spans="2:4" x14ac:dyDescent="0.35">
      <c r="B2916" s="35">
        <v>37369</v>
      </c>
      <c r="C2916" s="34">
        <v>5192.1000000000004</v>
      </c>
      <c r="D2916" s="200"/>
    </row>
    <row r="2917" spans="2:4" x14ac:dyDescent="0.35">
      <c r="B2917" s="35">
        <v>37370</v>
      </c>
      <c r="C2917" s="34">
        <v>5160.1400000000003</v>
      </c>
      <c r="D2917" s="200"/>
    </row>
    <row r="2918" spans="2:4" x14ac:dyDescent="0.35">
      <c r="B2918" s="35">
        <v>37371</v>
      </c>
      <c r="C2918" s="34">
        <v>5054.41</v>
      </c>
      <c r="D2918" s="200"/>
    </row>
    <row r="2919" spans="2:4" x14ac:dyDescent="0.35">
      <c r="B2919" s="35">
        <v>37372</v>
      </c>
      <c r="C2919" s="34">
        <v>5000.38</v>
      </c>
      <c r="D2919" s="200"/>
    </row>
    <row r="2920" spans="2:4" x14ac:dyDescent="0.35">
      <c r="B2920" s="35">
        <v>37375</v>
      </c>
      <c r="C2920" s="34">
        <v>5008.04</v>
      </c>
      <c r="D2920" s="200"/>
    </row>
    <row r="2921" spans="2:4" x14ac:dyDescent="0.35">
      <c r="B2921" s="35">
        <v>37376</v>
      </c>
      <c r="C2921" s="34">
        <v>5041.2</v>
      </c>
      <c r="D2921" s="200"/>
    </row>
    <row r="2922" spans="2:4" x14ac:dyDescent="0.35">
      <c r="B2922" s="35">
        <v>37378</v>
      </c>
      <c r="C2922" s="34">
        <v>4964.5600000000004</v>
      </c>
      <c r="D2922" s="200"/>
    </row>
    <row r="2923" spans="2:4" x14ac:dyDescent="0.35">
      <c r="B2923" s="35">
        <v>37379</v>
      </c>
      <c r="C2923" s="34">
        <v>4882.7700000000004</v>
      </c>
      <c r="D2923" s="200"/>
    </row>
    <row r="2924" spans="2:4" x14ac:dyDescent="0.35">
      <c r="B2924" s="35">
        <v>37382</v>
      </c>
      <c r="C2924" s="34">
        <v>4880.67</v>
      </c>
      <c r="D2924" s="200"/>
    </row>
    <row r="2925" spans="2:4" x14ac:dyDescent="0.35">
      <c r="B2925" s="35">
        <v>37383</v>
      </c>
      <c r="C2925" s="34">
        <v>4872.41</v>
      </c>
      <c r="D2925" s="200"/>
    </row>
    <row r="2926" spans="2:4" x14ac:dyDescent="0.35">
      <c r="B2926" s="35">
        <v>37384</v>
      </c>
      <c r="C2926" s="34">
        <v>5028.59</v>
      </c>
      <c r="D2926" s="200"/>
    </row>
    <row r="2927" spans="2:4" x14ac:dyDescent="0.35">
      <c r="B2927" s="35">
        <v>37385</v>
      </c>
      <c r="C2927" s="34">
        <v>4966.4799999999996</v>
      </c>
      <c r="D2927" s="200"/>
    </row>
    <row r="2928" spans="2:4" x14ac:dyDescent="0.35">
      <c r="B2928" s="35">
        <v>37386</v>
      </c>
      <c r="C2928" s="34">
        <v>4871.7</v>
      </c>
      <c r="D2928" s="200"/>
    </row>
    <row r="2929" spans="2:4" x14ac:dyDescent="0.35">
      <c r="B2929" s="35">
        <v>37389</v>
      </c>
      <c r="C2929" s="34">
        <v>4975.4799999999996</v>
      </c>
      <c r="D2929" s="200"/>
    </row>
    <row r="2930" spans="2:4" x14ac:dyDescent="0.35">
      <c r="B2930" s="35">
        <v>37390</v>
      </c>
      <c r="C2930" s="34">
        <v>5049.08</v>
      </c>
      <c r="D2930" s="200"/>
    </row>
    <row r="2931" spans="2:4" x14ac:dyDescent="0.35">
      <c r="B2931" s="35">
        <v>37391</v>
      </c>
      <c r="C2931" s="34">
        <v>5072.3900000000003</v>
      </c>
      <c r="D2931" s="200"/>
    </row>
    <row r="2932" spans="2:4" x14ac:dyDescent="0.35">
      <c r="B2932" s="35">
        <v>37392</v>
      </c>
      <c r="C2932" s="34">
        <v>5047.45</v>
      </c>
      <c r="D2932" s="200"/>
    </row>
    <row r="2933" spans="2:4" x14ac:dyDescent="0.35">
      <c r="B2933" s="35">
        <v>37393</v>
      </c>
      <c r="C2933" s="34">
        <v>5036.41</v>
      </c>
      <c r="D2933" s="200"/>
    </row>
    <row r="2934" spans="2:4" x14ac:dyDescent="0.35">
      <c r="B2934" s="35">
        <v>37396</v>
      </c>
      <c r="C2934" s="34">
        <v>4998.99</v>
      </c>
      <c r="D2934" s="200"/>
    </row>
    <row r="2935" spans="2:4" x14ac:dyDescent="0.35">
      <c r="B2935" s="35">
        <v>37397</v>
      </c>
      <c r="C2935" s="34">
        <v>4984.6099999999997</v>
      </c>
      <c r="D2935" s="200"/>
    </row>
    <row r="2936" spans="2:4" x14ac:dyDescent="0.35">
      <c r="B2936" s="35">
        <v>37398</v>
      </c>
      <c r="C2936" s="34">
        <v>4919.5</v>
      </c>
      <c r="D2936" s="200"/>
    </row>
    <row r="2937" spans="2:4" x14ac:dyDescent="0.35">
      <c r="B2937" s="35">
        <v>37399</v>
      </c>
      <c r="C2937" s="34">
        <v>4879.5</v>
      </c>
      <c r="D2937" s="200"/>
    </row>
    <row r="2938" spans="2:4" x14ac:dyDescent="0.35">
      <c r="B2938" s="35">
        <v>37400</v>
      </c>
      <c r="C2938" s="34">
        <v>4899.13</v>
      </c>
      <c r="D2938" s="200"/>
    </row>
    <row r="2939" spans="2:4" x14ac:dyDescent="0.35">
      <c r="B2939" s="35">
        <v>37403</v>
      </c>
      <c r="C2939" s="34">
        <v>4961.54</v>
      </c>
      <c r="D2939" s="200"/>
    </row>
    <row r="2940" spans="2:4" x14ac:dyDescent="0.35">
      <c r="B2940" s="35">
        <v>37404</v>
      </c>
      <c r="C2940" s="34">
        <v>4918.58</v>
      </c>
      <c r="D2940" s="200"/>
    </row>
    <row r="2941" spans="2:4" x14ac:dyDescent="0.35">
      <c r="B2941" s="35">
        <v>37405</v>
      </c>
      <c r="C2941" s="34">
        <v>4881.8</v>
      </c>
      <c r="D2941" s="200"/>
    </row>
    <row r="2942" spans="2:4" x14ac:dyDescent="0.35">
      <c r="B2942" s="35">
        <v>37406</v>
      </c>
      <c r="C2942" s="34">
        <v>4761.96</v>
      </c>
      <c r="D2942" s="200"/>
    </row>
    <row r="2943" spans="2:4" x14ac:dyDescent="0.35">
      <c r="B2943" s="35">
        <v>37407</v>
      </c>
      <c r="C2943" s="34">
        <v>4818.3</v>
      </c>
      <c r="D2943" s="200"/>
    </row>
    <row r="2944" spans="2:4" x14ac:dyDescent="0.35">
      <c r="B2944" s="35">
        <v>37410</v>
      </c>
      <c r="C2944" s="34">
        <v>4747.95</v>
      </c>
      <c r="D2944" s="200"/>
    </row>
    <row r="2945" spans="2:4" x14ac:dyDescent="0.35">
      <c r="B2945" s="35">
        <v>37411</v>
      </c>
      <c r="C2945" s="34">
        <v>4625.79</v>
      </c>
      <c r="D2945" s="200"/>
    </row>
    <row r="2946" spans="2:4" x14ac:dyDescent="0.35">
      <c r="B2946" s="35">
        <v>37412</v>
      </c>
      <c r="C2946" s="34">
        <v>4624.3100000000004</v>
      </c>
      <c r="D2946" s="200"/>
    </row>
    <row r="2947" spans="2:4" x14ac:dyDescent="0.35">
      <c r="B2947" s="35">
        <v>37413</v>
      </c>
      <c r="C2947" s="34">
        <v>4657.5200000000004</v>
      </c>
      <c r="D2947" s="200"/>
    </row>
    <row r="2948" spans="2:4" x14ac:dyDescent="0.35">
      <c r="B2948" s="35">
        <v>37414</v>
      </c>
      <c r="C2948" s="34">
        <v>4610.18</v>
      </c>
      <c r="D2948" s="200"/>
    </row>
    <row r="2949" spans="2:4" x14ac:dyDescent="0.35">
      <c r="B2949" s="35">
        <v>37417</v>
      </c>
      <c r="C2949" s="34">
        <v>4589.26</v>
      </c>
      <c r="D2949" s="200"/>
    </row>
    <row r="2950" spans="2:4" x14ac:dyDescent="0.35">
      <c r="B2950" s="35">
        <v>37418</v>
      </c>
      <c r="C2950" s="34">
        <v>4606.09</v>
      </c>
      <c r="D2950" s="200"/>
    </row>
    <row r="2951" spans="2:4" x14ac:dyDescent="0.35">
      <c r="B2951" s="35">
        <v>37419</v>
      </c>
      <c r="C2951" s="34">
        <v>4510.1899999999996</v>
      </c>
      <c r="D2951" s="200"/>
    </row>
    <row r="2952" spans="2:4" x14ac:dyDescent="0.35">
      <c r="B2952" s="35">
        <v>37420</v>
      </c>
      <c r="C2952" s="34">
        <v>4470.1400000000003</v>
      </c>
      <c r="D2952" s="200"/>
    </row>
    <row r="2953" spans="2:4" x14ac:dyDescent="0.35">
      <c r="B2953" s="35">
        <v>37421</v>
      </c>
      <c r="C2953" s="34">
        <v>4303.8500000000004</v>
      </c>
      <c r="D2953" s="200"/>
    </row>
    <row r="2954" spans="2:4" x14ac:dyDescent="0.35">
      <c r="B2954" s="35">
        <v>37424</v>
      </c>
      <c r="C2954" s="34">
        <v>4475.1000000000004</v>
      </c>
      <c r="D2954" s="200"/>
    </row>
    <row r="2955" spans="2:4" x14ac:dyDescent="0.35">
      <c r="B2955" s="35">
        <v>37425</v>
      </c>
      <c r="C2955" s="34">
        <v>4433.8500000000004</v>
      </c>
      <c r="D2955" s="200"/>
    </row>
    <row r="2956" spans="2:4" x14ac:dyDescent="0.35">
      <c r="B2956" s="35">
        <v>37426</v>
      </c>
      <c r="C2956" s="34">
        <v>4354.82</v>
      </c>
      <c r="D2956" s="200"/>
    </row>
    <row r="2957" spans="2:4" x14ac:dyDescent="0.35">
      <c r="B2957" s="35">
        <v>37427</v>
      </c>
      <c r="C2957" s="34">
        <v>4245.68</v>
      </c>
      <c r="D2957" s="200"/>
    </row>
    <row r="2958" spans="2:4" x14ac:dyDescent="0.35">
      <c r="B2958" s="35">
        <v>37428</v>
      </c>
      <c r="C2958" s="34">
        <v>4232.3999999999996</v>
      </c>
      <c r="D2958" s="200"/>
    </row>
    <row r="2959" spans="2:4" x14ac:dyDescent="0.35">
      <c r="B2959" s="35">
        <v>37431</v>
      </c>
      <c r="C2959" s="34">
        <v>4127.21</v>
      </c>
      <c r="D2959" s="200"/>
    </row>
    <row r="2960" spans="2:4" x14ac:dyDescent="0.35">
      <c r="B2960" s="35">
        <v>37432</v>
      </c>
      <c r="C2960" s="34">
        <v>4202.97</v>
      </c>
      <c r="D2960" s="200"/>
    </row>
    <row r="2961" spans="2:4" x14ac:dyDescent="0.35">
      <c r="B2961" s="35">
        <v>37433</v>
      </c>
      <c r="C2961" s="34">
        <v>4099.05</v>
      </c>
      <c r="D2961" s="200"/>
    </row>
    <row r="2962" spans="2:4" x14ac:dyDescent="0.35">
      <c r="B2962" s="35">
        <v>37434</v>
      </c>
      <c r="C2962" s="34">
        <v>4259.43</v>
      </c>
      <c r="D2962" s="200"/>
    </row>
    <row r="2963" spans="2:4" x14ac:dyDescent="0.35">
      <c r="B2963" s="35">
        <v>37435</v>
      </c>
      <c r="C2963" s="34">
        <v>4382.5600000000004</v>
      </c>
      <c r="D2963" s="200"/>
    </row>
    <row r="2964" spans="2:4" x14ac:dyDescent="0.35">
      <c r="B2964" s="35">
        <v>37438</v>
      </c>
      <c r="C2964" s="34">
        <v>4366.8100000000004</v>
      </c>
      <c r="D2964" s="200"/>
    </row>
    <row r="2965" spans="2:4" x14ac:dyDescent="0.35">
      <c r="B2965" s="35">
        <v>37439</v>
      </c>
      <c r="C2965" s="34">
        <v>4195.95</v>
      </c>
      <c r="D2965" s="200"/>
    </row>
    <row r="2966" spans="2:4" x14ac:dyDescent="0.35">
      <c r="B2966" s="35">
        <v>37440</v>
      </c>
      <c r="C2966" s="34">
        <v>4138.1499999999996</v>
      </c>
      <c r="D2966" s="200"/>
    </row>
    <row r="2967" spans="2:4" x14ac:dyDescent="0.35">
      <c r="B2967" s="35">
        <v>37441</v>
      </c>
      <c r="C2967" s="34">
        <v>4258.62</v>
      </c>
      <c r="D2967" s="200"/>
    </row>
    <row r="2968" spans="2:4" x14ac:dyDescent="0.35">
      <c r="B2968" s="35">
        <v>37442</v>
      </c>
      <c r="C2968" s="34">
        <v>4483.03</v>
      </c>
      <c r="D2968" s="200"/>
    </row>
    <row r="2969" spans="2:4" x14ac:dyDescent="0.35">
      <c r="B2969" s="35">
        <v>37445</v>
      </c>
      <c r="C2969" s="34">
        <v>4442.33</v>
      </c>
      <c r="D2969" s="200"/>
    </row>
    <row r="2970" spans="2:4" x14ac:dyDescent="0.35">
      <c r="B2970" s="35">
        <v>37446</v>
      </c>
      <c r="C2970" s="34">
        <v>4369.76</v>
      </c>
      <c r="D2970" s="200"/>
    </row>
    <row r="2971" spans="2:4" x14ac:dyDescent="0.35">
      <c r="B2971" s="35">
        <v>37447</v>
      </c>
      <c r="C2971" s="34">
        <v>4190.22</v>
      </c>
      <c r="D2971" s="200"/>
    </row>
    <row r="2972" spans="2:4" x14ac:dyDescent="0.35">
      <c r="B2972" s="35">
        <v>37448</v>
      </c>
      <c r="C2972" s="34">
        <v>4118.5</v>
      </c>
      <c r="D2972" s="200"/>
    </row>
    <row r="2973" spans="2:4" x14ac:dyDescent="0.35">
      <c r="B2973" s="35">
        <v>37449</v>
      </c>
      <c r="C2973" s="34">
        <v>4130.8</v>
      </c>
      <c r="D2973" s="200"/>
    </row>
    <row r="2974" spans="2:4" x14ac:dyDescent="0.35">
      <c r="B2974" s="35">
        <v>37452</v>
      </c>
      <c r="C2974" s="34">
        <v>3912.51</v>
      </c>
      <c r="D2974" s="200"/>
    </row>
    <row r="2975" spans="2:4" x14ac:dyDescent="0.35">
      <c r="B2975" s="35">
        <v>37453</v>
      </c>
      <c r="C2975" s="34">
        <v>3977.75</v>
      </c>
      <c r="D2975" s="200"/>
    </row>
    <row r="2976" spans="2:4" x14ac:dyDescent="0.35">
      <c r="B2976" s="35">
        <v>37454</v>
      </c>
      <c r="C2976" s="34">
        <v>4092.82</v>
      </c>
      <c r="D2976" s="200"/>
    </row>
    <row r="2977" spans="2:4" x14ac:dyDescent="0.35">
      <c r="B2977" s="35">
        <v>37455</v>
      </c>
      <c r="C2977" s="34">
        <v>4100.75</v>
      </c>
      <c r="D2977" s="200"/>
    </row>
    <row r="2978" spans="2:4" x14ac:dyDescent="0.35">
      <c r="B2978" s="35">
        <v>37456</v>
      </c>
      <c r="C2978" s="34">
        <v>3891.88</v>
      </c>
      <c r="D2978" s="200"/>
    </row>
    <row r="2979" spans="2:4" x14ac:dyDescent="0.35">
      <c r="B2979" s="35">
        <v>37459</v>
      </c>
      <c r="C2979" s="34">
        <v>3691.43</v>
      </c>
      <c r="D2979" s="200"/>
    </row>
    <row r="2980" spans="2:4" x14ac:dyDescent="0.35">
      <c r="B2980" s="35">
        <v>37460</v>
      </c>
      <c r="C2980" s="34">
        <v>3515.83</v>
      </c>
      <c r="D2980" s="200"/>
    </row>
    <row r="2981" spans="2:4" x14ac:dyDescent="0.35">
      <c r="B2981" s="35">
        <v>37461</v>
      </c>
      <c r="C2981" s="34">
        <v>3632.66</v>
      </c>
      <c r="D2981" s="200"/>
    </row>
    <row r="2982" spans="2:4" x14ac:dyDescent="0.35">
      <c r="B2982" s="35">
        <v>37462</v>
      </c>
      <c r="C2982" s="34">
        <v>3520.46</v>
      </c>
      <c r="D2982" s="200"/>
    </row>
    <row r="2983" spans="2:4" x14ac:dyDescent="0.35">
      <c r="B2983" s="35">
        <v>37463</v>
      </c>
      <c r="C2983" s="34">
        <v>3579</v>
      </c>
      <c r="D2983" s="200"/>
    </row>
    <row r="2984" spans="2:4" x14ac:dyDescent="0.35">
      <c r="B2984" s="35">
        <v>37466</v>
      </c>
      <c r="C2984" s="34">
        <v>3859.78</v>
      </c>
      <c r="D2984" s="200"/>
    </row>
    <row r="2985" spans="2:4" x14ac:dyDescent="0.35">
      <c r="B2985" s="35">
        <v>37467</v>
      </c>
      <c r="C2985" s="34">
        <v>3878.94</v>
      </c>
      <c r="D2985" s="200"/>
    </row>
    <row r="2986" spans="2:4" x14ac:dyDescent="0.35">
      <c r="B2986" s="35">
        <v>37468</v>
      </c>
      <c r="C2986" s="34">
        <v>3700.14</v>
      </c>
      <c r="D2986" s="200"/>
    </row>
    <row r="2987" spans="2:4" x14ac:dyDescent="0.35">
      <c r="B2987" s="35">
        <v>37469</v>
      </c>
      <c r="C2987" s="34">
        <v>3606.45</v>
      </c>
      <c r="D2987" s="200"/>
    </row>
    <row r="2988" spans="2:4" x14ac:dyDescent="0.35">
      <c r="B2988" s="35">
        <v>37470</v>
      </c>
      <c r="C2988" s="34">
        <v>3532.49</v>
      </c>
      <c r="D2988" s="200"/>
    </row>
    <row r="2989" spans="2:4" x14ac:dyDescent="0.35">
      <c r="B2989" s="35">
        <v>37473</v>
      </c>
      <c r="C2989" s="34">
        <v>3332.65</v>
      </c>
      <c r="D2989" s="200"/>
    </row>
    <row r="2990" spans="2:4" x14ac:dyDescent="0.35">
      <c r="B2990" s="35">
        <v>37474</v>
      </c>
      <c r="C2990" s="34">
        <v>3568.64</v>
      </c>
      <c r="D2990" s="200"/>
    </row>
    <row r="2991" spans="2:4" x14ac:dyDescent="0.35">
      <c r="B2991" s="35">
        <v>37475</v>
      </c>
      <c r="C2991" s="34">
        <v>3465.54</v>
      </c>
      <c r="D2991" s="200"/>
    </row>
    <row r="2992" spans="2:4" x14ac:dyDescent="0.35">
      <c r="B2992" s="35">
        <v>37476</v>
      </c>
      <c r="C2992" s="34">
        <v>3679.26</v>
      </c>
      <c r="D2992" s="200"/>
    </row>
    <row r="2993" spans="2:4" x14ac:dyDescent="0.35">
      <c r="B2993" s="35">
        <v>37477</v>
      </c>
      <c r="C2993" s="34">
        <v>3760.86</v>
      </c>
      <c r="D2993" s="200"/>
    </row>
    <row r="2994" spans="2:4" x14ac:dyDescent="0.35">
      <c r="B2994" s="35">
        <v>37480</v>
      </c>
      <c r="C2994" s="34">
        <v>3647.13</v>
      </c>
      <c r="D2994" s="200"/>
    </row>
    <row r="2995" spans="2:4" x14ac:dyDescent="0.35">
      <c r="B2995" s="35">
        <v>37481</v>
      </c>
      <c r="C2995" s="34">
        <v>3683.21</v>
      </c>
      <c r="D2995" s="200"/>
    </row>
    <row r="2996" spans="2:4" x14ac:dyDescent="0.35">
      <c r="B2996" s="35">
        <v>37482</v>
      </c>
      <c r="C2996" s="34">
        <v>3589.92</v>
      </c>
      <c r="D2996" s="200"/>
    </row>
    <row r="2997" spans="2:4" x14ac:dyDescent="0.35">
      <c r="B2997" s="35">
        <v>37483</v>
      </c>
      <c r="C2997" s="34">
        <v>3665.74</v>
      </c>
      <c r="D2997" s="200"/>
    </row>
    <row r="2998" spans="2:4" x14ac:dyDescent="0.35">
      <c r="B2998" s="35">
        <v>37484</v>
      </c>
      <c r="C2998" s="34">
        <v>3684.69</v>
      </c>
      <c r="D2998" s="200"/>
    </row>
    <row r="2999" spans="2:4" x14ac:dyDescent="0.35">
      <c r="B2999" s="35">
        <v>37487</v>
      </c>
      <c r="C2999" s="34">
        <v>3837.67</v>
      </c>
      <c r="D2999" s="200"/>
    </row>
    <row r="3000" spans="2:4" x14ac:dyDescent="0.35">
      <c r="B3000" s="35">
        <v>37488</v>
      </c>
      <c r="C3000" s="34">
        <v>3768.51</v>
      </c>
      <c r="D3000" s="200"/>
    </row>
    <row r="3001" spans="2:4" x14ac:dyDescent="0.35">
      <c r="B3001" s="35">
        <v>37489</v>
      </c>
      <c r="C3001" s="34">
        <v>3868.17</v>
      </c>
      <c r="D3001" s="200"/>
    </row>
    <row r="3002" spans="2:4" x14ac:dyDescent="0.35">
      <c r="B3002" s="35">
        <v>37490</v>
      </c>
      <c r="C3002" s="34">
        <v>3906.55</v>
      </c>
      <c r="D3002" s="200"/>
    </row>
    <row r="3003" spans="2:4" x14ac:dyDescent="0.35">
      <c r="B3003" s="35">
        <v>37491</v>
      </c>
      <c r="C3003" s="34">
        <v>3828.26</v>
      </c>
      <c r="D3003" s="200"/>
    </row>
    <row r="3004" spans="2:4" x14ac:dyDescent="0.35">
      <c r="B3004" s="35">
        <v>37494</v>
      </c>
      <c r="C3004" s="34">
        <v>3783.84</v>
      </c>
      <c r="D3004" s="200"/>
    </row>
    <row r="3005" spans="2:4" x14ac:dyDescent="0.35">
      <c r="B3005" s="35">
        <v>37495</v>
      </c>
      <c r="C3005" s="34">
        <v>3851.34</v>
      </c>
      <c r="D3005" s="200"/>
    </row>
    <row r="3006" spans="2:4" x14ac:dyDescent="0.35">
      <c r="B3006" s="35">
        <v>37496</v>
      </c>
      <c r="C3006" s="34">
        <v>3682.84</v>
      </c>
      <c r="D3006" s="200"/>
    </row>
    <row r="3007" spans="2:4" x14ac:dyDescent="0.35">
      <c r="B3007" s="35">
        <v>37497</v>
      </c>
      <c r="C3007" s="34">
        <v>3660.95</v>
      </c>
      <c r="D3007" s="200"/>
    </row>
    <row r="3008" spans="2:4" x14ac:dyDescent="0.35">
      <c r="B3008" s="35">
        <v>37498</v>
      </c>
      <c r="C3008" s="34">
        <v>3712.94</v>
      </c>
      <c r="D3008" s="200"/>
    </row>
    <row r="3009" spans="2:4" x14ac:dyDescent="0.35">
      <c r="B3009" s="35">
        <v>37501</v>
      </c>
      <c r="C3009" s="34">
        <v>3609.41</v>
      </c>
      <c r="D3009" s="200"/>
    </row>
    <row r="3010" spans="2:4" x14ac:dyDescent="0.35">
      <c r="B3010" s="35">
        <v>37502</v>
      </c>
      <c r="C3010" s="34">
        <v>3398.99</v>
      </c>
      <c r="D3010" s="200"/>
    </row>
    <row r="3011" spans="2:4" x14ac:dyDescent="0.35">
      <c r="B3011" s="35">
        <v>37503</v>
      </c>
      <c r="C3011" s="34">
        <v>3425.9</v>
      </c>
      <c r="D3011" s="200"/>
    </row>
    <row r="3012" spans="2:4" x14ac:dyDescent="0.35">
      <c r="B3012" s="35">
        <v>37504</v>
      </c>
      <c r="C3012" s="34">
        <v>3354.71</v>
      </c>
      <c r="D3012" s="200"/>
    </row>
    <row r="3013" spans="2:4" x14ac:dyDescent="0.35">
      <c r="B3013" s="35">
        <v>37505</v>
      </c>
      <c r="C3013" s="34">
        <v>3485.68</v>
      </c>
      <c r="D3013" s="200"/>
    </row>
    <row r="3014" spans="2:4" x14ac:dyDescent="0.35">
      <c r="B3014" s="35">
        <v>37508</v>
      </c>
      <c r="C3014" s="34">
        <v>3429.22</v>
      </c>
      <c r="D3014" s="200"/>
    </row>
    <row r="3015" spans="2:4" x14ac:dyDescent="0.35">
      <c r="B3015" s="35">
        <v>37509</v>
      </c>
      <c r="C3015" s="34">
        <v>3494.69</v>
      </c>
      <c r="D3015" s="200"/>
    </row>
    <row r="3016" spans="2:4" x14ac:dyDescent="0.35">
      <c r="B3016" s="35">
        <v>37510</v>
      </c>
      <c r="C3016" s="34">
        <v>3584.69</v>
      </c>
      <c r="D3016" s="200"/>
    </row>
    <row r="3017" spans="2:4" x14ac:dyDescent="0.35">
      <c r="B3017" s="35">
        <v>37511</v>
      </c>
      <c r="C3017" s="34">
        <v>3421.87</v>
      </c>
      <c r="D3017" s="200"/>
    </row>
    <row r="3018" spans="2:4" x14ac:dyDescent="0.35">
      <c r="B3018" s="35">
        <v>37512</v>
      </c>
      <c r="C3018" s="34">
        <v>3361.28</v>
      </c>
      <c r="D3018" s="200"/>
    </row>
    <row r="3019" spans="2:4" x14ac:dyDescent="0.35">
      <c r="B3019" s="35">
        <v>37515</v>
      </c>
      <c r="C3019" s="34">
        <v>3319.05</v>
      </c>
      <c r="D3019" s="200"/>
    </row>
    <row r="3020" spans="2:4" x14ac:dyDescent="0.35">
      <c r="B3020" s="35">
        <v>37516</v>
      </c>
      <c r="C3020" s="34">
        <v>3289.13</v>
      </c>
      <c r="D3020" s="200"/>
    </row>
    <row r="3021" spans="2:4" x14ac:dyDescent="0.35">
      <c r="B3021" s="35">
        <v>37517</v>
      </c>
      <c r="C3021" s="34">
        <v>3124.92</v>
      </c>
      <c r="D3021" s="200"/>
    </row>
    <row r="3022" spans="2:4" x14ac:dyDescent="0.35">
      <c r="B3022" s="35">
        <v>37518</v>
      </c>
      <c r="C3022" s="34">
        <v>3007.47</v>
      </c>
      <c r="D3022" s="200"/>
    </row>
    <row r="3023" spans="2:4" x14ac:dyDescent="0.35">
      <c r="B3023" s="35">
        <v>37519</v>
      </c>
      <c r="C3023" s="34">
        <v>3065.73</v>
      </c>
      <c r="D3023" s="200"/>
    </row>
    <row r="3024" spans="2:4" x14ac:dyDescent="0.35">
      <c r="B3024" s="35">
        <v>37522</v>
      </c>
      <c r="C3024" s="34">
        <v>2914.25</v>
      </c>
      <c r="D3024" s="200"/>
    </row>
    <row r="3025" spans="2:4" x14ac:dyDescent="0.35">
      <c r="B3025" s="35">
        <v>37523</v>
      </c>
      <c r="C3025" s="34">
        <v>2873.21</v>
      </c>
      <c r="D3025" s="200"/>
    </row>
    <row r="3026" spans="2:4" x14ac:dyDescent="0.35">
      <c r="B3026" s="35">
        <v>37524</v>
      </c>
      <c r="C3026" s="34">
        <v>2962.5</v>
      </c>
      <c r="D3026" s="200"/>
    </row>
    <row r="3027" spans="2:4" x14ac:dyDescent="0.35">
      <c r="B3027" s="35">
        <v>37525</v>
      </c>
      <c r="C3027" s="34">
        <v>3020.6</v>
      </c>
      <c r="D3027" s="200"/>
    </row>
    <row r="3028" spans="2:4" x14ac:dyDescent="0.35">
      <c r="B3028" s="35">
        <v>37526</v>
      </c>
      <c r="C3028" s="34">
        <v>2918.9</v>
      </c>
      <c r="D3028" s="200"/>
    </row>
    <row r="3029" spans="2:4" x14ac:dyDescent="0.35">
      <c r="B3029" s="35">
        <v>37529</v>
      </c>
      <c r="C3029" s="34">
        <v>2769.03</v>
      </c>
      <c r="D3029" s="200"/>
    </row>
    <row r="3030" spans="2:4" x14ac:dyDescent="0.35">
      <c r="B3030" s="35">
        <v>37530</v>
      </c>
      <c r="C3030" s="34">
        <v>2865.23</v>
      </c>
      <c r="D3030" s="200"/>
    </row>
    <row r="3031" spans="2:4" x14ac:dyDescent="0.35">
      <c r="B3031" s="35">
        <v>37531</v>
      </c>
      <c r="C3031" s="34">
        <v>2926.74</v>
      </c>
      <c r="D3031" s="200"/>
    </row>
    <row r="3032" spans="2:4" x14ac:dyDescent="0.35">
      <c r="B3032" s="35">
        <v>37532</v>
      </c>
      <c r="C3032" s="34">
        <v>2813.3</v>
      </c>
      <c r="D3032" s="200"/>
    </row>
    <row r="3033" spans="2:4" x14ac:dyDescent="0.35">
      <c r="B3033" s="35">
        <v>37533</v>
      </c>
      <c r="C3033" s="34">
        <v>2714.62</v>
      </c>
      <c r="D3033" s="200"/>
    </row>
    <row r="3034" spans="2:4" x14ac:dyDescent="0.35">
      <c r="B3034" s="35">
        <v>37536</v>
      </c>
      <c r="C3034" s="34">
        <v>2667.39</v>
      </c>
      <c r="D3034" s="200"/>
    </row>
    <row r="3035" spans="2:4" x14ac:dyDescent="0.35">
      <c r="B3035" s="35">
        <v>37537</v>
      </c>
      <c r="C3035" s="34">
        <v>2622.09</v>
      </c>
      <c r="D3035" s="200"/>
    </row>
    <row r="3036" spans="2:4" x14ac:dyDescent="0.35">
      <c r="B3036" s="35">
        <v>37538</v>
      </c>
      <c r="C3036" s="34">
        <v>2597.88</v>
      </c>
      <c r="D3036" s="200"/>
    </row>
    <row r="3037" spans="2:4" x14ac:dyDescent="0.35">
      <c r="B3037" s="35">
        <v>37539</v>
      </c>
      <c r="C3037" s="34">
        <v>2733.19</v>
      </c>
      <c r="D3037" s="200"/>
    </row>
    <row r="3038" spans="2:4" x14ac:dyDescent="0.35">
      <c r="B3038" s="35">
        <v>37540</v>
      </c>
      <c r="C3038" s="34">
        <v>2930.74</v>
      </c>
      <c r="D3038" s="200"/>
    </row>
    <row r="3039" spans="2:4" x14ac:dyDescent="0.35">
      <c r="B3039" s="35">
        <v>37543</v>
      </c>
      <c r="C3039" s="34">
        <v>2850.11</v>
      </c>
      <c r="D3039" s="200"/>
    </row>
    <row r="3040" spans="2:4" x14ac:dyDescent="0.35">
      <c r="B3040" s="35">
        <v>37544</v>
      </c>
      <c r="C3040" s="34">
        <v>3048.27</v>
      </c>
      <c r="D3040" s="200"/>
    </row>
    <row r="3041" spans="2:4" x14ac:dyDescent="0.35">
      <c r="B3041" s="35">
        <v>37545</v>
      </c>
      <c r="C3041" s="34">
        <v>3008.93</v>
      </c>
      <c r="D3041" s="200"/>
    </row>
    <row r="3042" spans="2:4" x14ac:dyDescent="0.35">
      <c r="B3042" s="35">
        <v>37546</v>
      </c>
      <c r="C3042" s="34">
        <v>3172.46</v>
      </c>
      <c r="D3042" s="200"/>
    </row>
    <row r="3043" spans="2:4" x14ac:dyDescent="0.35">
      <c r="B3043" s="35">
        <v>37547</v>
      </c>
      <c r="C3043" s="34">
        <v>3163.67</v>
      </c>
      <c r="D3043" s="200"/>
    </row>
    <row r="3044" spans="2:4" x14ac:dyDescent="0.35">
      <c r="B3044" s="35">
        <v>37550</v>
      </c>
      <c r="C3044" s="34">
        <v>3282.67</v>
      </c>
      <c r="D3044" s="200"/>
    </row>
    <row r="3045" spans="2:4" x14ac:dyDescent="0.35">
      <c r="B3045" s="35">
        <v>37551</v>
      </c>
      <c r="C3045" s="34">
        <v>3155.97</v>
      </c>
      <c r="D3045" s="200"/>
    </row>
    <row r="3046" spans="2:4" x14ac:dyDescent="0.35">
      <c r="B3046" s="35">
        <v>37552</v>
      </c>
      <c r="C3046" s="34">
        <v>3015.42</v>
      </c>
      <c r="D3046" s="200"/>
    </row>
    <row r="3047" spans="2:4" x14ac:dyDescent="0.35">
      <c r="B3047" s="35">
        <v>37553</v>
      </c>
      <c r="C3047" s="34">
        <v>3090.01</v>
      </c>
      <c r="D3047" s="200"/>
    </row>
    <row r="3048" spans="2:4" x14ac:dyDescent="0.35">
      <c r="B3048" s="35">
        <v>37554</v>
      </c>
      <c r="C3048" s="34">
        <v>3102.01</v>
      </c>
      <c r="D3048" s="200"/>
    </row>
    <row r="3049" spans="2:4" x14ac:dyDescent="0.35">
      <c r="B3049" s="35">
        <v>37557</v>
      </c>
      <c r="C3049" s="34">
        <v>3198.96</v>
      </c>
      <c r="D3049" s="200"/>
    </row>
    <row r="3050" spans="2:4" x14ac:dyDescent="0.35">
      <c r="B3050" s="35">
        <v>37558</v>
      </c>
      <c r="C3050" s="34">
        <v>3022.01</v>
      </c>
      <c r="D3050" s="200"/>
    </row>
    <row r="3051" spans="2:4" x14ac:dyDescent="0.35">
      <c r="B3051" s="35">
        <v>37559</v>
      </c>
      <c r="C3051" s="34">
        <v>3113.59</v>
      </c>
      <c r="D3051" s="200"/>
    </row>
    <row r="3052" spans="2:4" x14ac:dyDescent="0.35">
      <c r="B3052" s="35">
        <v>37560</v>
      </c>
      <c r="C3052" s="34">
        <v>3152.85</v>
      </c>
      <c r="D3052" s="200"/>
    </row>
    <row r="3053" spans="2:4" x14ac:dyDescent="0.35">
      <c r="B3053" s="35">
        <v>37561</v>
      </c>
      <c r="C3053" s="34">
        <v>3165.16</v>
      </c>
      <c r="D3053" s="200"/>
    </row>
    <row r="3054" spans="2:4" x14ac:dyDescent="0.35">
      <c r="B3054" s="35">
        <v>37564</v>
      </c>
      <c r="C3054" s="34">
        <v>3327.94</v>
      </c>
      <c r="D3054" s="200"/>
    </row>
    <row r="3055" spans="2:4" x14ac:dyDescent="0.35">
      <c r="B3055" s="35">
        <v>37565</v>
      </c>
      <c r="C3055" s="34">
        <v>3351.32</v>
      </c>
      <c r="D3055" s="200"/>
    </row>
    <row r="3056" spans="2:4" x14ac:dyDescent="0.35">
      <c r="B3056" s="35">
        <v>37566</v>
      </c>
      <c r="C3056" s="34">
        <v>3298.84</v>
      </c>
      <c r="D3056" s="200"/>
    </row>
    <row r="3057" spans="2:4" x14ac:dyDescent="0.35">
      <c r="B3057" s="35">
        <v>37567</v>
      </c>
      <c r="C3057" s="34">
        <v>3155.66</v>
      </c>
      <c r="D3057" s="200"/>
    </row>
    <row r="3058" spans="2:4" x14ac:dyDescent="0.35">
      <c r="B3058" s="35">
        <v>37568</v>
      </c>
      <c r="C3058" s="34">
        <v>3079.1</v>
      </c>
      <c r="D3058" s="200"/>
    </row>
    <row r="3059" spans="2:4" x14ac:dyDescent="0.35">
      <c r="B3059" s="35">
        <v>37571</v>
      </c>
      <c r="C3059" s="34">
        <v>3042.06</v>
      </c>
      <c r="D3059" s="200"/>
    </row>
    <row r="3060" spans="2:4" x14ac:dyDescent="0.35">
      <c r="B3060" s="35">
        <v>37572</v>
      </c>
      <c r="C3060" s="34">
        <v>3115.88</v>
      </c>
      <c r="D3060" s="200"/>
    </row>
    <row r="3061" spans="2:4" x14ac:dyDescent="0.35">
      <c r="B3061" s="35">
        <v>37573</v>
      </c>
      <c r="C3061" s="34">
        <v>3066.42</v>
      </c>
      <c r="D3061" s="200"/>
    </row>
    <row r="3062" spans="2:4" x14ac:dyDescent="0.35">
      <c r="B3062" s="35">
        <v>37574</v>
      </c>
      <c r="C3062" s="34">
        <v>3188.39</v>
      </c>
      <c r="D3062" s="200"/>
    </row>
    <row r="3063" spans="2:4" x14ac:dyDescent="0.35">
      <c r="B3063" s="35">
        <v>37575</v>
      </c>
      <c r="C3063" s="34">
        <v>3191.76</v>
      </c>
      <c r="D3063" s="200"/>
    </row>
    <row r="3064" spans="2:4" x14ac:dyDescent="0.35">
      <c r="B3064" s="35">
        <v>37578</v>
      </c>
      <c r="C3064" s="34">
        <v>3218.36</v>
      </c>
      <c r="D3064" s="200"/>
    </row>
    <row r="3065" spans="2:4" x14ac:dyDescent="0.35">
      <c r="B3065" s="35">
        <v>37579</v>
      </c>
      <c r="C3065" s="34">
        <v>3206.93</v>
      </c>
      <c r="D3065" s="200"/>
    </row>
    <row r="3066" spans="2:4" x14ac:dyDescent="0.35">
      <c r="B3066" s="35">
        <v>37580</v>
      </c>
      <c r="C3066" s="34">
        <v>3212.99</v>
      </c>
      <c r="D3066" s="200"/>
    </row>
    <row r="3067" spans="2:4" x14ac:dyDescent="0.35">
      <c r="B3067" s="35">
        <v>37581</v>
      </c>
      <c r="C3067" s="34">
        <v>3304.63</v>
      </c>
      <c r="D3067" s="200"/>
    </row>
    <row r="3068" spans="2:4" x14ac:dyDescent="0.35">
      <c r="B3068" s="35">
        <v>37582</v>
      </c>
      <c r="C3068" s="34">
        <v>3320.88</v>
      </c>
      <c r="D3068" s="200"/>
    </row>
    <row r="3069" spans="2:4" x14ac:dyDescent="0.35">
      <c r="B3069" s="35">
        <v>37585</v>
      </c>
      <c r="C3069" s="34">
        <v>3299.24</v>
      </c>
      <c r="D3069" s="200"/>
    </row>
    <row r="3070" spans="2:4" x14ac:dyDescent="0.35">
      <c r="B3070" s="35">
        <v>37586</v>
      </c>
      <c r="C3070" s="34">
        <v>3191.63</v>
      </c>
      <c r="D3070" s="200"/>
    </row>
    <row r="3071" spans="2:4" x14ac:dyDescent="0.35">
      <c r="B3071" s="35">
        <v>37587</v>
      </c>
      <c r="C3071" s="34">
        <v>3346.14</v>
      </c>
      <c r="D3071" s="200"/>
    </row>
    <row r="3072" spans="2:4" x14ac:dyDescent="0.35">
      <c r="B3072" s="35">
        <v>37588</v>
      </c>
      <c r="C3072" s="34">
        <v>3360.76</v>
      </c>
      <c r="D3072" s="200"/>
    </row>
    <row r="3073" spans="2:4" x14ac:dyDescent="0.35">
      <c r="B3073" s="35">
        <v>37589</v>
      </c>
      <c r="C3073" s="34">
        <v>3320.32</v>
      </c>
      <c r="D3073" s="200"/>
    </row>
    <row r="3074" spans="2:4" x14ac:dyDescent="0.35">
      <c r="B3074" s="35">
        <v>37592</v>
      </c>
      <c r="C3074" s="34">
        <v>3380.2</v>
      </c>
      <c r="D3074" s="200"/>
    </row>
    <row r="3075" spans="2:4" x14ac:dyDescent="0.35">
      <c r="B3075" s="35">
        <v>37593</v>
      </c>
      <c r="C3075" s="34">
        <v>3280.49</v>
      </c>
      <c r="D3075" s="200"/>
    </row>
    <row r="3076" spans="2:4" x14ac:dyDescent="0.35">
      <c r="B3076" s="35">
        <v>37594</v>
      </c>
      <c r="C3076" s="34">
        <v>3320.75</v>
      </c>
      <c r="D3076" s="200"/>
    </row>
    <row r="3077" spans="2:4" x14ac:dyDescent="0.35">
      <c r="B3077" s="35">
        <v>37595</v>
      </c>
      <c r="C3077" s="34">
        <v>3224.74</v>
      </c>
      <c r="D3077" s="200"/>
    </row>
    <row r="3078" spans="2:4" x14ac:dyDescent="0.35">
      <c r="B3078" s="35">
        <v>37596</v>
      </c>
      <c r="C3078" s="34">
        <v>3207.53</v>
      </c>
      <c r="D3078" s="200"/>
    </row>
    <row r="3079" spans="2:4" x14ac:dyDescent="0.35">
      <c r="B3079" s="35">
        <v>37599</v>
      </c>
      <c r="C3079" s="34">
        <v>3065.57</v>
      </c>
      <c r="D3079" s="200"/>
    </row>
    <row r="3080" spans="2:4" x14ac:dyDescent="0.35">
      <c r="B3080" s="35">
        <v>37600</v>
      </c>
      <c r="C3080" s="34">
        <v>3167.99</v>
      </c>
      <c r="D3080" s="200"/>
    </row>
    <row r="3081" spans="2:4" x14ac:dyDescent="0.35">
      <c r="B3081" s="35">
        <v>37601</v>
      </c>
      <c r="C3081" s="34">
        <v>3196.05</v>
      </c>
      <c r="D3081" s="200"/>
    </row>
    <row r="3082" spans="2:4" x14ac:dyDescent="0.35">
      <c r="B3082" s="35">
        <v>37602</v>
      </c>
      <c r="C3082" s="34">
        <v>3111.88</v>
      </c>
      <c r="D3082" s="200"/>
    </row>
    <row r="3083" spans="2:4" x14ac:dyDescent="0.35">
      <c r="B3083" s="35">
        <v>37603</v>
      </c>
      <c r="C3083" s="34">
        <v>3077.06</v>
      </c>
      <c r="D3083" s="200"/>
    </row>
    <row r="3084" spans="2:4" x14ac:dyDescent="0.35">
      <c r="B3084" s="35">
        <v>37606</v>
      </c>
      <c r="C3084" s="34">
        <v>3205.29</v>
      </c>
      <c r="D3084" s="200"/>
    </row>
    <row r="3085" spans="2:4" x14ac:dyDescent="0.35">
      <c r="B3085" s="35">
        <v>37607</v>
      </c>
      <c r="C3085" s="34">
        <v>3139.97</v>
      </c>
      <c r="D3085" s="200"/>
    </row>
    <row r="3086" spans="2:4" x14ac:dyDescent="0.35">
      <c r="B3086" s="35">
        <v>37608</v>
      </c>
      <c r="C3086" s="34">
        <v>3022.69</v>
      </c>
      <c r="D3086" s="200"/>
    </row>
    <row r="3087" spans="2:4" x14ac:dyDescent="0.35">
      <c r="B3087" s="35">
        <v>37609</v>
      </c>
      <c r="C3087" s="34">
        <v>2961.41</v>
      </c>
      <c r="D3087" s="200"/>
    </row>
    <row r="3088" spans="2:4" x14ac:dyDescent="0.35">
      <c r="B3088" s="35">
        <v>37610</v>
      </c>
      <c r="C3088" s="34">
        <v>3024.22</v>
      </c>
      <c r="D3088" s="200"/>
    </row>
    <row r="3089" spans="2:4" x14ac:dyDescent="0.35">
      <c r="B3089" s="35">
        <v>37613</v>
      </c>
      <c r="C3089" s="34">
        <v>3000.84</v>
      </c>
      <c r="D3089" s="200"/>
    </row>
    <row r="3090" spans="2:4" x14ac:dyDescent="0.35">
      <c r="B3090" s="35">
        <v>37617</v>
      </c>
      <c r="C3090" s="34">
        <v>2840</v>
      </c>
      <c r="D3090" s="200"/>
    </row>
    <row r="3091" spans="2:4" x14ac:dyDescent="0.35">
      <c r="B3091" s="35">
        <v>37620</v>
      </c>
      <c r="C3091" s="34">
        <v>2892.63</v>
      </c>
      <c r="D3091" s="200"/>
    </row>
    <row r="3092" spans="2:4" x14ac:dyDescent="0.35">
      <c r="B3092" s="35">
        <v>37623</v>
      </c>
      <c r="C3092" s="34">
        <v>3105.04</v>
      </c>
      <c r="D3092" s="200"/>
    </row>
    <row r="3093" spans="2:4" x14ac:dyDescent="0.35">
      <c r="B3093" s="35">
        <v>37624</v>
      </c>
      <c r="C3093" s="34">
        <v>3092.94</v>
      </c>
      <c r="D3093" s="200"/>
    </row>
    <row r="3094" spans="2:4" x14ac:dyDescent="0.35">
      <c r="B3094" s="35">
        <v>37627</v>
      </c>
      <c r="C3094" s="34">
        <v>3157.25</v>
      </c>
      <c r="D3094" s="200"/>
    </row>
    <row r="3095" spans="2:4" x14ac:dyDescent="0.35">
      <c r="B3095" s="35">
        <v>37628</v>
      </c>
      <c r="C3095" s="34">
        <v>3112.77</v>
      </c>
      <c r="D3095" s="200"/>
    </row>
    <row r="3096" spans="2:4" x14ac:dyDescent="0.35">
      <c r="B3096" s="35">
        <v>37629</v>
      </c>
      <c r="C3096" s="34">
        <v>2993</v>
      </c>
      <c r="D3096" s="200"/>
    </row>
    <row r="3097" spans="2:4" x14ac:dyDescent="0.35">
      <c r="B3097" s="35">
        <v>37630</v>
      </c>
      <c r="C3097" s="34">
        <v>3037.68</v>
      </c>
      <c r="D3097" s="200"/>
    </row>
    <row r="3098" spans="2:4" x14ac:dyDescent="0.35">
      <c r="B3098" s="35">
        <v>37631</v>
      </c>
      <c r="C3098" s="34">
        <v>3037.33</v>
      </c>
      <c r="D3098" s="200"/>
    </row>
    <row r="3099" spans="2:4" x14ac:dyDescent="0.35">
      <c r="B3099" s="35">
        <v>37634</v>
      </c>
      <c r="C3099" s="34">
        <v>3060.65</v>
      </c>
      <c r="D3099" s="200"/>
    </row>
    <row r="3100" spans="2:4" x14ac:dyDescent="0.35">
      <c r="B3100" s="35">
        <v>37635</v>
      </c>
      <c r="C3100" s="34">
        <v>3098.72</v>
      </c>
      <c r="D3100" s="200"/>
    </row>
    <row r="3101" spans="2:4" x14ac:dyDescent="0.35">
      <c r="B3101" s="35">
        <v>37636</v>
      </c>
      <c r="C3101" s="34">
        <v>3049.4</v>
      </c>
      <c r="D3101" s="200"/>
    </row>
    <row r="3102" spans="2:4" x14ac:dyDescent="0.35">
      <c r="B3102" s="35">
        <v>37637</v>
      </c>
      <c r="C3102" s="34">
        <v>3054.11</v>
      </c>
      <c r="D3102" s="200"/>
    </row>
    <row r="3103" spans="2:4" x14ac:dyDescent="0.35">
      <c r="B3103" s="35">
        <v>37638</v>
      </c>
      <c r="C3103" s="34">
        <v>2918.82</v>
      </c>
      <c r="D3103" s="200"/>
    </row>
    <row r="3104" spans="2:4" x14ac:dyDescent="0.35">
      <c r="B3104" s="35">
        <v>37641</v>
      </c>
      <c r="C3104" s="34">
        <v>2893.55</v>
      </c>
      <c r="D3104" s="200"/>
    </row>
    <row r="3105" spans="2:4" x14ac:dyDescent="0.35">
      <c r="B3105" s="35">
        <v>37642</v>
      </c>
      <c r="C3105" s="34">
        <v>2870.57</v>
      </c>
      <c r="D3105" s="200"/>
    </row>
    <row r="3106" spans="2:4" x14ac:dyDescent="0.35">
      <c r="B3106" s="35">
        <v>37643</v>
      </c>
      <c r="C3106" s="34">
        <v>2803.25</v>
      </c>
      <c r="D3106" s="200"/>
    </row>
    <row r="3107" spans="2:4" x14ac:dyDescent="0.35">
      <c r="B3107" s="35">
        <v>37644</v>
      </c>
      <c r="C3107" s="34">
        <v>2811.22</v>
      </c>
      <c r="D3107" s="200"/>
    </row>
    <row r="3108" spans="2:4" x14ac:dyDescent="0.35">
      <c r="B3108" s="35">
        <v>37645</v>
      </c>
      <c r="C3108" s="34">
        <v>2717.82</v>
      </c>
      <c r="D3108" s="200"/>
    </row>
    <row r="3109" spans="2:4" x14ac:dyDescent="0.35">
      <c r="B3109" s="35">
        <v>37648</v>
      </c>
      <c r="C3109" s="34">
        <v>2643.8</v>
      </c>
      <c r="D3109" s="200"/>
    </row>
    <row r="3110" spans="2:4" x14ac:dyDescent="0.35">
      <c r="B3110" s="35">
        <v>37649</v>
      </c>
      <c r="C3110" s="34">
        <v>2671.36</v>
      </c>
      <c r="D3110" s="200"/>
    </row>
    <row r="3111" spans="2:4" x14ac:dyDescent="0.35">
      <c r="B3111" s="35">
        <v>37650</v>
      </c>
      <c r="C3111" s="34">
        <v>2706.57</v>
      </c>
      <c r="D3111" s="200"/>
    </row>
    <row r="3112" spans="2:4" x14ac:dyDescent="0.35">
      <c r="B3112" s="35">
        <v>37651</v>
      </c>
      <c r="C3112" s="34">
        <v>2693.78</v>
      </c>
      <c r="D3112" s="200"/>
    </row>
    <row r="3113" spans="2:4" x14ac:dyDescent="0.35">
      <c r="B3113" s="35">
        <v>37652</v>
      </c>
      <c r="C3113" s="34">
        <v>2747.83</v>
      </c>
      <c r="D3113" s="200"/>
    </row>
    <row r="3114" spans="2:4" x14ac:dyDescent="0.35">
      <c r="B3114" s="35">
        <v>37655</v>
      </c>
      <c r="C3114" s="34">
        <v>2751.99</v>
      </c>
      <c r="D3114" s="200"/>
    </row>
    <row r="3115" spans="2:4" x14ac:dyDescent="0.35">
      <c r="B3115" s="35">
        <v>37656</v>
      </c>
      <c r="C3115" s="34">
        <v>2632.98</v>
      </c>
      <c r="D3115" s="200"/>
    </row>
    <row r="3116" spans="2:4" x14ac:dyDescent="0.35">
      <c r="B3116" s="35">
        <v>37657</v>
      </c>
      <c r="C3116" s="34">
        <v>2725.88</v>
      </c>
      <c r="D3116" s="200"/>
    </row>
    <row r="3117" spans="2:4" x14ac:dyDescent="0.35">
      <c r="B3117" s="35">
        <v>37658</v>
      </c>
      <c r="C3117" s="34">
        <v>2649</v>
      </c>
      <c r="D3117" s="200"/>
    </row>
    <row r="3118" spans="2:4" x14ac:dyDescent="0.35">
      <c r="B3118" s="35">
        <v>37659</v>
      </c>
      <c r="C3118" s="34">
        <v>2569.34</v>
      </c>
      <c r="D3118" s="200"/>
    </row>
    <row r="3119" spans="2:4" x14ac:dyDescent="0.35">
      <c r="B3119" s="35">
        <v>37662</v>
      </c>
      <c r="C3119" s="34">
        <v>2586.09</v>
      </c>
      <c r="D3119" s="200"/>
    </row>
    <row r="3120" spans="2:4" x14ac:dyDescent="0.35">
      <c r="B3120" s="35">
        <v>37663</v>
      </c>
      <c r="C3120" s="34">
        <v>2627</v>
      </c>
      <c r="D3120" s="200"/>
    </row>
    <row r="3121" spans="2:4" x14ac:dyDescent="0.35">
      <c r="B3121" s="35">
        <v>37664</v>
      </c>
      <c r="C3121" s="34">
        <v>2571.25</v>
      </c>
      <c r="D3121" s="200"/>
    </row>
    <row r="3122" spans="2:4" x14ac:dyDescent="0.35">
      <c r="B3122" s="35">
        <v>37665</v>
      </c>
      <c r="C3122" s="34">
        <v>2555.27</v>
      </c>
      <c r="D3122" s="200"/>
    </row>
    <row r="3123" spans="2:4" x14ac:dyDescent="0.35">
      <c r="B3123" s="35">
        <v>37666</v>
      </c>
      <c r="C3123" s="34">
        <v>2674.46</v>
      </c>
      <c r="D3123" s="200"/>
    </row>
    <row r="3124" spans="2:4" x14ac:dyDescent="0.35">
      <c r="B3124" s="35">
        <v>37669</v>
      </c>
      <c r="C3124" s="34">
        <v>2708.97</v>
      </c>
      <c r="D3124" s="200"/>
    </row>
    <row r="3125" spans="2:4" x14ac:dyDescent="0.35">
      <c r="B3125" s="35">
        <v>37670</v>
      </c>
      <c r="C3125" s="34">
        <v>2740.14</v>
      </c>
      <c r="D3125" s="200"/>
    </row>
    <row r="3126" spans="2:4" x14ac:dyDescent="0.35">
      <c r="B3126" s="35">
        <v>37671</v>
      </c>
      <c r="C3126" s="34">
        <v>2624.65</v>
      </c>
      <c r="D3126" s="200"/>
    </row>
    <row r="3127" spans="2:4" x14ac:dyDescent="0.35">
      <c r="B3127" s="35">
        <v>37672</v>
      </c>
      <c r="C3127" s="34">
        <v>2591.2600000000002</v>
      </c>
      <c r="D3127" s="200"/>
    </row>
    <row r="3128" spans="2:4" x14ac:dyDescent="0.35">
      <c r="B3128" s="35">
        <v>37673</v>
      </c>
      <c r="C3128" s="34">
        <v>2648.87</v>
      </c>
      <c r="D3128" s="200"/>
    </row>
    <row r="3129" spans="2:4" x14ac:dyDescent="0.35">
      <c r="B3129" s="35">
        <v>37676</v>
      </c>
      <c r="C3129" s="34">
        <v>2571.35</v>
      </c>
      <c r="D3129" s="200"/>
    </row>
    <row r="3130" spans="2:4" x14ac:dyDescent="0.35">
      <c r="B3130" s="35">
        <v>37677</v>
      </c>
      <c r="C3130" s="34">
        <v>2485.5</v>
      </c>
      <c r="D3130" s="200"/>
    </row>
    <row r="3131" spans="2:4" x14ac:dyDescent="0.35">
      <c r="B3131" s="35">
        <v>37678</v>
      </c>
      <c r="C3131" s="34">
        <v>2450.1999999999998</v>
      </c>
      <c r="D3131" s="200"/>
    </row>
    <row r="3132" spans="2:4" x14ac:dyDescent="0.35">
      <c r="B3132" s="35">
        <v>37679</v>
      </c>
      <c r="C3132" s="34">
        <v>2513.2199999999998</v>
      </c>
      <c r="D3132" s="200"/>
    </row>
    <row r="3133" spans="2:4" x14ac:dyDescent="0.35">
      <c r="B3133" s="35">
        <v>37680</v>
      </c>
      <c r="C3133" s="34">
        <v>2547.0500000000002</v>
      </c>
      <c r="D3133" s="200"/>
    </row>
    <row r="3134" spans="2:4" x14ac:dyDescent="0.35">
      <c r="B3134" s="35">
        <v>37683</v>
      </c>
      <c r="C3134" s="34">
        <v>2549.65</v>
      </c>
      <c r="D3134" s="200"/>
    </row>
    <row r="3135" spans="2:4" x14ac:dyDescent="0.35">
      <c r="B3135" s="35">
        <v>37684</v>
      </c>
      <c r="C3135" s="34">
        <v>2501.0300000000002</v>
      </c>
      <c r="D3135" s="200"/>
    </row>
    <row r="3136" spans="2:4" x14ac:dyDescent="0.35">
      <c r="B3136" s="35">
        <v>37685</v>
      </c>
      <c r="C3136" s="34">
        <v>2498.02</v>
      </c>
      <c r="D3136" s="200"/>
    </row>
    <row r="3137" spans="2:4" x14ac:dyDescent="0.35">
      <c r="B3137" s="35">
        <v>37686</v>
      </c>
      <c r="C3137" s="34">
        <v>2437.5100000000002</v>
      </c>
      <c r="D3137" s="200"/>
    </row>
    <row r="3138" spans="2:4" x14ac:dyDescent="0.35">
      <c r="B3138" s="35">
        <v>37687</v>
      </c>
      <c r="C3138" s="34">
        <v>2431.66</v>
      </c>
      <c r="D3138" s="200"/>
    </row>
    <row r="3139" spans="2:4" x14ac:dyDescent="0.35">
      <c r="B3139" s="35">
        <v>37690</v>
      </c>
      <c r="C3139" s="34">
        <v>2329.04</v>
      </c>
      <c r="D3139" s="200"/>
    </row>
    <row r="3140" spans="2:4" x14ac:dyDescent="0.35">
      <c r="B3140" s="35">
        <v>37691</v>
      </c>
      <c r="C3140" s="34">
        <v>2305.3000000000002</v>
      </c>
      <c r="D3140" s="200"/>
    </row>
    <row r="3141" spans="2:4" x14ac:dyDescent="0.35">
      <c r="B3141" s="35">
        <v>37692</v>
      </c>
      <c r="C3141" s="34">
        <v>2202.96</v>
      </c>
      <c r="D3141" s="200"/>
    </row>
    <row r="3142" spans="2:4" x14ac:dyDescent="0.35">
      <c r="B3142" s="35">
        <v>37693</v>
      </c>
      <c r="C3142" s="34">
        <v>2354.31</v>
      </c>
      <c r="D3142" s="200"/>
    </row>
    <row r="3143" spans="2:4" x14ac:dyDescent="0.35">
      <c r="B3143" s="35">
        <v>37694</v>
      </c>
      <c r="C3143" s="34">
        <v>2403.19</v>
      </c>
      <c r="D3143" s="200"/>
    </row>
    <row r="3144" spans="2:4" x14ac:dyDescent="0.35">
      <c r="B3144" s="35">
        <v>37697</v>
      </c>
      <c r="C3144" s="34">
        <v>2487.12</v>
      </c>
      <c r="D3144" s="200"/>
    </row>
    <row r="3145" spans="2:4" x14ac:dyDescent="0.35">
      <c r="B3145" s="35">
        <v>37698</v>
      </c>
      <c r="C3145" s="34">
        <v>2584.61</v>
      </c>
      <c r="D3145" s="200"/>
    </row>
    <row r="3146" spans="2:4" x14ac:dyDescent="0.35">
      <c r="B3146" s="35">
        <v>37699</v>
      </c>
      <c r="C3146" s="34">
        <v>2615.2199999999998</v>
      </c>
      <c r="D3146" s="200"/>
    </row>
    <row r="3147" spans="2:4" x14ac:dyDescent="0.35">
      <c r="B3147" s="35">
        <v>37700</v>
      </c>
      <c r="C3147" s="34">
        <v>2604.85</v>
      </c>
      <c r="D3147" s="200"/>
    </row>
    <row r="3148" spans="2:4" x14ac:dyDescent="0.35">
      <c r="B3148" s="35">
        <v>37701</v>
      </c>
      <c r="C3148" s="34">
        <v>2715.06</v>
      </c>
      <c r="D3148" s="200"/>
    </row>
    <row r="3149" spans="2:4" x14ac:dyDescent="0.35">
      <c r="B3149" s="35">
        <v>37704</v>
      </c>
      <c r="C3149" s="34">
        <v>2548.37</v>
      </c>
      <c r="D3149" s="200"/>
    </row>
    <row r="3150" spans="2:4" x14ac:dyDescent="0.35">
      <c r="B3150" s="35">
        <v>37705</v>
      </c>
      <c r="C3150" s="34">
        <v>2636.1</v>
      </c>
      <c r="D3150" s="200"/>
    </row>
    <row r="3151" spans="2:4" x14ac:dyDescent="0.35">
      <c r="B3151" s="35">
        <v>37706</v>
      </c>
      <c r="C3151" s="34">
        <v>2579.33</v>
      </c>
      <c r="D3151" s="200"/>
    </row>
    <row r="3152" spans="2:4" x14ac:dyDescent="0.35">
      <c r="B3152" s="35">
        <v>37707</v>
      </c>
      <c r="C3152" s="34">
        <v>2584.0500000000002</v>
      </c>
      <c r="D3152" s="200"/>
    </row>
    <row r="3153" spans="2:4" x14ac:dyDescent="0.35">
      <c r="B3153" s="35">
        <v>37708</v>
      </c>
      <c r="C3153" s="34">
        <v>2520.84</v>
      </c>
      <c r="D3153" s="200"/>
    </row>
    <row r="3154" spans="2:4" x14ac:dyDescent="0.35">
      <c r="B3154" s="35">
        <v>37711</v>
      </c>
      <c r="C3154" s="34">
        <v>2423.87</v>
      </c>
      <c r="D3154" s="200"/>
    </row>
    <row r="3155" spans="2:4" x14ac:dyDescent="0.35">
      <c r="B3155" s="35">
        <v>37712</v>
      </c>
      <c r="C3155" s="34">
        <v>2450.19</v>
      </c>
      <c r="D3155" s="200"/>
    </row>
    <row r="3156" spans="2:4" x14ac:dyDescent="0.35">
      <c r="B3156" s="35">
        <v>37713</v>
      </c>
      <c r="C3156" s="34">
        <v>2589.35</v>
      </c>
      <c r="D3156" s="200"/>
    </row>
    <row r="3157" spans="2:4" x14ac:dyDescent="0.35">
      <c r="B3157" s="35">
        <v>37714</v>
      </c>
      <c r="C3157" s="34">
        <v>2569.81</v>
      </c>
      <c r="D3157" s="200"/>
    </row>
    <row r="3158" spans="2:4" x14ac:dyDescent="0.35">
      <c r="B3158" s="35">
        <v>37715</v>
      </c>
      <c r="C3158" s="34">
        <v>2654.07</v>
      </c>
      <c r="D3158" s="200"/>
    </row>
    <row r="3159" spans="2:4" x14ac:dyDescent="0.35">
      <c r="B3159" s="35">
        <v>37718</v>
      </c>
      <c r="C3159" s="34">
        <v>2808.94</v>
      </c>
      <c r="D3159" s="200"/>
    </row>
    <row r="3160" spans="2:4" x14ac:dyDescent="0.35">
      <c r="B3160" s="35">
        <v>37719</v>
      </c>
      <c r="C3160" s="34">
        <v>2767.79</v>
      </c>
      <c r="D3160" s="200"/>
    </row>
    <row r="3161" spans="2:4" x14ac:dyDescent="0.35">
      <c r="B3161" s="35">
        <v>37720</v>
      </c>
      <c r="C3161" s="34">
        <v>2734.1</v>
      </c>
      <c r="D3161" s="200"/>
    </row>
    <row r="3162" spans="2:4" x14ac:dyDescent="0.35">
      <c r="B3162" s="35">
        <v>37721</v>
      </c>
      <c r="C3162" s="34">
        <v>2697.1</v>
      </c>
      <c r="D3162" s="200"/>
    </row>
    <row r="3163" spans="2:4" x14ac:dyDescent="0.35">
      <c r="B3163" s="35">
        <v>37722</v>
      </c>
      <c r="C3163" s="34">
        <v>2733.95</v>
      </c>
      <c r="D3163" s="200"/>
    </row>
    <row r="3164" spans="2:4" x14ac:dyDescent="0.35">
      <c r="B3164" s="35">
        <v>37725</v>
      </c>
      <c r="C3164" s="34">
        <v>2776.78</v>
      </c>
      <c r="D3164" s="200"/>
    </row>
    <row r="3165" spans="2:4" x14ac:dyDescent="0.35">
      <c r="B3165" s="35">
        <v>37726</v>
      </c>
      <c r="C3165" s="34">
        <v>2834.12</v>
      </c>
      <c r="D3165" s="200"/>
    </row>
    <row r="3166" spans="2:4" x14ac:dyDescent="0.35">
      <c r="B3166" s="35">
        <v>37727</v>
      </c>
      <c r="C3166" s="34">
        <v>2824.68</v>
      </c>
      <c r="D3166" s="200"/>
    </row>
    <row r="3167" spans="2:4" x14ac:dyDescent="0.35">
      <c r="B3167" s="35">
        <v>37728</v>
      </c>
      <c r="C3167" s="34">
        <v>2899.78</v>
      </c>
      <c r="D3167" s="200"/>
    </row>
    <row r="3168" spans="2:4" x14ac:dyDescent="0.35">
      <c r="B3168" s="35">
        <v>37733</v>
      </c>
      <c r="C3168" s="34">
        <v>2960.96</v>
      </c>
      <c r="D3168" s="200"/>
    </row>
    <row r="3169" spans="2:4" x14ac:dyDescent="0.35">
      <c r="B3169" s="35">
        <v>37734</v>
      </c>
      <c r="C3169" s="34">
        <v>2974.4</v>
      </c>
      <c r="D3169" s="200"/>
    </row>
    <row r="3170" spans="2:4" x14ac:dyDescent="0.35">
      <c r="B3170" s="35">
        <v>37735</v>
      </c>
      <c r="C3170" s="34">
        <v>2891.62</v>
      </c>
      <c r="D3170" s="200"/>
    </row>
    <row r="3171" spans="2:4" x14ac:dyDescent="0.35">
      <c r="B3171" s="35">
        <v>37736</v>
      </c>
      <c r="C3171" s="34">
        <v>2838.23</v>
      </c>
      <c r="D3171" s="200"/>
    </row>
    <row r="3172" spans="2:4" x14ac:dyDescent="0.35">
      <c r="B3172" s="35">
        <v>37739</v>
      </c>
      <c r="C3172" s="34">
        <v>2953.92</v>
      </c>
      <c r="D3172" s="200"/>
    </row>
    <row r="3173" spans="2:4" x14ac:dyDescent="0.35">
      <c r="B3173" s="35">
        <v>37740</v>
      </c>
      <c r="C3173" s="34">
        <v>2908.96</v>
      </c>
      <c r="D3173" s="200"/>
    </row>
    <row r="3174" spans="2:4" x14ac:dyDescent="0.35">
      <c r="B3174" s="35">
        <v>37741</v>
      </c>
      <c r="C3174" s="34">
        <v>2942.04</v>
      </c>
      <c r="D3174" s="200"/>
    </row>
    <row r="3175" spans="2:4" x14ac:dyDescent="0.35">
      <c r="B3175" s="35">
        <v>37743</v>
      </c>
      <c r="C3175" s="34">
        <v>2986</v>
      </c>
      <c r="D3175" s="200"/>
    </row>
    <row r="3176" spans="2:4" x14ac:dyDescent="0.35">
      <c r="B3176" s="35">
        <v>37746</v>
      </c>
      <c r="C3176" s="34">
        <v>3013.04</v>
      </c>
      <c r="D3176" s="200"/>
    </row>
    <row r="3177" spans="2:4" x14ac:dyDescent="0.35">
      <c r="B3177" s="35">
        <v>37747</v>
      </c>
      <c r="C3177" s="34">
        <v>3066.95</v>
      </c>
      <c r="D3177" s="200"/>
    </row>
    <row r="3178" spans="2:4" x14ac:dyDescent="0.35">
      <c r="B3178" s="35">
        <v>37748</v>
      </c>
      <c r="C3178" s="34">
        <v>3005.64</v>
      </c>
      <c r="D3178" s="200"/>
    </row>
    <row r="3179" spans="2:4" x14ac:dyDescent="0.35">
      <c r="B3179" s="35">
        <v>37749</v>
      </c>
      <c r="C3179" s="34">
        <v>2886.08</v>
      </c>
      <c r="D3179" s="200"/>
    </row>
    <row r="3180" spans="2:4" x14ac:dyDescent="0.35">
      <c r="B3180" s="35">
        <v>37750</v>
      </c>
      <c r="C3180" s="34">
        <v>2956.59</v>
      </c>
      <c r="D3180" s="200"/>
    </row>
    <row r="3181" spans="2:4" x14ac:dyDescent="0.35">
      <c r="B3181" s="35">
        <v>37753</v>
      </c>
      <c r="C3181" s="34">
        <v>2937.26</v>
      </c>
      <c r="D3181" s="200"/>
    </row>
    <row r="3182" spans="2:4" x14ac:dyDescent="0.35">
      <c r="B3182" s="35">
        <v>37754</v>
      </c>
      <c r="C3182" s="34">
        <v>2909.95</v>
      </c>
      <c r="D3182" s="200"/>
    </row>
    <row r="3183" spans="2:4" x14ac:dyDescent="0.35">
      <c r="B3183" s="35">
        <v>37755</v>
      </c>
      <c r="C3183" s="34">
        <v>2926.03</v>
      </c>
      <c r="D3183" s="200"/>
    </row>
    <row r="3184" spans="2:4" x14ac:dyDescent="0.35">
      <c r="B3184" s="35">
        <v>37756</v>
      </c>
      <c r="C3184" s="34">
        <v>2989.38</v>
      </c>
      <c r="D3184" s="200"/>
    </row>
    <row r="3185" spans="2:4" x14ac:dyDescent="0.35">
      <c r="B3185" s="35">
        <v>37757</v>
      </c>
      <c r="C3185" s="34">
        <v>2989.08</v>
      </c>
      <c r="D3185" s="200"/>
    </row>
    <row r="3186" spans="2:4" x14ac:dyDescent="0.35">
      <c r="B3186" s="35">
        <v>37760</v>
      </c>
      <c r="C3186" s="34">
        <v>2850.68</v>
      </c>
      <c r="D3186" s="200"/>
    </row>
    <row r="3187" spans="2:4" x14ac:dyDescent="0.35">
      <c r="B3187" s="35">
        <v>37761</v>
      </c>
      <c r="C3187" s="34">
        <v>2838.93</v>
      </c>
      <c r="D3187" s="200"/>
    </row>
    <row r="3188" spans="2:4" x14ac:dyDescent="0.35">
      <c r="B3188" s="35">
        <v>37762</v>
      </c>
      <c r="C3188" s="34">
        <v>2827.25</v>
      </c>
      <c r="D3188" s="200"/>
    </row>
    <row r="3189" spans="2:4" x14ac:dyDescent="0.35">
      <c r="B3189" s="35">
        <v>37763</v>
      </c>
      <c r="C3189" s="34">
        <v>2865.21</v>
      </c>
      <c r="D3189" s="200"/>
    </row>
    <row r="3190" spans="2:4" x14ac:dyDescent="0.35">
      <c r="B3190" s="35">
        <v>37764</v>
      </c>
      <c r="C3190" s="34">
        <v>2822.83</v>
      </c>
      <c r="D3190" s="200"/>
    </row>
    <row r="3191" spans="2:4" x14ac:dyDescent="0.35">
      <c r="B3191" s="35">
        <v>37767</v>
      </c>
      <c r="C3191" s="34">
        <v>2828.28</v>
      </c>
      <c r="D3191" s="200"/>
    </row>
    <row r="3192" spans="2:4" x14ac:dyDescent="0.35">
      <c r="B3192" s="35">
        <v>37768</v>
      </c>
      <c r="C3192" s="34">
        <v>2873.6</v>
      </c>
      <c r="D3192" s="200"/>
    </row>
    <row r="3193" spans="2:4" x14ac:dyDescent="0.35">
      <c r="B3193" s="35">
        <v>37769</v>
      </c>
      <c r="C3193" s="34">
        <v>2919.54</v>
      </c>
      <c r="D3193" s="200"/>
    </row>
    <row r="3194" spans="2:4" x14ac:dyDescent="0.35">
      <c r="B3194" s="35">
        <v>37770</v>
      </c>
      <c r="C3194" s="34">
        <v>2906.71</v>
      </c>
      <c r="D3194" s="200"/>
    </row>
    <row r="3195" spans="2:4" x14ac:dyDescent="0.35">
      <c r="B3195" s="35">
        <v>37771</v>
      </c>
      <c r="C3195" s="34">
        <v>2982.68</v>
      </c>
      <c r="D3195" s="200"/>
    </row>
    <row r="3196" spans="2:4" x14ac:dyDescent="0.35">
      <c r="B3196" s="35">
        <v>37774</v>
      </c>
      <c r="C3196" s="34">
        <v>3064.56</v>
      </c>
      <c r="D3196" s="200"/>
    </row>
    <row r="3197" spans="2:4" x14ac:dyDescent="0.35">
      <c r="B3197" s="35">
        <v>37775</v>
      </c>
      <c r="C3197" s="34">
        <v>3026.82</v>
      </c>
      <c r="D3197" s="200"/>
    </row>
    <row r="3198" spans="2:4" x14ac:dyDescent="0.35">
      <c r="B3198" s="35">
        <v>37776</v>
      </c>
      <c r="C3198" s="34">
        <v>3080.02</v>
      </c>
      <c r="D3198" s="200"/>
    </row>
    <row r="3199" spans="2:4" x14ac:dyDescent="0.35">
      <c r="B3199" s="35">
        <v>37777</v>
      </c>
      <c r="C3199" s="34">
        <v>3039.76</v>
      </c>
      <c r="D3199" s="200"/>
    </row>
    <row r="3200" spans="2:4" x14ac:dyDescent="0.35">
      <c r="B3200" s="35">
        <v>37778</v>
      </c>
      <c r="C3200" s="34">
        <v>3127.46</v>
      </c>
      <c r="D3200" s="200"/>
    </row>
    <row r="3201" spans="2:4" x14ac:dyDescent="0.35">
      <c r="B3201" s="35">
        <v>37781</v>
      </c>
      <c r="C3201" s="34">
        <v>3094.76</v>
      </c>
      <c r="D3201" s="200"/>
    </row>
    <row r="3202" spans="2:4" x14ac:dyDescent="0.35">
      <c r="B3202" s="35">
        <v>37782</v>
      </c>
      <c r="C3202" s="34">
        <v>3140.34</v>
      </c>
      <c r="D3202" s="200"/>
    </row>
    <row r="3203" spans="2:4" x14ac:dyDescent="0.35">
      <c r="B3203" s="35">
        <v>37783</v>
      </c>
      <c r="C3203" s="34">
        <v>3178.15</v>
      </c>
      <c r="D3203" s="200"/>
    </row>
    <row r="3204" spans="2:4" x14ac:dyDescent="0.35">
      <c r="B3204" s="35">
        <v>37784</v>
      </c>
      <c r="C3204" s="34">
        <v>3219.47</v>
      </c>
      <c r="D3204" s="200"/>
    </row>
    <row r="3205" spans="2:4" x14ac:dyDescent="0.35">
      <c r="B3205" s="35">
        <v>37785</v>
      </c>
      <c r="C3205" s="34">
        <v>3168.71</v>
      </c>
      <c r="D3205" s="200"/>
    </row>
    <row r="3206" spans="2:4" x14ac:dyDescent="0.35">
      <c r="B3206" s="35">
        <v>37788</v>
      </c>
      <c r="C3206" s="34">
        <v>3264.5</v>
      </c>
      <c r="D3206" s="200"/>
    </row>
    <row r="3207" spans="2:4" x14ac:dyDescent="0.35">
      <c r="B3207" s="35">
        <v>37789</v>
      </c>
      <c r="C3207" s="34">
        <v>3286.48</v>
      </c>
      <c r="D3207" s="200"/>
    </row>
    <row r="3208" spans="2:4" x14ac:dyDescent="0.35">
      <c r="B3208" s="35">
        <v>37790</v>
      </c>
      <c r="C3208" s="34">
        <v>3304.15</v>
      </c>
      <c r="D3208" s="200"/>
    </row>
    <row r="3209" spans="2:4" x14ac:dyDescent="0.35">
      <c r="B3209" s="35">
        <v>37791</v>
      </c>
      <c r="C3209" s="34">
        <v>3247.11</v>
      </c>
      <c r="D3209" s="200"/>
    </row>
    <row r="3210" spans="2:4" x14ac:dyDescent="0.35">
      <c r="B3210" s="35">
        <v>37792</v>
      </c>
      <c r="C3210" s="34">
        <v>3238.98</v>
      </c>
      <c r="D3210" s="200"/>
    </row>
    <row r="3211" spans="2:4" x14ac:dyDescent="0.35">
      <c r="B3211" s="35">
        <v>37795</v>
      </c>
      <c r="C3211" s="34">
        <v>3186.39</v>
      </c>
      <c r="D3211" s="200"/>
    </row>
    <row r="3212" spans="2:4" x14ac:dyDescent="0.35">
      <c r="B3212" s="35">
        <v>37796</v>
      </c>
      <c r="C3212" s="34">
        <v>3217.34</v>
      </c>
      <c r="D3212" s="200"/>
    </row>
    <row r="3213" spans="2:4" x14ac:dyDescent="0.35">
      <c r="B3213" s="35">
        <v>37797</v>
      </c>
      <c r="C3213" s="34">
        <v>3198.82</v>
      </c>
      <c r="D3213" s="200"/>
    </row>
    <row r="3214" spans="2:4" x14ac:dyDescent="0.35">
      <c r="B3214" s="35">
        <v>37798</v>
      </c>
      <c r="C3214" s="34">
        <v>3241.22</v>
      </c>
      <c r="D3214" s="200"/>
    </row>
    <row r="3215" spans="2:4" x14ac:dyDescent="0.35">
      <c r="B3215" s="35">
        <v>37799</v>
      </c>
      <c r="C3215" s="34">
        <v>3224.66</v>
      </c>
      <c r="D3215" s="200"/>
    </row>
    <row r="3216" spans="2:4" x14ac:dyDescent="0.35">
      <c r="B3216" s="35">
        <v>37802</v>
      </c>
      <c r="C3216" s="34">
        <v>3220.58</v>
      </c>
      <c r="D3216" s="200"/>
    </row>
    <row r="3217" spans="2:4" x14ac:dyDescent="0.35">
      <c r="B3217" s="35">
        <v>37803</v>
      </c>
      <c r="C3217" s="34">
        <v>3146.55</v>
      </c>
      <c r="D3217" s="200"/>
    </row>
    <row r="3218" spans="2:4" x14ac:dyDescent="0.35">
      <c r="B3218" s="35">
        <v>37804</v>
      </c>
      <c r="C3218" s="34">
        <v>3241.04</v>
      </c>
      <c r="D3218" s="200"/>
    </row>
    <row r="3219" spans="2:4" x14ac:dyDescent="0.35">
      <c r="B3219" s="35">
        <v>37805</v>
      </c>
      <c r="C3219" s="34">
        <v>3241.92</v>
      </c>
      <c r="D3219" s="200"/>
    </row>
    <row r="3220" spans="2:4" x14ac:dyDescent="0.35">
      <c r="B3220" s="35">
        <v>37806</v>
      </c>
      <c r="C3220" s="34">
        <v>3239.61</v>
      </c>
      <c r="D3220" s="200"/>
    </row>
    <row r="3221" spans="2:4" x14ac:dyDescent="0.35">
      <c r="B3221" s="35">
        <v>37809</v>
      </c>
      <c r="C3221" s="34">
        <v>3332.87</v>
      </c>
      <c r="D3221" s="200"/>
    </row>
    <row r="3222" spans="2:4" x14ac:dyDescent="0.35">
      <c r="B3222" s="35">
        <v>37810</v>
      </c>
      <c r="C3222" s="34">
        <v>3344.46</v>
      </c>
      <c r="D3222" s="200"/>
    </row>
    <row r="3223" spans="2:4" x14ac:dyDescent="0.35">
      <c r="B3223" s="35">
        <v>37811</v>
      </c>
      <c r="C3223" s="34">
        <v>3322.43</v>
      </c>
      <c r="D3223" s="200"/>
    </row>
    <row r="3224" spans="2:4" x14ac:dyDescent="0.35">
      <c r="B3224" s="35">
        <v>37812</v>
      </c>
      <c r="C3224" s="34">
        <v>3269.84</v>
      </c>
      <c r="D3224" s="200"/>
    </row>
    <row r="3225" spans="2:4" x14ac:dyDescent="0.35">
      <c r="B3225" s="35">
        <v>37813</v>
      </c>
      <c r="C3225" s="34">
        <v>3326.51</v>
      </c>
      <c r="D3225" s="200"/>
    </row>
    <row r="3226" spans="2:4" x14ac:dyDescent="0.35">
      <c r="B3226" s="35">
        <v>37816</v>
      </c>
      <c r="C3226" s="34">
        <v>3396.07</v>
      </c>
      <c r="D3226" s="200"/>
    </row>
    <row r="3227" spans="2:4" x14ac:dyDescent="0.35">
      <c r="B3227" s="35">
        <v>37817</v>
      </c>
      <c r="C3227" s="34">
        <v>3384.69</v>
      </c>
      <c r="D3227" s="200"/>
    </row>
    <row r="3228" spans="2:4" x14ac:dyDescent="0.35">
      <c r="B3228" s="35">
        <v>37818</v>
      </c>
      <c r="C3228" s="34">
        <v>3387.64</v>
      </c>
      <c r="D3228" s="200"/>
    </row>
    <row r="3229" spans="2:4" x14ac:dyDescent="0.35">
      <c r="B3229" s="35">
        <v>37819</v>
      </c>
      <c r="C3229" s="34">
        <v>3330.68</v>
      </c>
      <c r="D3229" s="200"/>
    </row>
    <row r="3230" spans="2:4" x14ac:dyDescent="0.35">
      <c r="B3230" s="35">
        <v>37820</v>
      </c>
      <c r="C3230" s="34">
        <v>3366.71</v>
      </c>
      <c r="D3230" s="200"/>
    </row>
    <row r="3231" spans="2:4" x14ac:dyDescent="0.35">
      <c r="B3231" s="35">
        <v>37823</v>
      </c>
      <c r="C3231" s="34">
        <v>3287</v>
      </c>
      <c r="D3231" s="200"/>
    </row>
    <row r="3232" spans="2:4" x14ac:dyDescent="0.35">
      <c r="B3232" s="35">
        <v>37824</v>
      </c>
      <c r="C3232" s="34">
        <v>3318.15</v>
      </c>
      <c r="D3232" s="200"/>
    </row>
    <row r="3233" spans="2:4" x14ac:dyDescent="0.35">
      <c r="B3233" s="35">
        <v>37825</v>
      </c>
      <c r="C3233" s="34">
        <v>3304.48</v>
      </c>
      <c r="D3233" s="200"/>
    </row>
    <row r="3234" spans="2:4" x14ac:dyDescent="0.35">
      <c r="B3234" s="35">
        <v>37826</v>
      </c>
      <c r="C3234" s="34">
        <v>3374.82</v>
      </c>
      <c r="D3234" s="200"/>
    </row>
    <row r="3235" spans="2:4" x14ac:dyDescent="0.35">
      <c r="B3235" s="35">
        <v>37827</v>
      </c>
      <c r="C3235" s="34">
        <v>3356.89</v>
      </c>
      <c r="D3235" s="200"/>
    </row>
    <row r="3236" spans="2:4" x14ac:dyDescent="0.35">
      <c r="B3236" s="35">
        <v>37830</v>
      </c>
      <c r="C3236" s="34">
        <v>3417.77</v>
      </c>
      <c r="D3236" s="200"/>
    </row>
    <row r="3237" spans="2:4" x14ac:dyDescent="0.35">
      <c r="B3237" s="35">
        <v>37831</v>
      </c>
      <c r="C3237" s="34">
        <v>3428.12</v>
      </c>
      <c r="D3237" s="200"/>
    </row>
    <row r="3238" spans="2:4" x14ac:dyDescent="0.35">
      <c r="B3238" s="35">
        <v>37832</v>
      </c>
      <c r="C3238" s="34">
        <v>3429.03</v>
      </c>
      <c r="D3238" s="200"/>
    </row>
    <row r="3239" spans="2:4" x14ac:dyDescent="0.35">
      <c r="B3239" s="35">
        <v>37833</v>
      </c>
      <c r="C3239" s="34">
        <v>3487.86</v>
      </c>
      <c r="D3239" s="200"/>
    </row>
    <row r="3240" spans="2:4" x14ac:dyDescent="0.35">
      <c r="B3240" s="35">
        <v>37834</v>
      </c>
      <c r="C3240" s="34">
        <v>3438.89</v>
      </c>
      <c r="D3240" s="200"/>
    </row>
    <row r="3241" spans="2:4" x14ac:dyDescent="0.35">
      <c r="B3241" s="35">
        <v>37837</v>
      </c>
      <c r="C3241" s="34">
        <v>3405.31</v>
      </c>
      <c r="D3241" s="200"/>
    </row>
    <row r="3242" spans="2:4" x14ac:dyDescent="0.35">
      <c r="B3242" s="35">
        <v>37838</v>
      </c>
      <c r="C3242" s="34">
        <v>3438.36</v>
      </c>
      <c r="D3242" s="200"/>
    </row>
    <row r="3243" spans="2:4" x14ac:dyDescent="0.35">
      <c r="B3243" s="35">
        <v>37839</v>
      </c>
      <c r="C3243" s="34">
        <v>3375.66</v>
      </c>
      <c r="D3243" s="200"/>
    </row>
    <row r="3244" spans="2:4" x14ac:dyDescent="0.35">
      <c r="B3244" s="35">
        <v>37840</v>
      </c>
      <c r="C3244" s="34">
        <v>3331.89</v>
      </c>
      <c r="D3244" s="200"/>
    </row>
    <row r="3245" spans="2:4" x14ac:dyDescent="0.35">
      <c r="B3245" s="35">
        <v>37841</v>
      </c>
      <c r="C3245" s="34">
        <v>3332.24</v>
      </c>
      <c r="D3245" s="200"/>
    </row>
    <row r="3246" spans="2:4" x14ac:dyDescent="0.35">
      <c r="B3246" s="35">
        <v>37844</v>
      </c>
      <c r="C3246" s="34">
        <v>3339.58</v>
      </c>
      <c r="D3246" s="200"/>
    </row>
    <row r="3247" spans="2:4" x14ac:dyDescent="0.35">
      <c r="B3247" s="35">
        <v>37845</v>
      </c>
      <c r="C3247" s="34">
        <v>3381.71</v>
      </c>
      <c r="D3247" s="200"/>
    </row>
    <row r="3248" spans="2:4" x14ac:dyDescent="0.35">
      <c r="B3248" s="35">
        <v>37846</v>
      </c>
      <c r="C3248" s="34">
        <v>3398.89</v>
      </c>
      <c r="D3248" s="200"/>
    </row>
    <row r="3249" spans="2:4" x14ac:dyDescent="0.35">
      <c r="B3249" s="35">
        <v>37847</v>
      </c>
      <c r="C3249" s="34">
        <v>3452.7</v>
      </c>
      <c r="D3249" s="200"/>
    </row>
    <row r="3250" spans="2:4" x14ac:dyDescent="0.35">
      <c r="B3250" s="35">
        <v>37848</v>
      </c>
      <c r="C3250" s="34">
        <v>3443.93</v>
      </c>
      <c r="D3250" s="200"/>
    </row>
    <row r="3251" spans="2:4" x14ac:dyDescent="0.35">
      <c r="B3251" s="35">
        <v>37851</v>
      </c>
      <c r="C3251" s="34">
        <v>3507.23</v>
      </c>
      <c r="D3251" s="200"/>
    </row>
    <row r="3252" spans="2:4" x14ac:dyDescent="0.35">
      <c r="B3252" s="35">
        <v>37852</v>
      </c>
      <c r="C3252" s="34">
        <v>3504.53</v>
      </c>
      <c r="D3252" s="200"/>
    </row>
    <row r="3253" spans="2:4" x14ac:dyDescent="0.35">
      <c r="B3253" s="35">
        <v>37853</v>
      </c>
      <c r="C3253" s="34">
        <v>3501.23</v>
      </c>
      <c r="D3253" s="200"/>
    </row>
    <row r="3254" spans="2:4" x14ac:dyDescent="0.35">
      <c r="B3254" s="35">
        <v>37854</v>
      </c>
      <c r="C3254" s="34">
        <v>3565.47</v>
      </c>
      <c r="D3254" s="200"/>
    </row>
    <row r="3255" spans="2:4" x14ac:dyDescent="0.35">
      <c r="B3255" s="35">
        <v>37855</v>
      </c>
      <c r="C3255" s="34">
        <v>3549.05</v>
      </c>
      <c r="D3255" s="200"/>
    </row>
    <row r="3256" spans="2:4" x14ac:dyDescent="0.35">
      <c r="B3256" s="35">
        <v>37858</v>
      </c>
      <c r="C3256" s="34">
        <v>3500.09</v>
      </c>
      <c r="D3256" s="200"/>
    </row>
    <row r="3257" spans="2:4" x14ac:dyDescent="0.35">
      <c r="B3257" s="35">
        <v>37859</v>
      </c>
      <c r="C3257" s="34">
        <v>3455.48</v>
      </c>
      <c r="D3257" s="200"/>
    </row>
    <row r="3258" spans="2:4" x14ac:dyDescent="0.35">
      <c r="B3258" s="35">
        <v>37860</v>
      </c>
      <c r="C3258" s="34">
        <v>3483.08</v>
      </c>
      <c r="D3258" s="200"/>
    </row>
    <row r="3259" spans="2:4" x14ac:dyDescent="0.35">
      <c r="B3259" s="35">
        <v>37861</v>
      </c>
      <c r="C3259" s="34">
        <v>3492.67</v>
      </c>
      <c r="D3259" s="200"/>
    </row>
    <row r="3260" spans="2:4" x14ac:dyDescent="0.35">
      <c r="B3260" s="35">
        <v>37862</v>
      </c>
      <c r="C3260" s="34">
        <v>3484.58</v>
      </c>
      <c r="D3260" s="200"/>
    </row>
    <row r="3261" spans="2:4" x14ac:dyDescent="0.35">
      <c r="B3261" s="35">
        <v>37865</v>
      </c>
      <c r="C3261" s="34">
        <v>3571.22</v>
      </c>
      <c r="D3261" s="200"/>
    </row>
    <row r="3262" spans="2:4" x14ac:dyDescent="0.35">
      <c r="B3262" s="35">
        <v>37866</v>
      </c>
      <c r="C3262" s="34">
        <v>3567.2</v>
      </c>
      <c r="D3262" s="200"/>
    </row>
    <row r="3263" spans="2:4" x14ac:dyDescent="0.35">
      <c r="B3263" s="35">
        <v>37867</v>
      </c>
      <c r="C3263" s="34">
        <v>3647.51</v>
      </c>
      <c r="D3263" s="200"/>
    </row>
    <row r="3264" spans="2:4" x14ac:dyDescent="0.35">
      <c r="B3264" s="35">
        <v>37868</v>
      </c>
      <c r="C3264" s="34">
        <v>3668.67</v>
      </c>
      <c r="D3264" s="200"/>
    </row>
    <row r="3265" spans="2:4" x14ac:dyDescent="0.35">
      <c r="B3265" s="35">
        <v>37869</v>
      </c>
      <c r="C3265" s="34">
        <v>3607.71</v>
      </c>
      <c r="D3265" s="200"/>
    </row>
    <row r="3266" spans="2:4" x14ac:dyDescent="0.35">
      <c r="B3266" s="35">
        <v>37872</v>
      </c>
      <c r="C3266" s="34">
        <v>3641.53</v>
      </c>
      <c r="D3266" s="200"/>
    </row>
    <row r="3267" spans="2:4" x14ac:dyDescent="0.35">
      <c r="B3267" s="35">
        <v>37873</v>
      </c>
      <c r="C3267" s="34">
        <v>3594.4</v>
      </c>
      <c r="D3267" s="200"/>
    </row>
    <row r="3268" spans="2:4" x14ac:dyDescent="0.35">
      <c r="B3268" s="35">
        <v>37874</v>
      </c>
      <c r="C3268" s="34">
        <v>3536.87</v>
      </c>
      <c r="D3268" s="200"/>
    </row>
    <row r="3269" spans="2:4" x14ac:dyDescent="0.35">
      <c r="B3269" s="35">
        <v>37875</v>
      </c>
      <c r="C3269" s="34">
        <v>3566.85</v>
      </c>
      <c r="D3269" s="200"/>
    </row>
    <row r="3270" spans="2:4" x14ac:dyDescent="0.35">
      <c r="B3270" s="35">
        <v>37876</v>
      </c>
      <c r="C3270" s="34">
        <v>3508.06</v>
      </c>
      <c r="D3270" s="200"/>
    </row>
    <row r="3271" spans="2:4" x14ac:dyDescent="0.35">
      <c r="B3271" s="35">
        <v>37879</v>
      </c>
      <c r="C3271" s="34">
        <v>3516.31</v>
      </c>
      <c r="D3271" s="200"/>
    </row>
    <row r="3272" spans="2:4" x14ac:dyDescent="0.35">
      <c r="B3272" s="35">
        <v>37880</v>
      </c>
      <c r="C3272" s="34">
        <v>3564.75</v>
      </c>
      <c r="D3272" s="200"/>
    </row>
    <row r="3273" spans="2:4" x14ac:dyDescent="0.35">
      <c r="B3273" s="35">
        <v>37881</v>
      </c>
      <c r="C3273" s="34">
        <v>3561.03</v>
      </c>
      <c r="D3273" s="200"/>
    </row>
    <row r="3274" spans="2:4" x14ac:dyDescent="0.35">
      <c r="B3274" s="35">
        <v>37882</v>
      </c>
      <c r="C3274" s="34">
        <v>3612.02</v>
      </c>
      <c r="D3274" s="200"/>
    </row>
    <row r="3275" spans="2:4" x14ac:dyDescent="0.35">
      <c r="B3275" s="35">
        <v>37883</v>
      </c>
      <c r="C3275" s="34">
        <v>3578.7</v>
      </c>
      <c r="D3275" s="200"/>
    </row>
    <row r="3276" spans="2:4" x14ac:dyDescent="0.35">
      <c r="B3276" s="35">
        <v>37886</v>
      </c>
      <c r="C3276" s="34">
        <v>3456.27</v>
      </c>
      <c r="D3276" s="200"/>
    </row>
    <row r="3277" spans="2:4" x14ac:dyDescent="0.35">
      <c r="B3277" s="35">
        <v>37887</v>
      </c>
      <c r="C3277" s="34">
        <v>3411.02</v>
      </c>
      <c r="D3277" s="200"/>
    </row>
    <row r="3278" spans="2:4" x14ac:dyDescent="0.35">
      <c r="B3278" s="35">
        <v>37888</v>
      </c>
      <c r="C3278" s="34">
        <v>3307.34</v>
      </c>
      <c r="D3278" s="200"/>
    </row>
    <row r="3279" spans="2:4" x14ac:dyDescent="0.35">
      <c r="B3279" s="35">
        <v>37889</v>
      </c>
      <c r="C3279" s="34">
        <v>3326.27</v>
      </c>
      <c r="D3279" s="200"/>
    </row>
    <row r="3280" spans="2:4" x14ac:dyDescent="0.35">
      <c r="B3280" s="35">
        <v>37890</v>
      </c>
      <c r="C3280" s="34">
        <v>3324.85</v>
      </c>
      <c r="D3280" s="200"/>
    </row>
    <row r="3281" spans="2:4" x14ac:dyDescent="0.35">
      <c r="B3281" s="35">
        <v>37893</v>
      </c>
      <c r="C3281" s="34">
        <v>3323.38</v>
      </c>
      <c r="D3281" s="200"/>
    </row>
    <row r="3282" spans="2:4" x14ac:dyDescent="0.35">
      <c r="B3282" s="35">
        <v>37894</v>
      </c>
      <c r="C3282" s="34">
        <v>3256.78</v>
      </c>
      <c r="D3282" s="200"/>
    </row>
    <row r="3283" spans="2:4" x14ac:dyDescent="0.35">
      <c r="B3283" s="35">
        <v>37895</v>
      </c>
      <c r="C3283" s="34">
        <v>3329.83</v>
      </c>
      <c r="D3283" s="200"/>
    </row>
    <row r="3284" spans="2:4" x14ac:dyDescent="0.35">
      <c r="B3284" s="35">
        <v>37896</v>
      </c>
      <c r="C3284" s="34">
        <v>3276.64</v>
      </c>
      <c r="D3284" s="200"/>
    </row>
    <row r="3285" spans="2:4" x14ac:dyDescent="0.35">
      <c r="B3285" s="35">
        <v>37897</v>
      </c>
      <c r="C3285" s="34">
        <v>3419</v>
      </c>
      <c r="D3285" s="200"/>
    </row>
    <row r="3286" spans="2:4" x14ac:dyDescent="0.35">
      <c r="B3286" s="35">
        <v>37900</v>
      </c>
      <c r="C3286" s="34">
        <v>3404.91</v>
      </c>
      <c r="D3286" s="200"/>
    </row>
    <row r="3287" spans="2:4" x14ac:dyDescent="0.35">
      <c r="B3287" s="35">
        <v>37901</v>
      </c>
      <c r="C3287" s="34">
        <v>3355.78</v>
      </c>
      <c r="D3287" s="200"/>
    </row>
    <row r="3288" spans="2:4" x14ac:dyDescent="0.35">
      <c r="B3288" s="35">
        <v>37902</v>
      </c>
      <c r="C3288" s="34">
        <v>3395.33</v>
      </c>
      <c r="D3288" s="200"/>
    </row>
    <row r="3289" spans="2:4" x14ac:dyDescent="0.35">
      <c r="B3289" s="35">
        <v>37903</v>
      </c>
      <c r="C3289" s="34">
        <v>3481.9</v>
      </c>
      <c r="D3289" s="200"/>
    </row>
    <row r="3290" spans="2:4" x14ac:dyDescent="0.35">
      <c r="B3290" s="35">
        <v>37904</v>
      </c>
      <c r="C3290" s="34">
        <v>3471.25</v>
      </c>
      <c r="D3290" s="200"/>
    </row>
    <row r="3291" spans="2:4" x14ac:dyDescent="0.35">
      <c r="B3291" s="35">
        <v>37907</v>
      </c>
      <c r="C3291" s="34">
        <v>3538.39</v>
      </c>
      <c r="D3291" s="200"/>
    </row>
    <row r="3292" spans="2:4" x14ac:dyDescent="0.35">
      <c r="B3292" s="35">
        <v>37908</v>
      </c>
      <c r="C3292" s="34">
        <v>3538.13</v>
      </c>
      <c r="D3292" s="200"/>
    </row>
    <row r="3293" spans="2:4" x14ac:dyDescent="0.35">
      <c r="B3293" s="35">
        <v>37909</v>
      </c>
      <c r="C3293" s="34">
        <v>3570.58</v>
      </c>
      <c r="D3293" s="200"/>
    </row>
    <row r="3294" spans="2:4" x14ac:dyDescent="0.35">
      <c r="B3294" s="35">
        <v>37910</v>
      </c>
      <c r="C3294" s="34">
        <v>3577.72</v>
      </c>
      <c r="D3294" s="200"/>
    </row>
    <row r="3295" spans="2:4" x14ac:dyDescent="0.35">
      <c r="B3295" s="35">
        <v>37911</v>
      </c>
      <c r="C3295" s="34">
        <v>3516.67</v>
      </c>
      <c r="D3295" s="200"/>
    </row>
    <row r="3296" spans="2:4" x14ac:dyDescent="0.35">
      <c r="B3296" s="35">
        <v>37914</v>
      </c>
      <c r="C3296" s="34">
        <v>3559.33</v>
      </c>
      <c r="D3296" s="200"/>
    </row>
    <row r="3297" spans="2:4" x14ac:dyDescent="0.35">
      <c r="B3297" s="35">
        <v>37915</v>
      </c>
      <c r="C3297" s="34">
        <v>3580.08</v>
      </c>
      <c r="D3297" s="200"/>
    </row>
    <row r="3298" spans="2:4" x14ac:dyDescent="0.35">
      <c r="B3298" s="35">
        <v>37916</v>
      </c>
      <c r="C3298" s="34">
        <v>3490.6</v>
      </c>
      <c r="D3298" s="200"/>
    </row>
    <row r="3299" spans="2:4" x14ac:dyDescent="0.35">
      <c r="B3299" s="35">
        <v>37917</v>
      </c>
      <c r="C3299" s="34">
        <v>3497.14</v>
      </c>
      <c r="D3299" s="200"/>
    </row>
    <row r="3300" spans="2:4" x14ac:dyDescent="0.35">
      <c r="B3300" s="35">
        <v>37918</v>
      </c>
      <c r="C3300" s="34">
        <v>3452.64</v>
      </c>
      <c r="D3300" s="200"/>
    </row>
    <row r="3301" spans="2:4" x14ac:dyDescent="0.35">
      <c r="B3301" s="35">
        <v>37921</v>
      </c>
      <c r="C3301" s="34">
        <v>3517.1</v>
      </c>
      <c r="D3301" s="200"/>
    </row>
    <row r="3302" spans="2:4" x14ac:dyDescent="0.35">
      <c r="B3302" s="35">
        <v>37922</v>
      </c>
      <c r="C3302" s="34">
        <v>3586.93</v>
      </c>
      <c r="D3302" s="200"/>
    </row>
    <row r="3303" spans="2:4" x14ac:dyDescent="0.35">
      <c r="B3303" s="35">
        <v>37923</v>
      </c>
      <c r="C3303" s="34">
        <v>3615.42</v>
      </c>
      <c r="D3303" s="200"/>
    </row>
    <row r="3304" spans="2:4" x14ac:dyDescent="0.35">
      <c r="B3304" s="35">
        <v>37924</v>
      </c>
      <c r="C3304" s="34">
        <v>3639.66</v>
      </c>
      <c r="D3304" s="200"/>
    </row>
    <row r="3305" spans="2:4" x14ac:dyDescent="0.35">
      <c r="B3305" s="35">
        <v>37925</v>
      </c>
      <c r="C3305" s="34">
        <v>3655.99</v>
      </c>
      <c r="D3305" s="200"/>
    </row>
    <row r="3306" spans="2:4" x14ac:dyDescent="0.35">
      <c r="B3306" s="35">
        <v>37928</v>
      </c>
      <c r="C3306" s="34">
        <v>3744.5</v>
      </c>
      <c r="D3306" s="200"/>
    </row>
    <row r="3307" spans="2:4" x14ac:dyDescent="0.35">
      <c r="B3307" s="35">
        <v>37929</v>
      </c>
      <c r="C3307" s="34">
        <v>3741.71</v>
      </c>
      <c r="D3307" s="200"/>
    </row>
    <row r="3308" spans="2:4" x14ac:dyDescent="0.35">
      <c r="B3308" s="35">
        <v>37930</v>
      </c>
      <c r="C3308" s="34">
        <v>3717.7</v>
      </c>
      <c r="D3308" s="200"/>
    </row>
    <row r="3309" spans="2:4" x14ac:dyDescent="0.35">
      <c r="B3309" s="35">
        <v>37931</v>
      </c>
      <c r="C3309" s="34">
        <v>3733.93</v>
      </c>
      <c r="D3309" s="200"/>
    </row>
    <row r="3310" spans="2:4" x14ac:dyDescent="0.35">
      <c r="B3310" s="35">
        <v>37932</v>
      </c>
      <c r="C3310" s="34">
        <v>3782.56</v>
      </c>
      <c r="D3310" s="200"/>
    </row>
    <row r="3311" spans="2:4" x14ac:dyDescent="0.35">
      <c r="B3311" s="35">
        <v>37935</v>
      </c>
      <c r="C3311" s="34">
        <v>3746.24</v>
      </c>
      <c r="D3311" s="200"/>
    </row>
    <row r="3312" spans="2:4" x14ac:dyDescent="0.35">
      <c r="B3312" s="35">
        <v>37936</v>
      </c>
      <c r="C3312" s="34">
        <v>3729.87</v>
      </c>
      <c r="D3312" s="200"/>
    </row>
    <row r="3313" spans="2:4" x14ac:dyDescent="0.35">
      <c r="B3313" s="35">
        <v>37937</v>
      </c>
      <c r="C3313" s="34">
        <v>3748.34</v>
      </c>
      <c r="D3313" s="200"/>
    </row>
    <row r="3314" spans="2:4" x14ac:dyDescent="0.35">
      <c r="B3314" s="35">
        <v>37938</v>
      </c>
      <c r="C3314" s="34">
        <v>3765.59</v>
      </c>
      <c r="D3314" s="200"/>
    </row>
    <row r="3315" spans="2:4" x14ac:dyDescent="0.35">
      <c r="B3315" s="35">
        <v>37939</v>
      </c>
      <c r="C3315" s="34">
        <v>3797.4</v>
      </c>
      <c r="D3315" s="200"/>
    </row>
    <row r="3316" spans="2:4" x14ac:dyDescent="0.35">
      <c r="B3316" s="35">
        <v>37942</v>
      </c>
      <c r="C3316" s="34">
        <v>3674.54</v>
      </c>
      <c r="D3316" s="200"/>
    </row>
    <row r="3317" spans="2:4" x14ac:dyDescent="0.35">
      <c r="B3317" s="35">
        <v>37943</v>
      </c>
      <c r="C3317" s="34">
        <v>3666.28</v>
      </c>
      <c r="D3317" s="200"/>
    </row>
    <row r="3318" spans="2:4" x14ac:dyDescent="0.35">
      <c r="B3318" s="35">
        <v>37944</v>
      </c>
      <c r="C3318" s="34">
        <v>3652.29</v>
      </c>
      <c r="D3318" s="200"/>
    </row>
    <row r="3319" spans="2:4" x14ac:dyDescent="0.35">
      <c r="B3319" s="35">
        <v>37945</v>
      </c>
      <c r="C3319" s="34">
        <v>3638.04</v>
      </c>
      <c r="D3319" s="200"/>
    </row>
    <row r="3320" spans="2:4" x14ac:dyDescent="0.35">
      <c r="B3320" s="35">
        <v>37946</v>
      </c>
      <c r="C3320" s="34">
        <v>3642.25</v>
      </c>
      <c r="D3320" s="200"/>
    </row>
    <row r="3321" spans="2:4" x14ac:dyDescent="0.35">
      <c r="B3321" s="35">
        <v>37949</v>
      </c>
      <c r="C3321" s="34">
        <v>3737.09</v>
      </c>
      <c r="D3321" s="200"/>
    </row>
    <row r="3322" spans="2:4" x14ac:dyDescent="0.35">
      <c r="B3322" s="35">
        <v>37950</v>
      </c>
      <c r="C3322" s="34">
        <v>3733.16</v>
      </c>
      <c r="D3322" s="200"/>
    </row>
    <row r="3323" spans="2:4" x14ac:dyDescent="0.35">
      <c r="B3323" s="35">
        <v>37951</v>
      </c>
      <c r="C3323" s="34">
        <v>3712.98</v>
      </c>
      <c r="D3323" s="200"/>
    </row>
    <row r="3324" spans="2:4" x14ac:dyDescent="0.35">
      <c r="B3324" s="35">
        <v>37952</v>
      </c>
      <c r="C3324" s="34">
        <v>3744.99</v>
      </c>
      <c r="D3324" s="200"/>
    </row>
    <row r="3325" spans="2:4" x14ac:dyDescent="0.35">
      <c r="B3325" s="35">
        <v>37953</v>
      </c>
      <c r="C3325" s="34">
        <v>3745.95</v>
      </c>
      <c r="D3325" s="200"/>
    </row>
    <row r="3326" spans="2:4" x14ac:dyDescent="0.35">
      <c r="B3326" s="35">
        <v>37956</v>
      </c>
      <c r="C3326" s="34">
        <v>3821.2</v>
      </c>
      <c r="D3326" s="200"/>
    </row>
    <row r="3327" spans="2:4" x14ac:dyDescent="0.35">
      <c r="B3327" s="35">
        <v>37957</v>
      </c>
      <c r="C3327" s="34">
        <v>3809.26</v>
      </c>
      <c r="D3327" s="200"/>
    </row>
    <row r="3328" spans="2:4" x14ac:dyDescent="0.35">
      <c r="B3328" s="35">
        <v>37958</v>
      </c>
      <c r="C3328" s="34">
        <v>3875.66</v>
      </c>
      <c r="D3328" s="200"/>
    </row>
    <row r="3329" spans="2:4" x14ac:dyDescent="0.35">
      <c r="B3329" s="35">
        <v>37959</v>
      </c>
      <c r="C3329" s="34">
        <v>3874.78</v>
      </c>
      <c r="D3329" s="200"/>
    </row>
    <row r="3330" spans="2:4" x14ac:dyDescent="0.35">
      <c r="B3330" s="35">
        <v>37960</v>
      </c>
      <c r="C3330" s="34">
        <v>3841.73</v>
      </c>
      <c r="D3330" s="200"/>
    </row>
    <row r="3331" spans="2:4" x14ac:dyDescent="0.35">
      <c r="B3331" s="35">
        <v>37963</v>
      </c>
      <c r="C3331" s="34">
        <v>3806.54</v>
      </c>
      <c r="D3331" s="200"/>
    </row>
    <row r="3332" spans="2:4" x14ac:dyDescent="0.35">
      <c r="B3332" s="35">
        <v>37964</v>
      </c>
      <c r="C3332" s="34">
        <v>3846.18</v>
      </c>
      <c r="D3332" s="200"/>
    </row>
    <row r="3333" spans="2:4" x14ac:dyDescent="0.35">
      <c r="B3333" s="35">
        <v>37965</v>
      </c>
      <c r="C3333" s="34">
        <v>3820.92</v>
      </c>
      <c r="D3333" s="200"/>
    </row>
    <row r="3334" spans="2:4" x14ac:dyDescent="0.35">
      <c r="B3334" s="35">
        <v>37966</v>
      </c>
      <c r="C3334" s="34">
        <v>3858.85</v>
      </c>
      <c r="D3334" s="200"/>
    </row>
    <row r="3335" spans="2:4" x14ac:dyDescent="0.35">
      <c r="B3335" s="35">
        <v>37967</v>
      </c>
      <c r="C3335" s="34">
        <v>3860.13</v>
      </c>
      <c r="D3335" s="200"/>
    </row>
    <row r="3336" spans="2:4" x14ac:dyDescent="0.35">
      <c r="B3336" s="35">
        <v>37970</v>
      </c>
      <c r="C3336" s="34">
        <v>3875.47</v>
      </c>
      <c r="D3336" s="200"/>
    </row>
    <row r="3337" spans="2:4" x14ac:dyDescent="0.35">
      <c r="B3337" s="35">
        <v>37971</v>
      </c>
      <c r="C3337" s="34">
        <v>3865.98</v>
      </c>
      <c r="D3337" s="200"/>
    </row>
    <row r="3338" spans="2:4" x14ac:dyDescent="0.35">
      <c r="B3338" s="35">
        <v>37972</v>
      </c>
      <c r="C3338" s="34">
        <v>3847.57</v>
      </c>
      <c r="D3338" s="200"/>
    </row>
    <row r="3339" spans="2:4" x14ac:dyDescent="0.35">
      <c r="B3339" s="35">
        <v>37973</v>
      </c>
      <c r="C3339" s="34">
        <v>3870.88</v>
      </c>
      <c r="D3339" s="200"/>
    </row>
    <row r="3340" spans="2:4" x14ac:dyDescent="0.35">
      <c r="B3340" s="35">
        <v>37974</v>
      </c>
      <c r="C3340" s="34">
        <v>3898.42</v>
      </c>
      <c r="D3340" s="200"/>
    </row>
    <row r="3341" spans="2:4" x14ac:dyDescent="0.35">
      <c r="B3341" s="35">
        <v>37977</v>
      </c>
      <c r="C3341" s="34">
        <v>3876.94</v>
      </c>
      <c r="D3341" s="200"/>
    </row>
    <row r="3342" spans="2:4" x14ac:dyDescent="0.35">
      <c r="B3342" s="35">
        <v>37978</v>
      </c>
      <c r="C3342" s="34">
        <v>3903.34</v>
      </c>
      <c r="D3342" s="200"/>
    </row>
    <row r="3343" spans="2:4" x14ac:dyDescent="0.35">
      <c r="B3343" s="35">
        <v>37984</v>
      </c>
      <c r="C3343" s="34">
        <v>3952.72</v>
      </c>
      <c r="D3343" s="200"/>
    </row>
    <row r="3344" spans="2:4" x14ac:dyDescent="0.35">
      <c r="B3344" s="35">
        <v>37985</v>
      </c>
      <c r="C3344" s="34">
        <v>3965.16</v>
      </c>
      <c r="D3344" s="200"/>
    </row>
    <row r="3345" spans="2:4" x14ac:dyDescent="0.35">
      <c r="B3345" s="35">
        <v>37988</v>
      </c>
      <c r="C3345" s="34">
        <v>4018.5</v>
      </c>
      <c r="D3345" s="200"/>
    </row>
    <row r="3346" spans="2:4" x14ac:dyDescent="0.35">
      <c r="B3346" s="35">
        <v>37991</v>
      </c>
      <c r="C3346" s="34">
        <v>4035.9</v>
      </c>
      <c r="D3346" s="200"/>
    </row>
    <row r="3347" spans="2:4" x14ac:dyDescent="0.35">
      <c r="B3347" s="35">
        <v>37992</v>
      </c>
      <c r="C3347" s="34">
        <v>4035.44</v>
      </c>
      <c r="D3347" s="200"/>
    </row>
    <row r="3348" spans="2:4" x14ac:dyDescent="0.35">
      <c r="B3348" s="35">
        <v>37993</v>
      </c>
      <c r="C3348" s="34">
        <v>4004.4</v>
      </c>
      <c r="D3348" s="200"/>
    </row>
    <row r="3349" spans="2:4" x14ac:dyDescent="0.35">
      <c r="B3349" s="35">
        <v>37994</v>
      </c>
      <c r="C3349" s="34">
        <v>4045.43</v>
      </c>
      <c r="D3349" s="200"/>
    </row>
    <row r="3350" spans="2:4" x14ac:dyDescent="0.35">
      <c r="B3350" s="35">
        <v>37995</v>
      </c>
      <c r="C3350" s="34">
        <v>4016.18</v>
      </c>
      <c r="D3350" s="200"/>
    </row>
    <row r="3351" spans="2:4" x14ac:dyDescent="0.35">
      <c r="B3351" s="35">
        <v>37998</v>
      </c>
      <c r="C3351" s="34">
        <v>3995.91</v>
      </c>
      <c r="D3351" s="200"/>
    </row>
    <row r="3352" spans="2:4" x14ac:dyDescent="0.35">
      <c r="B3352" s="35">
        <v>37999</v>
      </c>
      <c r="C3352" s="34">
        <v>3996.22</v>
      </c>
      <c r="D3352" s="200"/>
    </row>
    <row r="3353" spans="2:4" x14ac:dyDescent="0.35">
      <c r="B3353" s="35">
        <v>38000</v>
      </c>
      <c r="C3353" s="34">
        <v>4055.21</v>
      </c>
      <c r="D3353" s="200"/>
    </row>
    <row r="3354" spans="2:4" x14ac:dyDescent="0.35">
      <c r="B3354" s="35">
        <v>38001</v>
      </c>
      <c r="C3354" s="34">
        <v>4068.75</v>
      </c>
      <c r="D3354" s="200"/>
    </row>
    <row r="3355" spans="2:4" x14ac:dyDescent="0.35">
      <c r="B3355" s="35">
        <v>38002</v>
      </c>
      <c r="C3355" s="34">
        <v>4111.6400000000003</v>
      </c>
      <c r="D3355" s="200"/>
    </row>
    <row r="3356" spans="2:4" x14ac:dyDescent="0.35">
      <c r="B3356" s="35">
        <v>38005</v>
      </c>
      <c r="C3356" s="34">
        <v>4139.92</v>
      </c>
      <c r="D3356" s="200"/>
    </row>
    <row r="3357" spans="2:4" x14ac:dyDescent="0.35">
      <c r="B3357" s="35">
        <v>38006</v>
      </c>
      <c r="C3357" s="34">
        <v>4106.41</v>
      </c>
      <c r="D3357" s="200"/>
    </row>
    <row r="3358" spans="2:4" x14ac:dyDescent="0.35">
      <c r="B3358" s="35">
        <v>38007</v>
      </c>
      <c r="C3358" s="34">
        <v>4138.04</v>
      </c>
      <c r="D3358" s="200"/>
    </row>
    <row r="3359" spans="2:4" x14ac:dyDescent="0.35">
      <c r="B3359" s="35">
        <v>38008</v>
      </c>
      <c r="C3359" s="34">
        <v>4139.8599999999997</v>
      </c>
      <c r="D3359" s="200"/>
    </row>
    <row r="3360" spans="2:4" x14ac:dyDescent="0.35">
      <c r="B3360" s="35">
        <v>38009</v>
      </c>
      <c r="C3360" s="34">
        <v>4151.83</v>
      </c>
      <c r="D3360" s="200"/>
    </row>
    <row r="3361" spans="2:4" x14ac:dyDescent="0.35">
      <c r="B3361" s="35">
        <v>38012</v>
      </c>
      <c r="C3361" s="34">
        <v>4128.68</v>
      </c>
      <c r="D3361" s="200"/>
    </row>
    <row r="3362" spans="2:4" x14ac:dyDescent="0.35">
      <c r="B3362" s="35">
        <v>38013</v>
      </c>
      <c r="C3362" s="34">
        <v>4134.42</v>
      </c>
      <c r="D3362" s="200"/>
    </row>
    <row r="3363" spans="2:4" x14ac:dyDescent="0.35">
      <c r="B3363" s="35">
        <v>38014</v>
      </c>
      <c r="C3363" s="34">
        <v>4150.24</v>
      </c>
      <c r="D3363" s="200"/>
    </row>
    <row r="3364" spans="2:4" x14ac:dyDescent="0.35">
      <c r="B3364" s="35">
        <v>38015</v>
      </c>
      <c r="C3364" s="34">
        <v>4095.71</v>
      </c>
      <c r="D3364" s="200"/>
    </row>
    <row r="3365" spans="2:4" x14ac:dyDescent="0.35">
      <c r="B3365" s="35">
        <v>38016</v>
      </c>
      <c r="C3365" s="34">
        <v>4058.6</v>
      </c>
      <c r="D3365" s="200"/>
    </row>
    <row r="3366" spans="2:4" x14ac:dyDescent="0.35">
      <c r="B3366" s="35">
        <v>38019</v>
      </c>
      <c r="C3366" s="34">
        <v>4071.6</v>
      </c>
      <c r="D3366" s="200"/>
    </row>
    <row r="3367" spans="2:4" x14ac:dyDescent="0.35">
      <c r="B3367" s="35">
        <v>38020</v>
      </c>
      <c r="C3367" s="34">
        <v>4057.51</v>
      </c>
      <c r="D3367" s="200"/>
    </row>
    <row r="3368" spans="2:4" x14ac:dyDescent="0.35">
      <c r="B3368" s="35">
        <v>38021</v>
      </c>
      <c r="C3368" s="34">
        <v>4028.37</v>
      </c>
      <c r="D3368" s="200"/>
    </row>
    <row r="3369" spans="2:4" x14ac:dyDescent="0.35">
      <c r="B3369" s="35">
        <v>38022</v>
      </c>
      <c r="C3369" s="34">
        <v>4014.79</v>
      </c>
      <c r="D3369" s="200"/>
    </row>
    <row r="3370" spans="2:4" x14ac:dyDescent="0.35">
      <c r="B3370" s="35">
        <v>38023</v>
      </c>
      <c r="C3370" s="34">
        <v>4044.99</v>
      </c>
      <c r="D3370" s="200"/>
    </row>
    <row r="3371" spans="2:4" x14ac:dyDescent="0.35">
      <c r="B3371" s="35">
        <v>38026</v>
      </c>
      <c r="C3371" s="34">
        <v>4098.97</v>
      </c>
      <c r="D3371" s="200"/>
    </row>
    <row r="3372" spans="2:4" x14ac:dyDescent="0.35">
      <c r="B3372" s="35">
        <v>38027</v>
      </c>
      <c r="C3372" s="34">
        <v>4110.8</v>
      </c>
      <c r="D3372" s="200"/>
    </row>
    <row r="3373" spans="2:4" x14ac:dyDescent="0.35">
      <c r="B3373" s="35">
        <v>38028</v>
      </c>
      <c r="C3373" s="34">
        <v>4122.16</v>
      </c>
      <c r="D3373" s="200"/>
    </row>
    <row r="3374" spans="2:4" x14ac:dyDescent="0.35">
      <c r="B3374" s="35">
        <v>38029</v>
      </c>
      <c r="C3374" s="34">
        <v>4121.6499999999996</v>
      </c>
      <c r="D3374" s="200"/>
    </row>
    <row r="3375" spans="2:4" x14ac:dyDescent="0.35">
      <c r="B3375" s="35">
        <v>38030</v>
      </c>
      <c r="C3375" s="34">
        <v>4057.05</v>
      </c>
      <c r="D3375" s="200"/>
    </row>
    <row r="3376" spans="2:4" x14ac:dyDescent="0.35">
      <c r="B3376" s="35">
        <v>38033</v>
      </c>
      <c r="C3376" s="34">
        <v>4070.46</v>
      </c>
      <c r="D3376" s="200"/>
    </row>
    <row r="3377" spans="2:4" x14ac:dyDescent="0.35">
      <c r="B3377" s="35">
        <v>38034</v>
      </c>
      <c r="C3377" s="34">
        <v>4095.86</v>
      </c>
      <c r="D3377" s="200"/>
    </row>
    <row r="3378" spans="2:4" x14ac:dyDescent="0.35">
      <c r="B3378" s="35">
        <v>38035</v>
      </c>
      <c r="C3378" s="34">
        <v>4095.34</v>
      </c>
      <c r="D3378" s="200"/>
    </row>
    <row r="3379" spans="2:4" x14ac:dyDescent="0.35">
      <c r="B3379" s="35">
        <v>38036</v>
      </c>
      <c r="C3379" s="34">
        <v>4141.53</v>
      </c>
      <c r="D3379" s="200"/>
    </row>
    <row r="3380" spans="2:4" x14ac:dyDescent="0.35">
      <c r="B3380" s="35">
        <v>38037</v>
      </c>
      <c r="C3380" s="34">
        <v>4073.35</v>
      </c>
      <c r="D3380" s="200"/>
    </row>
    <row r="3381" spans="2:4" x14ac:dyDescent="0.35">
      <c r="B3381" s="35">
        <v>38040</v>
      </c>
      <c r="C3381" s="34">
        <v>4068.71</v>
      </c>
      <c r="D3381" s="200"/>
    </row>
    <row r="3382" spans="2:4" x14ac:dyDescent="0.35">
      <c r="B3382" s="35">
        <v>38041</v>
      </c>
      <c r="C3382" s="34">
        <v>3991.42</v>
      </c>
      <c r="D3382" s="200"/>
    </row>
    <row r="3383" spans="2:4" x14ac:dyDescent="0.35">
      <c r="B3383" s="35">
        <v>38042</v>
      </c>
      <c r="C3383" s="34">
        <v>3995.34</v>
      </c>
      <c r="D3383" s="200"/>
    </row>
    <row r="3384" spans="2:4" x14ac:dyDescent="0.35">
      <c r="B3384" s="35">
        <v>38043</v>
      </c>
      <c r="C3384" s="34">
        <v>4007.81</v>
      </c>
      <c r="D3384" s="200"/>
    </row>
    <row r="3385" spans="2:4" x14ac:dyDescent="0.35">
      <c r="B3385" s="35">
        <v>38044</v>
      </c>
      <c r="C3385" s="34">
        <v>4018.16</v>
      </c>
      <c r="D3385" s="200"/>
    </row>
    <row r="3386" spans="2:4" x14ac:dyDescent="0.35">
      <c r="B3386" s="35">
        <v>38047</v>
      </c>
      <c r="C3386" s="34">
        <v>4054.43</v>
      </c>
      <c r="D3386" s="200"/>
    </row>
    <row r="3387" spans="2:4" x14ac:dyDescent="0.35">
      <c r="B3387" s="35">
        <v>38048</v>
      </c>
      <c r="C3387" s="34">
        <v>4100.34</v>
      </c>
      <c r="D3387" s="200"/>
    </row>
    <row r="3388" spans="2:4" x14ac:dyDescent="0.35">
      <c r="B3388" s="35">
        <v>38049</v>
      </c>
      <c r="C3388" s="34">
        <v>4071.7</v>
      </c>
      <c r="D3388" s="200"/>
    </row>
    <row r="3389" spans="2:4" x14ac:dyDescent="0.35">
      <c r="B3389" s="35">
        <v>38050</v>
      </c>
      <c r="C3389" s="34">
        <v>4133.78</v>
      </c>
      <c r="D3389" s="200"/>
    </row>
    <row r="3390" spans="2:4" x14ac:dyDescent="0.35">
      <c r="B3390" s="35">
        <v>38051</v>
      </c>
      <c r="C3390" s="34">
        <v>4126.1400000000003</v>
      </c>
      <c r="D3390" s="200"/>
    </row>
    <row r="3391" spans="2:4" x14ac:dyDescent="0.35">
      <c r="B3391" s="35">
        <v>38054</v>
      </c>
      <c r="C3391" s="34">
        <v>4145.99</v>
      </c>
      <c r="D3391" s="200"/>
    </row>
    <row r="3392" spans="2:4" x14ac:dyDescent="0.35">
      <c r="B3392" s="35">
        <v>38055</v>
      </c>
      <c r="C3392" s="34">
        <v>4087.55</v>
      </c>
      <c r="D3392" s="200"/>
    </row>
    <row r="3393" spans="2:4" x14ac:dyDescent="0.35">
      <c r="B3393" s="35">
        <v>38056</v>
      </c>
      <c r="C3393" s="34">
        <v>4044.7</v>
      </c>
      <c r="D3393" s="200"/>
    </row>
    <row r="3394" spans="2:4" x14ac:dyDescent="0.35">
      <c r="B3394" s="35">
        <v>38057</v>
      </c>
      <c r="C3394" s="34">
        <v>3904.95</v>
      </c>
      <c r="D3394" s="200"/>
    </row>
    <row r="3395" spans="2:4" x14ac:dyDescent="0.35">
      <c r="B3395" s="35">
        <v>38058</v>
      </c>
      <c r="C3395" s="34">
        <v>3915.38</v>
      </c>
      <c r="D3395" s="200"/>
    </row>
    <row r="3396" spans="2:4" x14ac:dyDescent="0.35">
      <c r="B3396" s="35">
        <v>38061</v>
      </c>
      <c r="C3396" s="34">
        <v>3810.76</v>
      </c>
      <c r="D3396" s="200"/>
    </row>
    <row r="3397" spans="2:4" x14ac:dyDescent="0.35">
      <c r="B3397" s="35">
        <v>38062</v>
      </c>
      <c r="C3397" s="34">
        <v>3822.37</v>
      </c>
      <c r="D3397" s="200"/>
    </row>
    <row r="3398" spans="2:4" x14ac:dyDescent="0.35">
      <c r="B3398" s="35">
        <v>38063</v>
      </c>
      <c r="C3398" s="34">
        <v>3896.79</v>
      </c>
      <c r="D3398" s="200"/>
    </row>
    <row r="3399" spans="2:4" x14ac:dyDescent="0.35">
      <c r="B3399" s="35">
        <v>38064</v>
      </c>
      <c r="C3399" s="34">
        <v>3827.43</v>
      </c>
      <c r="D3399" s="200"/>
    </row>
    <row r="3400" spans="2:4" x14ac:dyDescent="0.35">
      <c r="B3400" s="35">
        <v>38065</v>
      </c>
      <c r="C3400" s="34">
        <v>3819.15</v>
      </c>
      <c r="D3400" s="200"/>
    </row>
    <row r="3401" spans="2:4" x14ac:dyDescent="0.35">
      <c r="B3401" s="35">
        <v>38068</v>
      </c>
      <c r="C3401" s="34">
        <v>3729.23</v>
      </c>
      <c r="D3401" s="200"/>
    </row>
    <row r="3402" spans="2:4" x14ac:dyDescent="0.35">
      <c r="B3402" s="35">
        <v>38069</v>
      </c>
      <c r="C3402" s="34">
        <v>3728.82</v>
      </c>
      <c r="D3402" s="200"/>
    </row>
    <row r="3403" spans="2:4" x14ac:dyDescent="0.35">
      <c r="B3403" s="35">
        <v>38070</v>
      </c>
      <c r="C3403" s="34">
        <v>3726.07</v>
      </c>
      <c r="D3403" s="200"/>
    </row>
    <row r="3404" spans="2:4" x14ac:dyDescent="0.35">
      <c r="B3404" s="35">
        <v>38071</v>
      </c>
      <c r="C3404" s="34">
        <v>3811.92</v>
      </c>
      <c r="D3404" s="200"/>
    </row>
    <row r="3405" spans="2:4" x14ac:dyDescent="0.35">
      <c r="B3405" s="35">
        <v>38072</v>
      </c>
      <c r="C3405" s="34">
        <v>3822.33</v>
      </c>
      <c r="D3405" s="200"/>
    </row>
    <row r="3406" spans="2:4" x14ac:dyDescent="0.35">
      <c r="B3406" s="35">
        <v>38075</v>
      </c>
      <c r="C3406" s="34">
        <v>3881.25</v>
      </c>
      <c r="D3406" s="200"/>
    </row>
    <row r="3407" spans="2:4" x14ac:dyDescent="0.35">
      <c r="B3407" s="35">
        <v>38076</v>
      </c>
      <c r="C3407" s="34">
        <v>3874.04</v>
      </c>
      <c r="D3407" s="200"/>
    </row>
    <row r="3408" spans="2:4" x14ac:dyDescent="0.35">
      <c r="B3408" s="35">
        <v>38077</v>
      </c>
      <c r="C3408" s="34">
        <v>3856.7</v>
      </c>
      <c r="D3408" s="200"/>
    </row>
    <row r="3409" spans="2:4" x14ac:dyDescent="0.35">
      <c r="B3409" s="35">
        <v>38078</v>
      </c>
      <c r="C3409" s="34">
        <v>3924.85</v>
      </c>
      <c r="D3409" s="200"/>
    </row>
    <row r="3410" spans="2:4" x14ac:dyDescent="0.35">
      <c r="B3410" s="35">
        <v>38079</v>
      </c>
      <c r="C3410" s="34">
        <v>4007.6</v>
      </c>
      <c r="D3410" s="200"/>
    </row>
    <row r="3411" spans="2:4" x14ac:dyDescent="0.35">
      <c r="B3411" s="35">
        <v>38082</v>
      </c>
      <c r="C3411" s="34">
        <v>4048.6</v>
      </c>
      <c r="D3411" s="200"/>
    </row>
    <row r="3412" spans="2:4" x14ac:dyDescent="0.35">
      <c r="B3412" s="35">
        <v>38083</v>
      </c>
      <c r="C3412" s="34">
        <v>4022.81</v>
      </c>
      <c r="D3412" s="200"/>
    </row>
    <row r="3413" spans="2:4" x14ac:dyDescent="0.35">
      <c r="B3413" s="35">
        <v>38084</v>
      </c>
      <c r="C3413" s="34">
        <v>4001.16</v>
      </c>
      <c r="D3413" s="200"/>
    </row>
    <row r="3414" spans="2:4" x14ac:dyDescent="0.35">
      <c r="B3414" s="35">
        <v>38085</v>
      </c>
      <c r="C3414" s="34">
        <v>4013.53</v>
      </c>
      <c r="D3414" s="200"/>
    </row>
    <row r="3415" spans="2:4" x14ac:dyDescent="0.35">
      <c r="B3415" s="35">
        <v>38090</v>
      </c>
      <c r="C3415" s="34">
        <v>4071.42</v>
      </c>
      <c r="D3415" s="200"/>
    </row>
    <row r="3416" spans="2:4" x14ac:dyDescent="0.35">
      <c r="B3416" s="35">
        <v>38091</v>
      </c>
      <c r="C3416" s="34">
        <v>4012.77</v>
      </c>
      <c r="D3416" s="200"/>
    </row>
    <row r="3417" spans="2:4" x14ac:dyDescent="0.35">
      <c r="B3417" s="35">
        <v>38092</v>
      </c>
      <c r="C3417" s="34">
        <v>4004.61</v>
      </c>
      <c r="D3417" s="200"/>
    </row>
    <row r="3418" spans="2:4" x14ac:dyDescent="0.35">
      <c r="B3418" s="35">
        <v>38093</v>
      </c>
      <c r="C3418" s="34">
        <v>4033.98</v>
      </c>
      <c r="D3418" s="200"/>
    </row>
    <row r="3419" spans="2:4" x14ac:dyDescent="0.35">
      <c r="B3419" s="35">
        <v>38096</v>
      </c>
      <c r="C3419" s="34">
        <v>4025.07</v>
      </c>
      <c r="D3419" s="200"/>
    </row>
    <row r="3420" spans="2:4" x14ac:dyDescent="0.35">
      <c r="B3420" s="35">
        <v>38097</v>
      </c>
      <c r="C3420" s="34">
        <v>4061.13</v>
      </c>
      <c r="D3420" s="200"/>
    </row>
    <row r="3421" spans="2:4" x14ac:dyDescent="0.35">
      <c r="B3421" s="35">
        <v>38098</v>
      </c>
      <c r="C3421" s="34">
        <v>4026.15</v>
      </c>
      <c r="D3421" s="200"/>
    </row>
    <row r="3422" spans="2:4" x14ac:dyDescent="0.35">
      <c r="B3422" s="35">
        <v>38099</v>
      </c>
      <c r="C3422" s="34">
        <v>4059.15</v>
      </c>
      <c r="D3422" s="200"/>
    </row>
    <row r="3423" spans="2:4" x14ac:dyDescent="0.35">
      <c r="B3423" s="35">
        <v>38100</v>
      </c>
      <c r="C3423" s="34">
        <v>4103.62</v>
      </c>
      <c r="D3423" s="200"/>
    </row>
    <row r="3424" spans="2:4" x14ac:dyDescent="0.35">
      <c r="B3424" s="35">
        <v>38103</v>
      </c>
      <c r="C3424" s="34">
        <v>4125.83</v>
      </c>
      <c r="D3424" s="200"/>
    </row>
    <row r="3425" spans="2:4" x14ac:dyDescent="0.35">
      <c r="B3425" s="35">
        <v>38104</v>
      </c>
      <c r="C3425" s="34">
        <v>4134.1000000000004</v>
      </c>
      <c r="D3425" s="200"/>
    </row>
    <row r="3426" spans="2:4" x14ac:dyDescent="0.35">
      <c r="B3426" s="35">
        <v>38105</v>
      </c>
      <c r="C3426" s="34">
        <v>4065.74</v>
      </c>
      <c r="D3426" s="200"/>
    </row>
    <row r="3427" spans="2:4" x14ac:dyDescent="0.35">
      <c r="B3427" s="35">
        <v>38106</v>
      </c>
      <c r="C3427" s="34">
        <v>4008.91</v>
      </c>
      <c r="D3427" s="200"/>
    </row>
    <row r="3428" spans="2:4" x14ac:dyDescent="0.35">
      <c r="B3428" s="35">
        <v>38107</v>
      </c>
      <c r="C3428" s="34">
        <v>3985.21</v>
      </c>
      <c r="D3428" s="200"/>
    </row>
    <row r="3429" spans="2:4" x14ac:dyDescent="0.35">
      <c r="B3429" s="35">
        <v>38110</v>
      </c>
      <c r="C3429" s="34">
        <v>4007.65</v>
      </c>
      <c r="D3429" s="200"/>
    </row>
    <row r="3430" spans="2:4" x14ac:dyDescent="0.35">
      <c r="B3430" s="35">
        <v>38111</v>
      </c>
      <c r="C3430" s="34">
        <v>3990.75</v>
      </c>
      <c r="D3430" s="200"/>
    </row>
    <row r="3431" spans="2:4" x14ac:dyDescent="0.35">
      <c r="B3431" s="35">
        <v>38112</v>
      </c>
      <c r="C3431" s="34">
        <v>4022.1</v>
      </c>
      <c r="D3431" s="200"/>
    </row>
    <row r="3432" spans="2:4" x14ac:dyDescent="0.35">
      <c r="B3432" s="35">
        <v>38113</v>
      </c>
      <c r="C3432" s="34">
        <v>3909.46</v>
      </c>
      <c r="D3432" s="200"/>
    </row>
    <row r="3433" spans="2:4" x14ac:dyDescent="0.35">
      <c r="B3433" s="35">
        <v>38114</v>
      </c>
      <c r="C3433" s="34">
        <v>3895.64</v>
      </c>
      <c r="D3433" s="200"/>
    </row>
    <row r="3434" spans="2:4" x14ac:dyDescent="0.35">
      <c r="B3434" s="35">
        <v>38117</v>
      </c>
      <c r="C3434" s="34">
        <v>3784.61</v>
      </c>
      <c r="D3434" s="200"/>
    </row>
    <row r="3435" spans="2:4" x14ac:dyDescent="0.35">
      <c r="B3435" s="35">
        <v>38118</v>
      </c>
      <c r="C3435" s="34">
        <v>3849.84</v>
      </c>
      <c r="D3435" s="200"/>
    </row>
    <row r="3436" spans="2:4" x14ac:dyDescent="0.35">
      <c r="B3436" s="35">
        <v>38119</v>
      </c>
      <c r="C3436" s="34">
        <v>3776.24</v>
      </c>
      <c r="D3436" s="200"/>
    </row>
    <row r="3437" spans="2:4" x14ac:dyDescent="0.35">
      <c r="B3437" s="35">
        <v>38120</v>
      </c>
      <c r="C3437" s="34">
        <v>3824.93</v>
      </c>
      <c r="D3437" s="200"/>
    </row>
    <row r="3438" spans="2:4" x14ac:dyDescent="0.35">
      <c r="B3438" s="35">
        <v>38121</v>
      </c>
      <c r="C3438" s="34">
        <v>3803.1</v>
      </c>
      <c r="D3438" s="200"/>
    </row>
    <row r="3439" spans="2:4" x14ac:dyDescent="0.35">
      <c r="B3439" s="35">
        <v>38124</v>
      </c>
      <c r="C3439" s="34">
        <v>3754.37</v>
      </c>
      <c r="D3439" s="200"/>
    </row>
    <row r="3440" spans="2:4" x14ac:dyDescent="0.35">
      <c r="B3440" s="35">
        <v>38125</v>
      </c>
      <c r="C3440" s="34">
        <v>3789.24</v>
      </c>
      <c r="D3440" s="200"/>
    </row>
    <row r="3441" spans="2:4" x14ac:dyDescent="0.35">
      <c r="B3441" s="35">
        <v>38126</v>
      </c>
      <c r="C3441" s="34">
        <v>3872.26</v>
      </c>
      <c r="D3441" s="200"/>
    </row>
    <row r="3442" spans="2:4" x14ac:dyDescent="0.35">
      <c r="B3442" s="35">
        <v>38127</v>
      </c>
      <c r="C3442" s="34">
        <v>3839.32</v>
      </c>
      <c r="D3442" s="200"/>
    </row>
    <row r="3443" spans="2:4" x14ac:dyDescent="0.35">
      <c r="B3443" s="35">
        <v>38128</v>
      </c>
      <c r="C3443" s="34">
        <v>3831.84</v>
      </c>
      <c r="D3443" s="200"/>
    </row>
    <row r="3444" spans="2:4" x14ac:dyDescent="0.35">
      <c r="B3444" s="35">
        <v>38131</v>
      </c>
      <c r="C3444" s="34">
        <v>3867.84</v>
      </c>
      <c r="D3444" s="200"/>
    </row>
    <row r="3445" spans="2:4" x14ac:dyDescent="0.35">
      <c r="B3445" s="35">
        <v>38132</v>
      </c>
      <c r="C3445" s="34">
        <v>3828.07</v>
      </c>
      <c r="D3445" s="200"/>
    </row>
    <row r="3446" spans="2:4" x14ac:dyDescent="0.35">
      <c r="B3446" s="35">
        <v>38133</v>
      </c>
      <c r="C3446" s="34">
        <v>3867.52</v>
      </c>
      <c r="D3446" s="200"/>
    </row>
    <row r="3447" spans="2:4" x14ac:dyDescent="0.35">
      <c r="B3447" s="35">
        <v>38134</v>
      </c>
      <c r="C3447" s="34">
        <v>3913.33</v>
      </c>
      <c r="D3447" s="200"/>
    </row>
    <row r="3448" spans="2:4" x14ac:dyDescent="0.35">
      <c r="B3448" s="35">
        <v>38135</v>
      </c>
      <c r="C3448" s="34">
        <v>3902.72</v>
      </c>
      <c r="D3448" s="200"/>
    </row>
    <row r="3449" spans="2:4" x14ac:dyDescent="0.35">
      <c r="B3449" s="35">
        <v>38138</v>
      </c>
      <c r="C3449" s="34">
        <v>3921.41</v>
      </c>
      <c r="D3449" s="200"/>
    </row>
    <row r="3450" spans="2:4" x14ac:dyDescent="0.35">
      <c r="B3450" s="35">
        <v>38139</v>
      </c>
      <c r="C3450" s="34">
        <v>3864.18</v>
      </c>
      <c r="D3450" s="200"/>
    </row>
    <row r="3451" spans="2:4" x14ac:dyDescent="0.35">
      <c r="B3451" s="35">
        <v>38140</v>
      </c>
      <c r="C3451" s="34">
        <v>3888.31</v>
      </c>
      <c r="D3451" s="200"/>
    </row>
    <row r="3452" spans="2:4" x14ac:dyDescent="0.35">
      <c r="B3452" s="35">
        <v>38141</v>
      </c>
      <c r="C3452" s="34">
        <v>3917.08</v>
      </c>
      <c r="D3452" s="200"/>
    </row>
    <row r="3453" spans="2:4" x14ac:dyDescent="0.35">
      <c r="B3453" s="35">
        <v>38142</v>
      </c>
      <c r="C3453" s="34">
        <v>3961.93</v>
      </c>
      <c r="D3453" s="200"/>
    </row>
    <row r="3454" spans="2:4" x14ac:dyDescent="0.35">
      <c r="B3454" s="35">
        <v>38145</v>
      </c>
      <c r="C3454" s="34">
        <v>4017.81</v>
      </c>
      <c r="D3454" s="200"/>
    </row>
    <row r="3455" spans="2:4" x14ac:dyDescent="0.35">
      <c r="B3455" s="35">
        <v>38146</v>
      </c>
      <c r="C3455" s="34">
        <v>4018.95</v>
      </c>
      <c r="D3455" s="200"/>
    </row>
    <row r="3456" spans="2:4" x14ac:dyDescent="0.35">
      <c r="B3456" s="35">
        <v>38147</v>
      </c>
      <c r="C3456" s="34">
        <v>3997.76</v>
      </c>
      <c r="D3456" s="200"/>
    </row>
    <row r="3457" spans="2:4" x14ac:dyDescent="0.35">
      <c r="B3457" s="35">
        <v>38148</v>
      </c>
      <c r="C3457" s="34">
        <v>4021.64</v>
      </c>
      <c r="D3457" s="200"/>
    </row>
    <row r="3458" spans="2:4" x14ac:dyDescent="0.35">
      <c r="B3458" s="35">
        <v>38149</v>
      </c>
      <c r="C3458" s="34">
        <v>4014.56</v>
      </c>
      <c r="D3458" s="200"/>
    </row>
    <row r="3459" spans="2:4" x14ac:dyDescent="0.35">
      <c r="B3459" s="35">
        <v>38152</v>
      </c>
      <c r="C3459" s="34">
        <v>3948.65</v>
      </c>
      <c r="D3459" s="200"/>
    </row>
    <row r="3460" spans="2:4" x14ac:dyDescent="0.35">
      <c r="B3460" s="35">
        <v>38153</v>
      </c>
      <c r="C3460" s="34">
        <v>3987.3</v>
      </c>
      <c r="D3460" s="200"/>
    </row>
    <row r="3461" spans="2:4" x14ac:dyDescent="0.35">
      <c r="B3461" s="35">
        <v>38154</v>
      </c>
      <c r="C3461" s="34">
        <v>4003.24</v>
      </c>
      <c r="D3461" s="200"/>
    </row>
    <row r="3462" spans="2:4" x14ac:dyDescent="0.35">
      <c r="B3462" s="35">
        <v>38155</v>
      </c>
      <c r="C3462" s="34">
        <v>3985.46</v>
      </c>
      <c r="D3462" s="200"/>
    </row>
    <row r="3463" spans="2:4" x14ac:dyDescent="0.35">
      <c r="B3463" s="35">
        <v>38156</v>
      </c>
      <c r="C3463" s="34">
        <v>3999.79</v>
      </c>
      <c r="D3463" s="200"/>
    </row>
    <row r="3464" spans="2:4" x14ac:dyDescent="0.35">
      <c r="B3464" s="35">
        <v>38159</v>
      </c>
      <c r="C3464" s="34">
        <v>3989.31</v>
      </c>
      <c r="D3464" s="200"/>
    </row>
    <row r="3465" spans="2:4" x14ac:dyDescent="0.35">
      <c r="B3465" s="35">
        <v>38160</v>
      </c>
      <c r="C3465" s="34">
        <v>3928.39</v>
      </c>
      <c r="D3465" s="200"/>
    </row>
    <row r="3466" spans="2:4" x14ac:dyDescent="0.35">
      <c r="B3466" s="35">
        <v>38161</v>
      </c>
      <c r="C3466" s="34">
        <v>3945.1</v>
      </c>
      <c r="D3466" s="200"/>
    </row>
    <row r="3467" spans="2:4" x14ac:dyDescent="0.35">
      <c r="B3467" s="35">
        <v>38162</v>
      </c>
      <c r="C3467" s="34">
        <v>4007.05</v>
      </c>
      <c r="D3467" s="200"/>
    </row>
    <row r="3468" spans="2:4" x14ac:dyDescent="0.35">
      <c r="B3468" s="35">
        <v>38163</v>
      </c>
      <c r="C3468" s="34">
        <v>4013.35</v>
      </c>
      <c r="D3468" s="200"/>
    </row>
    <row r="3469" spans="2:4" x14ac:dyDescent="0.35">
      <c r="B3469" s="35">
        <v>38166</v>
      </c>
      <c r="C3469" s="34">
        <v>4069.35</v>
      </c>
      <c r="D3469" s="200"/>
    </row>
    <row r="3470" spans="2:4" x14ac:dyDescent="0.35">
      <c r="B3470" s="35">
        <v>38167</v>
      </c>
      <c r="C3470" s="34">
        <v>4069.73</v>
      </c>
      <c r="D3470" s="200"/>
    </row>
    <row r="3471" spans="2:4" x14ac:dyDescent="0.35">
      <c r="B3471" s="35">
        <v>38168</v>
      </c>
      <c r="C3471" s="34">
        <v>4052.73</v>
      </c>
      <c r="D3471" s="200"/>
    </row>
    <row r="3472" spans="2:4" x14ac:dyDescent="0.35">
      <c r="B3472" s="35">
        <v>38169</v>
      </c>
      <c r="C3472" s="34">
        <v>4035.02</v>
      </c>
      <c r="D3472" s="200"/>
    </row>
    <row r="3473" spans="2:4" x14ac:dyDescent="0.35">
      <c r="B3473" s="35">
        <v>38170</v>
      </c>
      <c r="C3473" s="34">
        <v>3998.77</v>
      </c>
      <c r="D3473" s="200"/>
    </row>
    <row r="3474" spans="2:4" x14ac:dyDescent="0.35">
      <c r="B3474" s="35">
        <v>38173</v>
      </c>
      <c r="C3474" s="34">
        <v>3995.73</v>
      </c>
      <c r="D3474" s="200"/>
    </row>
    <row r="3475" spans="2:4" x14ac:dyDescent="0.35">
      <c r="B3475" s="35">
        <v>38174</v>
      </c>
      <c r="C3475" s="34">
        <v>3944.88</v>
      </c>
      <c r="D3475" s="200"/>
    </row>
    <row r="3476" spans="2:4" x14ac:dyDescent="0.35">
      <c r="B3476" s="35">
        <v>38175</v>
      </c>
      <c r="C3476" s="34">
        <v>3930.58</v>
      </c>
      <c r="D3476" s="200"/>
    </row>
    <row r="3477" spans="2:4" x14ac:dyDescent="0.35">
      <c r="B3477" s="35">
        <v>38176</v>
      </c>
      <c r="C3477" s="34">
        <v>3934.48</v>
      </c>
      <c r="D3477" s="200"/>
    </row>
    <row r="3478" spans="2:4" x14ac:dyDescent="0.35">
      <c r="B3478" s="35">
        <v>38177</v>
      </c>
      <c r="C3478" s="34">
        <v>3924.49</v>
      </c>
      <c r="D3478" s="200"/>
    </row>
    <row r="3479" spans="2:4" x14ac:dyDescent="0.35">
      <c r="B3479" s="35">
        <v>38180</v>
      </c>
      <c r="C3479" s="34">
        <v>3893.24</v>
      </c>
      <c r="D3479" s="200"/>
    </row>
    <row r="3480" spans="2:4" x14ac:dyDescent="0.35">
      <c r="B3480" s="35">
        <v>38181</v>
      </c>
      <c r="C3480" s="34">
        <v>3903.88</v>
      </c>
      <c r="D3480" s="200"/>
    </row>
    <row r="3481" spans="2:4" x14ac:dyDescent="0.35">
      <c r="B3481" s="35">
        <v>38182</v>
      </c>
      <c r="C3481" s="34">
        <v>3898.84</v>
      </c>
      <c r="D3481" s="200"/>
    </row>
    <row r="3482" spans="2:4" x14ac:dyDescent="0.35">
      <c r="B3482" s="35">
        <v>38183</v>
      </c>
      <c r="C3482" s="34">
        <v>3847.19</v>
      </c>
      <c r="D3482" s="200"/>
    </row>
    <row r="3483" spans="2:4" x14ac:dyDescent="0.35">
      <c r="B3483" s="35">
        <v>38184</v>
      </c>
      <c r="C3483" s="34">
        <v>3845.93</v>
      </c>
      <c r="D3483" s="200"/>
    </row>
    <row r="3484" spans="2:4" x14ac:dyDescent="0.35">
      <c r="B3484" s="35">
        <v>38187</v>
      </c>
      <c r="C3484" s="34">
        <v>3812.63</v>
      </c>
      <c r="D3484" s="200"/>
    </row>
    <row r="3485" spans="2:4" x14ac:dyDescent="0.35">
      <c r="B3485" s="35">
        <v>38188</v>
      </c>
      <c r="C3485" s="34">
        <v>3837.6</v>
      </c>
      <c r="D3485" s="200"/>
    </row>
    <row r="3486" spans="2:4" x14ac:dyDescent="0.35">
      <c r="B3486" s="35">
        <v>38189</v>
      </c>
      <c r="C3486" s="34">
        <v>3877.48</v>
      </c>
      <c r="D3486" s="200"/>
    </row>
    <row r="3487" spans="2:4" x14ac:dyDescent="0.35">
      <c r="B3487" s="35">
        <v>38190</v>
      </c>
      <c r="C3487" s="34">
        <v>3801.05</v>
      </c>
      <c r="D3487" s="200"/>
    </row>
    <row r="3488" spans="2:4" x14ac:dyDescent="0.35">
      <c r="B3488" s="35">
        <v>38191</v>
      </c>
      <c r="C3488" s="34">
        <v>3797.33</v>
      </c>
      <c r="D3488" s="200"/>
    </row>
    <row r="3489" spans="2:4" x14ac:dyDescent="0.35">
      <c r="B3489" s="35">
        <v>38194</v>
      </c>
      <c r="C3489" s="34">
        <v>3752.59</v>
      </c>
      <c r="D3489" s="200"/>
    </row>
    <row r="3490" spans="2:4" x14ac:dyDescent="0.35">
      <c r="B3490" s="35">
        <v>38195</v>
      </c>
      <c r="C3490" s="34">
        <v>3814.08</v>
      </c>
      <c r="D3490" s="200"/>
    </row>
    <row r="3491" spans="2:4" x14ac:dyDescent="0.35">
      <c r="B3491" s="35">
        <v>38196</v>
      </c>
      <c r="C3491" s="34">
        <v>3807.21</v>
      </c>
      <c r="D3491" s="200"/>
    </row>
    <row r="3492" spans="2:4" x14ac:dyDescent="0.35">
      <c r="B3492" s="35">
        <v>38197</v>
      </c>
      <c r="C3492" s="34">
        <v>3889.68</v>
      </c>
      <c r="D3492" s="200"/>
    </row>
    <row r="3493" spans="2:4" x14ac:dyDescent="0.35">
      <c r="B3493" s="35">
        <v>38198</v>
      </c>
      <c r="C3493" s="34">
        <v>3895.61</v>
      </c>
      <c r="D3493" s="200"/>
    </row>
    <row r="3494" spans="2:4" x14ac:dyDescent="0.35">
      <c r="B3494" s="35">
        <v>38201</v>
      </c>
      <c r="C3494" s="34">
        <v>3862.71</v>
      </c>
      <c r="D3494" s="200"/>
    </row>
    <row r="3495" spans="2:4" x14ac:dyDescent="0.35">
      <c r="B3495" s="35">
        <v>38202</v>
      </c>
      <c r="C3495" s="34">
        <v>3877.32</v>
      </c>
      <c r="D3495" s="200"/>
    </row>
    <row r="3496" spans="2:4" x14ac:dyDescent="0.35">
      <c r="B3496" s="35">
        <v>38203</v>
      </c>
      <c r="C3496" s="34">
        <v>3823.74</v>
      </c>
      <c r="D3496" s="200"/>
    </row>
    <row r="3497" spans="2:4" x14ac:dyDescent="0.35">
      <c r="B3497" s="35">
        <v>38204</v>
      </c>
      <c r="C3497" s="34">
        <v>3829.03</v>
      </c>
      <c r="D3497" s="200"/>
    </row>
    <row r="3498" spans="2:4" x14ac:dyDescent="0.35">
      <c r="B3498" s="35">
        <v>38205</v>
      </c>
      <c r="C3498" s="34">
        <v>3727.74</v>
      </c>
      <c r="D3498" s="200"/>
    </row>
    <row r="3499" spans="2:4" x14ac:dyDescent="0.35">
      <c r="B3499" s="35">
        <v>38208</v>
      </c>
      <c r="C3499" s="34">
        <v>3690.33</v>
      </c>
      <c r="D3499" s="200"/>
    </row>
    <row r="3500" spans="2:4" x14ac:dyDescent="0.35">
      <c r="B3500" s="35">
        <v>38209</v>
      </c>
      <c r="C3500" s="34">
        <v>3720.64</v>
      </c>
      <c r="D3500" s="200"/>
    </row>
    <row r="3501" spans="2:4" x14ac:dyDescent="0.35">
      <c r="B3501" s="35">
        <v>38210</v>
      </c>
      <c r="C3501" s="34">
        <v>3678.91</v>
      </c>
      <c r="D3501" s="200"/>
    </row>
    <row r="3502" spans="2:4" x14ac:dyDescent="0.35">
      <c r="B3502" s="35">
        <v>38211</v>
      </c>
      <c r="C3502" s="34">
        <v>3658.11</v>
      </c>
      <c r="D3502" s="200"/>
    </row>
    <row r="3503" spans="2:4" x14ac:dyDescent="0.35">
      <c r="B3503" s="35">
        <v>38212</v>
      </c>
      <c r="C3503" s="34">
        <v>3646.99</v>
      </c>
      <c r="D3503" s="200"/>
    </row>
    <row r="3504" spans="2:4" x14ac:dyDescent="0.35">
      <c r="B3504" s="35">
        <v>38215</v>
      </c>
      <c r="C3504" s="34">
        <v>3699.11</v>
      </c>
      <c r="D3504" s="200"/>
    </row>
    <row r="3505" spans="2:4" x14ac:dyDescent="0.35">
      <c r="B3505" s="35">
        <v>38216</v>
      </c>
      <c r="C3505" s="34">
        <v>3705.73</v>
      </c>
      <c r="D3505" s="200"/>
    </row>
    <row r="3506" spans="2:4" x14ac:dyDescent="0.35">
      <c r="B3506" s="35">
        <v>38217</v>
      </c>
      <c r="C3506" s="34">
        <v>3726.5</v>
      </c>
      <c r="D3506" s="200"/>
    </row>
    <row r="3507" spans="2:4" x14ac:dyDescent="0.35">
      <c r="B3507" s="35">
        <v>38218</v>
      </c>
      <c r="C3507" s="34">
        <v>3722.99</v>
      </c>
      <c r="D3507" s="200"/>
    </row>
    <row r="3508" spans="2:4" x14ac:dyDescent="0.35">
      <c r="B3508" s="35">
        <v>38219</v>
      </c>
      <c r="C3508" s="34">
        <v>3712.61</v>
      </c>
      <c r="D3508" s="200"/>
    </row>
    <row r="3509" spans="2:4" x14ac:dyDescent="0.35">
      <c r="B3509" s="35">
        <v>38222</v>
      </c>
      <c r="C3509" s="34">
        <v>3772.14</v>
      </c>
      <c r="D3509" s="200"/>
    </row>
    <row r="3510" spans="2:4" x14ac:dyDescent="0.35">
      <c r="B3510" s="35">
        <v>38223</v>
      </c>
      <c r="C3510" s="34">
        <v>3771</v>
      </c>
      <c r="D3510" s="200"/>
    </row>
    <row r="3511" spans="2:4" x14ac:dyDescent="0.35">
      <c r="B3511" s="35">
        <v>38224</v>
      </c>
      <c r="C3511" s="34">
        <v>3788.88</v>
      </c>
      <c r="D3511" s="200"/>
    </row>
    <row r="3512" spans="2:4" x14ac:dyDescent="0.35">
      <c r="B3512" s="35">
        <v>38225</v>
      </c>
      <c r="C3512" s="34">
        <v>3832.28</v>
      </c>
      <c r="D3512" s="200"/>
    </row>
    <row r="3513" spans="2:4" x14ac:dyDescent="0.35">
      <c r="B3513" s="35">
        <v>38226</v>
      </c>
      <c r="C3513" s="34">
        <v>3851.18</v>
      </c>
      <c r="D3513" s="200"/>
    </row>
    <row r="3514" spans="2:4" x14ac:dyDescent="0.35">
      <c r="B3514" s="35">
        <v>38229</v>
      </c>
      <c r="C3514" s="34">
        <v>3838.85</v>
      </c>
      <c r="D3514" s="200"/>
    </row>
    <row r="3515" spans="2:4" x14ac:dyDescent="0.35">
      <c r="B3515" s="35">
        <v>38230</v>
      </c>
      <c r="C3515" s="34">
        <v>3785.21</v>
      </c>
      <c r="D3515" s="200"/>
    </row>
    <row r="3516" spans="2:4" x14ac:dyDescent="0.35">
      <c r="B3516" s="35">
        <v>38231</v>
      </c>
      <c r="C3516" s="34">
        <v>3817.62</v>
      </c>
      <c r="D3516" s="200"/>
    </row>
    <row r="3517" spans="2:4" x14ac:dyDescent="0.35">
      <c r="B3517" s="35">
        <v>38232</v>
      </c>
      <c r="C3517" s="34">
        <v>3833.45</v>
      </c>
      <c r="D3517" s="200"/>
    </row>
    <row r="3518" spans="2:4" x14ac:dyDescent="0.35">
      <c r="B3518" s="35">
        <v>38233</v>
      </c>
      <c r="C3518" s="34">
        <v>3866.99</v>
      </c>
      <c r="D3518" s="200"/>
    </row>
    <row r="3519" spans="2:4" x14ac:dyDescent="0.35">
      <c r="B3519" s="35">
        <v>38236</v>
      </c>
      <c r="C3519" s="34">
        <v>3887.58</v>
      </c>
      <c r="D3519" s="200"/>
    </row>
    <row r="3520" spans="2:4" x14ac:dyDescent="0.35">
      <c r="B3520" s="35">
        <v>38237</v>
      </c>
      <c r="C3520" s="34">
        <v>3889.04</v>
      </c>
      <c r="D3520" s="200"/>
    </row>
    <row r="3521" spans="2:4" x14ac:dyDescent="0.35">
      <c r="B3521" s="35">
        <v>38238</v>
      </c>
      <c r="C3521" s="34">
        <v>3884.16</v>
      </c>
      <c r="D3521" s="200"/>
    </row>
    <row r="3522" spans="2:4" x14ac:dyDescent="0.35">
      <c r="B3522" s="35">
        <v>38239</v>
      </c>
      <c r="C3522" s="34">
        <v>3851.22</v>
      </c>
      <c r="D3522" s="200"/>
    </row>
    <row r="3523" spans="2:4" x14ac:dyDescent="0.35">
      <c r="B3523" s="35">
        <v>38240</v>
      </c>
      <c r="C3523" s="34">
        <v>3886.03</v>
      </c>
      <c r="D3523" s="200"/>
    </row>
    <row r="3524" spans="2:4" x14ac:dyDescent="0.35">
      <c r="B3524" s="35">
        <v>38243</v>
      </c>
      <c r="C3524" s="34">
        <v>3953.31</v>
      </c>
      <c r="D3524" s="200"/>
    </row>
    <row r="3525" spans="2:4" x14ac:dyDescent="0.35">
      <c r="B3525" s="35">
        <v>38244</v>
      </c>
      <c r="C3525" s="34">
        <v>3947.75</v>
      </c>
      <c r="D3525" s="200"/>
    </row>
    <row r="3526" spans="2:4" x14ac:dyDescent="0.35">
      <c r="B3526" s="35">
        <v>38245</v>
      </c>
      <c r="C3526" s="34">
        <v>3941.75</v>
      </c>
      <c r="D3526" s="200"/>
    </row>
    <row r="3527" spans="2:4" x14ac:dyDescent="0.35">
      <c r="B3527" s="35">
        <v>38246</v>
      </c>
      <c r="C3527" s="34">
        <v>3963.65</v>
      </c>
      <c r="D3527" s="200"/>
    </row>
    <row r="3528" spans="2:4" x14ac:dyDescent="0.35">
      <c r="B3528" s="35">
        <v>38247</v>
      </c>
      <c r="C3528" s="34">
        <v>3988.07</v>
      </c>
      <c r="D3528" s="200"/>
    </row>
    <row r="3529" spans="2:4" x14ac:dyDescent="0.35">
      <c r="B3529" s="35">
        <v>38250</v>
      </c>
      <c r="C3529" s="34">
        <v>3977.68</v>
      </c>
      <c r="D3529" s="200"/>
    </row>
    <row r="3530" spans="2:4" x14ac:dyDescent="0.35">
      <c r="B3530" s="35">
        <v>38251</v>
      </c>
      <c r="C3530" s="34">
        <v>3991.02</v>
      </c>
      <c r="D3530" s="200"/>
    </row>
    <row r="3531" spans="2:4" x14ac:dyDescent="0.35">
      <c r="B3531" s="35">
        <v>38252</v>
      </c>
      <c r="C3531" s="34">
        <v>3942.35</v>
      </c>
      <c r="D3531" s="200"/>
    </row>
    <row r="3532" spans="2:4" x14ac:dyDescent="0.35">
      <c r="B3532" s="35">
        <v>38253</v>
      </c>
      <c r="C3532" s="34">
        <v>3905.66</v>
      </c>
      <c r="D3532" s="200"/>
    </row>
    <row r="3533" spans="2:4" x14ac:dyDescent="0.35">
      <c r="B3533" s="35">
        <v>38254</v>
      </c>
      <c r="C3533" s="34">
        <v>3910.3</v>
      </c>
      <c r="D3533" s="200"/>
    </row>
    <row r="3534" spans="2:4" x14ac:dyDescent="0.35">
      <c r="B3534" s="35">
        <v>38257</v>
      </c>
      <c r="C3534" s="34">
        <v>3874.37</v>
      </c>
      <c r="D3534" s="200"/>
    </row>
    <row r="3535" spans="2:4" x14ac:dyDescent="0.35">
      <c r="B3535" s="35">
        <v>38258</v>
      </c>
      <c r="C3535" s="34">
        <v>3882.27</v>
      </c>
      <c r="D3535" s="200"/>
    </row>
    <row r="3536" spans="2:4" x14ac:dyDescent="0.35">
      <c r="B3536" s="35">
        <v>38259</v>
      </c>
      <c r="C3536" s="34">
        <v>3920.36</v>
      </c>
      <c r="D3536" s="200"/>
    </row>
    <row r="3537" spans="2:4" x14ac:dyDescent="0.35">
      <c r="B3537" s="35">
        <v>38260</v>
      </c>
      <c r="C3537" s="34">
        <v>3892.9</v>
      </c>
      <c r="D3537" s="200"/>
    </row>
    <row r="3538" spans="2:4" x14ac:dyDescent="0.35">
      <c r="B3538" s="35">
        <v>38261</v>
      </c>
      <c r="C3538" s="34">
        <v>3994.96</v>
      </c>
      <c r="D3538" s="200"/>
    </row>
    <row r="3539" spans="2:4" x14ac:dyDescent="0.35">
      <c r="B3539" s="35">
        <v>38264</v>
      </c>
      <c r="C3539" s="34">
        <v>4033.28</v>
      </c>
      <c r="D3539" s="200"/>
    </row>
    <row r="3540" spans="2:4" x14ac:dyDescent="0.35">
      <c r="B3540" s="35">
        <v>38265</v>
      </c>
      <c r="C3540" s="34">
        <v>4048.71</v>
      </c>
      <c r="D3540" s="200"/>
    </row>
    <row r="3541" spans="2:4" x14ac:dyDescent="0.35">
      <c r="B3541" s="35">
        <v>38266</v>
      </c>
      <c r="C3541" s="34">
        <v>4049.66</v>
      </c>
      <c r="D3541" s="200"/>
    </row>
    <row r="3542" spans="2:4" x14ac:dyDescent="0.35">
      <c r="B3542" s="35">
        <v>38267</v>
      </c>
      <c r="C3542" s="34">
        <v>4043.36</v>
      </c>
      <c r="D3542" s="200"/>
    </row>
    <row r="3543" spans="2:4" x14ac:dyDescent="0.35">
      <c r="B3543" s="35">
        <v>38268</v>
      </c>
      <c r="C3543" s="34">
        <v>4015.54</v>
      </c>
      <c r="D3543" s="200"/>
    </row>
    <row r="3544" spans="2:4" x14ac:dyDescent="0.35">
      <c r="B3544" s="35">
        <v>38271</v>
      </c>
      <c r="C3544" s="34">
        <v>4017.82</v>
      </c>
      <c r="D3544" s="200"/>
    </row>
    <row r="3545" spans="2:4" x14ac:dyDescent="0.35">
      <c r="B3545" s="35">
        <v>38272</v>
      </c>
      <c r="C3545" s="34">
        <v>3957.6</v>
      </c>
      <c r="D3545" s="200"/>
    </row>
    <row r="3546" spans="2:4" x14ac:dyDescent="0.35">
      <c r="B3546" s="35">
        <v>38273</v>
      </c>
      <c r="C3546" s="34">
        <v>3976.03</v>
      </c>
      <c r="D3546" s="200"/>
    </row>
    <row r="3547" spans="2:4" x14ac:dyDescent="0.35">
      <c r="B3547" s="35">
        <v>38274</v>
      </c>
      <c r="C3547" s="34">
        <v>3940.46</v>
      </c>
      <c r="D3547" s="200"/>
    </row>
    <row r="3548" spans="2:4" x14ac:dyDescent="0.35">
      <c r="B3548" s="35">
        <v>38275</v>
      </c>
      <c r="C3548" s="34">
        <v>3922.11</v>
      </c>
      <c r="D3548" s="200"/>
    </row>
    <row r="3549" spans="2:4" x14ac:dyDescent="0.35">
      <c r="B3549" s="35">
        <v>38278</v>
      </c>
      <c r="C3549" s="34">
        <v>3915.17</v>
      </c>
      <c r="D3549" s="200"/>
    </row>
    <row r="3550" spans="2:4" x14ac:dyDescent="0.35">
      <c r="B3550" s="35">
        <v>38279</v>
      </c>
      <c r="C3550" s="34">
        <v>3964.13</v>
      </c>
      <c r="D3550" s="200"/>
    </row>
    <row r="3551" spans="2:4" x14ac:dyDescent="0.35">
      <c r="B3551" s="35">
        <v>38280</v>
      </c>
      <c r="C3551" s="34">
        <v>3912.4</v>
      </c>
      <c r="D3551" s="200"/>
    </row>
    <row r="3552" spans="2:4" x14ac:dyDescent="0.35">
      <c r="B3552" s="35">
        <v>38281</v>
      </c>
      <c r="C3552" s="34">
        <v>3934.06</v>
      </c>
      <c r="D3552" s="200"/>
    </row>
    <row r="3553" spans="2:4" x14ac:dyDescent="0.35">
      <c r="B3553" s="35">
        <v>38282</v>
      </c>
      <c r="C3553" s="34">
        <v>3935.14</v>
      </c>
      <c r="D3553" s="200"/>
    </row>
    <row r="3554" spans="2:4" x14ac:dyDescent="0.35">
      <c r="B3554" s="35">
        <v>38285</v>
      </c>
      <c r="C3554" s="34">
        <v>3854.41</v>
      </c>
      <c r="D3554" s="200"/>
    </row>
    <row r="3555" spans="2:4" x14ac:dyDescent="0.35">
      <c r="B3555" s="35">
        <v>38286</v>
      </c>
      <c r="C3555" s="34">
        <v>3862.26</v>
      </c>
      <c r="D3555" s="200"/>
    </row>
    <row r="3556" spans="2:4" x14ac:dyDescent="0.35">
      <c r="B3556" s="35">
        <v>38287</v>
      </c>
      <c r="C3556" s="34">
        <v>3929.03</v>
      </c>
      <c r="D3556" s="200"/>
    </row>
    <row r="3557" spans="2:4" x14ac:dyDescent="0.35">
      <c r="B3557" s="35">
        <v>38288</v>
      </c>
      <c r="C3557" s="34">
        <v>3959.59</v>
      </c>
      <c r="D3557" s="200"/>
    </row>
    <row r="3558" spans="2:4" x14ac:dyDescent="0.35">
      <c r="B3558" s="35">
        <v>38289</v>
      </c>
      <c r="C3558" s="34">
        <v>3960.25</v>
      </c>
      <c r="D3558" s="200"/>
    </row>
    <row r="3559" spans="2:4" x14ac:dyDescent="0.35">
      <c r="B3559" s="35">
        <v>38292</v>
      </c>
      <c r="C3559" s="34">
        <v>4012.64</v>
      </c>
      <c r="D3559" s="200"/>
    </row>
    <row r="3560" spans="2:4" x14ac:dyDescent="0.35">
      <c r="B3560" s="35">
        <v>38293</v>
      </c>
      <c r="C3560" s="34">
        <v>4037.57</v>
      </c>
      <c r="D3560" s="200"/>
    </row>
    <row r="3561" spans="2:4" x14ac:dyDescent="0.35">
      <c r="B3561" s="35">
        <v>38294</v>
      </c>
      <c r="C3561" s="34">
        <v>4039.04</v>
      </c>
      <c r="D3561" s="200"/>
    </row>
    <row r="3562" spans="2:4" x14ac:dyDescent="0.35">
      <c r="B3562" s="35">
        <v>38295</v>
      </c>
      <c r="C3562" s="34">
        <v>4041.38</v>
      </c>
      <c r="D3562" s="200"/>
    </row>
    <row r="3563" spans="2:4" x14ac:dyDescent="0.35">
      <c r="B3563" s="35">
        <v>38296</v>
      </c>
      <c r="C3563" s="34">
        <v>4063.58</v>
      </c>
      <c r="D3563" s="200"/>
    </row>
    <row r="3564" spans="2:4" x14ac:dyDescent="0.35">
      <c r="B3564" s="35">
        <v>38299</v>
      </c>
      <c r="C3564" s="34">
        <v>4068.97</v>
      </c>
      <c r="D3564" s="200"/>
    </row>
    <row r="3565" spans="2:4" x14ac:dyDescent="0.35">
      <c r="B3565" s="35">
        <v>38300</v>
      </c>
      <c r="C3565" s="34">
        <v>4065.33</v>
      </c>
      <c r="D3565" s="200"/>
    </row>
    <row r="3566" spans="2:4" x14ac:dyDescent="0.35">
      <c r="B3566" s="35">
        <v>38301</v>
      </c>
      <c r="C3566" s="34">
        <v>4089.13</v>
      </c>
      <c r="D3566" s="200"/>
    </row>
    <row r="3567" spans="2:4" x14ac:dyDescent="0.35">
      <c r="B3567" s="35">
        <v>38302</v>
      </c>
      <c r="C3567" s="34">
        <v>4130.8100000000004</v>
      </c>
      <c r="D3567" s="200"/>
    </row>
    <row r="3568" spans="2:4" x14ac:dyDescent="0.35">
      <c r="B3568" s="35">
        <v>38303</v>
      </c>
      <c r="C3568" s="34">
        <v>4143.3500000000004</v>
      </c>
      <c r="D3568" s="200"/>
    </row>
    <row r="3569" spans="2:4" x14ac:dyDescent="0.35">
      <c r="B3569" s="35">
        <v>38306</v>
      </c>
      <c r="C3569" s="34">
        <v>4134.34</v>
      </c>
      <c r="D3569" s="200"/>
    </row>
    <row r="3570" spans="2:4" x14ac:dyDescent="0.35">
      <c r="B3570" s="35">
        <v>38307</v>
      </c>
      <c r="C3570" s="34">
        <v>4117.22</v>
      </c>
      <c r="D3570" s="200"/>
    </row>
    <row r="3571" spans="2:4" x14ac:dyDescent="0.35">
      <c r="B3571" s="35">
        <v>38308</v>
      </c>
      <c r="C3571" s="34">
        <v>4183.41</v>
      </c>
      <c r="D3571" s="200"/>
    </row>
    <row r="3572" spans="2:4" x14ac:dyDescent="0.35">
      <c r="B3572" s="35">
        <v>38309</v>
      </c>
      <c r="C3572" s="34">
        <v>4178.68</v>
      </c>
      <c r="D3572" s="200"/>
    </row>
    <row r="3573" spans="2:4" x14ac:dyDescent="0.35">
      <c r="B3573" s="35">
        <v>38310</v>
      </c>
      <c r="C3573" s="34">
        <v>4134.8900000000003</v>
      </c>
      <c r="D3573" s="200"/>
    </row>
    <row r="3574" spans="2:4" x14ac:dyDescent="0.35">
      <c r="B3574" s="35">
        <v>38313</v>
      </c>
      <c r="C3574" s="34">
        <v>4123.9799999999996</v>
      </c>
      <c r="D3574" s="200"/>
    </row>
    <row r="3575" spans="2:4" x14ac:dyDescent="0.35">
      <c r="B3575" s="35">
        <v>38314</v>
      </c>
      <c r="C3575" s="34">
        <v>4113.37</v>
      </c>
      <c r="D3575" s="200"/>
    </row>
    <row r="3576" spans="2:4" x14ac:dyDescent="0.35">
      <c r="B3576" s="35">
        <v>38315</v>
      </c>
      <c r="C3576" s="34">
        <v>4125.3</v>
      </c>
      <c r="D3576" s="200"/>
    </row>
    <row r="3577" spans="2:4" x14ac:dyDescent="0.35">
      <c r="B3577" s="35">
        <v>38316</v>
      </c>
      <c r="C3577" s="34">
        <v>4160.3500000000004</v>
      </c>
      <c r="D3577" s="200"/>
    </row>
    <row r="3578" spans="2:4" x14ac:dyDescent="0.35">
      <c r="B3578" s="35">
        <v>38317</v>
      </c>
      <c r="C3578" s="34">
        <v>4154.2700000000004</v>
      </c>
      <c r="D3578" s="200"/>
    </row>
    <row r="3579" spans="2:4" x14ac:dyDescent="0.35">
      <c r="B3579" s="35">
        <v>38320</v>
      </c>
      <c r="C3579" s="34">
        <v>4146.9799999999996</v>
      </c>
      <c r="D3579" s="200"/>
    </row>
    <row r="3580" spans="2:4" x14ac:dyDescent="0.35">
      <c r="B3580" s="35">
        <v>38321</v>
      </c>
      <c r="C3580" s="34">
        <v>4126</v>
      </c>
      <c r="D3580" s="200"/>
    </row>
    <row r="3581" spans="2:4" x14ac:dyDescent="0.35">
      <c r="B3581" s="35">
        <v>38322</v>
      </c>
      <c r="C3581" s="34">
        <v>4186.03</v>
      </c>
      <c r="D3581" s="200"/>
    </row>
    <row r="3582" spans="2:4" x14ac:dyDescent="0.35">
      <c r="B3582" s="35">
        <v>38323</v>
      </c>
      <c r="C3582" s="34">
        <v>4216.3999999999996</v>
      </c>
      <c r="D3582" s="200"/>
    </row>
    <row r="3583" spans="2:4" x14ac:dyDescent="0.35">
      <c r="B3583" s="35">
        <v>38324</v>
      </c>
      <c r="C3583" s="34">
        <v>4208.87</v>
      </c>
      <c r="D3583" s="200"/>
    </row>
    <row r="3584" spans="2:4" x14ac:dyDescent="0.35">
      <c r="B3584" s="35">
        <v>38327</v>
      </c>
      <c r="C3584" s="34">
        <v>4193.91</v>
      </c>
      <c r="D3584" s="200"/>
    </row>
    <row r="3585" spans="2:4" x14ac:dyDescent="0.35">
      <c r="B3585" s="35">
        <v>38328</v>
      </c>
      <c r="C3585" s="34">
        <v>4212.62</v>
      </c>
      <c r="D3585" s="200"/>
    </row>
    <row r="3586" spans="2:4" x14ac:dyDescent="0.35">
      <c r="B3586" s="35">
        <v>38329</v>
      </c>
      <c r="C3586" s="34">
        <v>4201.3500000000004</v>
      </c>
      <c r="D3586" s="200"/>
    </row>
    <row r="3587" spans="2:4" x14ac:dyDescent="0.35">
      <c r="B3587" s="35">
        <v>38330</v>
      </c>
      <c r="C3587" s="34">
        <v>4150.41</v>
      </c>
      <c r="D3587" s="200"/>
    </row>
    <row r="3588" spans="2:4" x14ac:dyDescent="0.35">
      <c r="B3588" s="35">
        <v>38331</v>
      </c>
      <c r="C3588" s="34">
        <v>4174.55</v>
      </c>
      <c r="D3588" s="200"/>
    </row>
    <row r="3589" spans="2:4" x14ac:dyDescent="0.35">
      <c r="B3589" s="35">
        <v>38334</v>
      </c>
      <c r="C3589" s="34">
        <v>4219.24</v>
      </c>
      <c r="D3589" s="200"/>
    </row>
    <row r="3590" spans="2:4" x14ac:dyDescent="0.35">
      <c r="B3590" s="35">
        <v>38335</v>
      </c>
      <c r="C3590" s="34">
        <v>4231.3</v>
      </c>
      <c r="D3590" s="200"/>
    </row>
    <row r="3591" spans="2:4" x14ac:dyDescent="0.35">
      <c r="B3591" s="35">
        <v>38336</v>
      </c>
      <c r="C3591" s="34">
        <v>4213.6899999999996</v>
      </c>
      <c r="D3591" s="200"/>
    </row>
    <row r="3592" spans="2:4" x14ac:dyDescent="0.35">
      <c r="B3592" s="35">
        <v>38337</v>
      </c>
      <c r="C3592" s="34">
        <v>4233.71</v>
      </c>
      <c r="D3592" s="200"/>
    </row>
    <row r="3593" spans="2:4" x14ac:dyDescent="0.35">
      <c r="B3593" s="35">
        <v>38338</v>
      </c>
      <c r="C3593" s="34">
        <v>4182.2700000000004</v>
      </c>
      <c r="D3593" s="200"/>
    </row>
    <row r="3594" spans="2:4" x14ac:dyDescent="0.35">
      <c r="B3594" s="35">
        <v>38341</v>
      </c>
      <c r="C3594" s="34">
        <v>4211.55</v>
      </c>
      <c r="D3594" s="200"/>
    </row>
    <row r="3595" spans="2:4" x14ac:dyDescent="0.35">
      <c r="B3595" s="35">
        <v>38342</v>
      </c>
      <c r="C3595" s="34">
        <v>4214.3900000000003</v>
      </c>
      <c r="D3595" s="200"/>
    </row>
    <row r="3596" spans="2:4" x14ac:dyDescent="0.35">
      <c r="B3596" s="35">
        <v>38343</v>
      </c>
      <c r="C3596" s="34">
        <v>4241.28</v>
      </c>
      <c r="D3596" s="200"/>
    </row>
    <row r="3597" spans="2:4" x14ac:dyDescent="0.35">
      <c r="B3597" s="35">
        <v>38344</v>
      </c>
      <c r="C3597" s="34">
        <v>4251.62</v>
      </c>
      <c r="D3597" s="200"/>
    </row>
    <row r="3598" spans="2:4" x14ac:dyDescent="0.35">
      <c r="B3598" s="35">
        <v>38348</v>
      </c>
      <c r="C3598" s="34">
        <v>4235.3599999999997</v>
      </c>
      <c r="D3598" s="200"/>
    </row>
    <row r="3599" spans="2:4" x14ac:dyDescent="0.35">
      <c r="B3599" s="35">
        <v>38349</v>
      </c>
      <c r="C3599" s="34">
        <v>4261.79</v>
      </c>
      <c r="D3599" s="200"/>
    </row>
    <row r="3600" spans="2:4" x14ac:dyDescent="0.35">
      <c r="B3600" s="35">
        <v>38350</v>
      </c>
      <c r="C3600" s="34">
        <v>4247.75</v>
      </c>
      <c r="D3600" s="200"/>
    </row>
    <row r="3601" spans="2:4" x14ac:dyDescent="0.35">
      <c r="B3601" s="35">
        <v>38351</v>
      </c>
      <c r="C3601" s="34">
        <v>4256.08</v>
      </c>
      <c r="D3601" s="200"/>
    </row>
    <row r="3602" spans="2:4" x14ac:dyDescent="0.35">
      <c r="B3602" s="35">
        <v>38355</v>
      </c>
      <c r="C3602" s="34">
        <v>4291.53</v>
      </c>
      <c r="D3602" s="200"/>
    </row>
    <row r="3603" spans="2:4" x14ac:dyDescent="0.35">
      <c r="B3603" s="35">
        <v>38356</v>
      </c>
      <c r="C3603" s="34">
        <v>4290.5</v>
      </c>
      <c r="D3603" s="200"/>
    </row>
    <row r="3604" spans="2:4" x14ac:dyDescent="0.35">
      <c r="B3604" s="35">
        <v>38357</v>
      </c>
      <c r="C3604" s="34">
        <v>4258.24</v>
      </c>
      <c r="D3604" s="200"/>
    </row>
    <row r="3605" spans="2:4" x14ac:dyDescent="0.35">
      <c r="B3605" s="35">
        <v>38358</v>
      </c>
      <c r="C3605" s="34">
        <v>4300.9399999999996</v>
      </c>
      <c r="D3605" s="200"/>
    </row>
    <row r="3606" spans="2:4" x14ac:dyDescent="0.35">
      <c r="B3606" s="35">
        <v>38359</v>
      </c>
      <c r="C3606" s="34">
        <v>4316.3999999999996</v>
      </c>
      <c r="D3606" s="200"/>
    </row>
    <row r="3607" spans="2:4" x14ac:dyDescent="0.35">
      <c r="B3607" s="35">
        <v>38362</v>
      </c>
      <c r="C3607" s="34">
        <v>4307.37</v>
      </c>
      <c r="D3607" s="200"/>
    </row>
    <row r="3608" spans="2:4" x14ac:dyDescent="0.35">
      <c r="B3608" s="35">
        <v>38363</v>
      </c>
      <c r="C3608" s="34">
        <v>4258.01</v>
      </c>
      <c r="D3608" s="200"/>
    </row>
    <row r="3609" spans="2:4" x14ac:dyDescent="0.35">
      <c r="B3609" s="35">
        <v>38364</v>
      </c>
      <c r="C3609" s="34">
        <v>4208.82</v>
      </c>
      <c r="D3609" s="200"/>
    </row>
    <row r="3610" spans="2:4" x14ac:dyDescent="0.35">
      <c r="B3610" s="35">
        <v>38365</v>
      </c>
      <c r="C3610" s="34">
        <v>4212.1400000000003</v>
      </c>
      <c r="D3610" s="200"/>
    </row>
    <row r="3611" spans="2:4" x14ac:dyDescent="0.35">
      <c r="B3611" s="35">
        <v>38366</v>
      </c>
      <c r="C3611" s="34">
        <v>4232.3599999999997</v>
      </c>
      <c r="D3611" s="200"/>
    </row>
    <row r="3612" spans="2:4" x14ac:dyDescent="0.35">
      <c r="B3612" s="35">
        <v>38369</v>
      </c>
      <c r="C3612" s="34">
        <v>4245.51</v>
      </c>
      <c r="D3612" s="200"/>
    </row>
    <row r="3613" spans="2:4" x14ac:dyDescent="0.35">
      <c r="B3613" s="35">
        <v>38370</v>
      </c>
      <c r="C3613" s="34">
        <v>4250.71</v>
      </c>
      <c r="D3613" s="200"/>
    </row>
    <row r="3614" spans="2:4" x14ac:dyDescent="0.35">
      <c r="B3614" s="35">
        <v>38371</v>
      </c>
      <c r="C3614" s="34">
        <v>4245.55</v>
      </c>
      <c r="D3614" s="200"/>
    </row>
    <row r="3615" spans="2:4" x14ac:dyDescent="0.35">
      <c r="B3615" s="35">
        <v>38372</v>
      </c>
      <c r="C3615" s="34">
        <v>4220.43</v>
      </c>
      <c r="D3615" s="200"/>
    </row>
    <row r="3616" spans="2:4" x14ac:dyDescent="0.35">
      <c r="B3616" s="35">
        <v>38373</v>
      </c>
      <c r="C3616" s="34">
        <v>4213.7</v>
      </c>
      <c r="D3616" s="200"/>
    </row>
    <row r="3617" spans="2:4" x14ac:dyDescent="0.35">
      <c r="B3617" s="35">
        <v>38376</v>
      </c>
      <c r="C3617" s="34">
        <v>4201.8900000000003</v>
      </c>
      <c r="D3617" s="200"/>
    </row>
    <row r="3618" spans="2:4" x14ac:dyDescent="0.35">
      <c r="B3618" s="35">
        <v>38377</v>
      </c>
      <c r="C3618" s="34">
        <v>4233.95</v>
      </c>
      <c r="D3618" s="200"/>
    </row>
    <row r="3619" spans="2:4" x14ac:dyDescent="0.35">
      <c r="B3619" s="35">
        <v>38378</v>
      </c>
      <c r="C3619" s="34">
        <v>4214.12</v>
      </c>
      <c r="D3619" s="200"/>
    </row>
    <row r="3620" spans="2:4" x14ac:dyDescent="0.35">
      <c r="B3620" s="35">
        <v>38379</v>
      </c>
      <c r="C3620" s="34">
        <v>4216.41</v>
      </c>
      <c r="D3620" s="200"/>
    </row>
    <row r="3621" spans="2:4" x14ac:dyDescent="0.35">
      <c r="B3621" s="35">
        <v>38380</v>
      </c>
      <c r="C3621" s="34">
        <v>4201.8100000000004</v>
      </c>
      <c r="D3621" s="200"/>
    </row>
    <row r="3622" spans="2:4" x14ac:dyDescent="0.35">
      <c r="B3622" s="35">
        <v>38383</v>
      </c>
      <c r="C3622" s="34">
        <v>4254.8500000000004</v>
      </c>
      <c r="D3622" s="200"/>
    </row>
    <row r="3623" spans="2:4" x14ac:dyDescent="0.35">
      <c r="B3623" s="35">
        <v>38384</v>
      </c>
      <c r="C3623" s="34">
        <v>4279.97</v>
      </c>
      <c r="D3623" s="200"/>
    </row>
    <row r="3624" spans="2:4" x14ac:dyDescent="0.35">
      <c r="B3624" s="35">
        <v>38385</v>
      </c>
      <c r="C3624" s="34">
        <v>4296.3100000000004</v>
      </c>
      <c r="D3624" s="200"/>
    </row>
    <row r="3625" spans="2:4" x14ac:dyDescent="0.35">
      <c r="B3625" s="35">
        <v>38386</v>
      </c>
      <c r="C3625" s="34">
        <v>4281.6400000000003</v>
      </c>
      <c r="D3625" s="200"/>
    </row>
    <row r="3626" spans="2:4" x14ac:dyDescent="0.35">
      <c r="B3626" s="35">
        <v>38387</v>
      </c>
      <c r="C3626" s="34">
        <v>4339.28</v>
      </c>
      <c r="D3626" s="200"/>
    </row>
    <row r="3627" spans="2:4" x14ac:dyDescent="0.35">
      <c r="B3627" s="35">
        <v>38390</v>
      </c>
      <c r="C3627" s="34">
        <v>4366.3500000000004</v>
      </c>
      <c r="D3627" s="200"/>
    </row>
    <row r="3628" spans="2:4" x14ac:dyDescent="0.35">
      <c r="B3628" s="35">
        <v>38391</v>
      </c>
      <c r="C3628" s="34">
        <v>4371.3900000000003</v>
      </c>
      <c r="D3628" s="200"/>
    </row>
    <row r="3629" spans="2:4" x14ac:dyDescent="0.35">
      <c r="B3629" s="35">
        <v>38392</v>
      </c>
      <c r="C3629" s="34">
        <v>4353.1499999999996</v>
      </c>
      <c r="D3629" s="200"/>
    </row>
    <row r="3630" spans="2:4" x14ac:dyDescent="0.35">
      <c r="B3630" s="35">
        <v>38393</v>
      </c>
      <c r="C3630" s="34">
        <v>4342.01</v>
      </c>
      <c r="D3630" s="200"/>
    </row>
    <row r="3631" spans="2:4" x14ac:dyDescent="0.35">
      <c r="B3631" s="35">
        <v>38394</v>
      </c>
      <c r="C3631" s="34">
        <v>4387.8</v>
      </c>
      <c r="D3631" s="200"/>
    </row>
    <row r="3632" spans="2:4" x14ac:dyDescent="0.35">
      <c r="B3632" s="35">
        <v>38397</v>
      </c>
      <c r="C3632" s="34">
        <v>4386.3999999999996</v>
      </c>
      <c r="D3632" s="200"/>
    </row>
    <row r="3633" spans="2:4" x14ac:dyDescent="0.35">
      <c r="B3633" s="35">
        <v>38398</v>
      </c>
      <c r="C3633" s="34">
        <v>4402.03</v>
      </c>
      <c r="D3633" s="200"/>
    </row>
    <row r="3634" spans="2:4" x14ac:dyDescent="0.35">
      <c r="B3634" s="35">
        <v>38399</v>
      </c>
      <c r="C3634" s="34">
        <v>4368.7700000000004</v>
      </c>
      <c r="D3634" s="200"/>
    </row>
    <row r="3635" spans="2:4" x14ac:dyDescent="0.35">
      <c r="B3635" s="35">
        <v>38400</v>
      </c>
      <c r="C3635" s="34">
        <v>4369.68</v>
      </c>
      <c r="D3635" s="200"/>
    </row>
    <row r="3636" spans="2:4" x14ac:dyDescent="0.35">
      <c r="B3636" s="35">
        <v>38401</v>
      </c>
      <c r="C3636" s="34">
        <v>4359.47</v>
      </c>
      <c r="D3636" s="200"/>
    </row>
    <row r="3637" spans="2:4" x14ac:dyDescent="0.35">
      <c r="B3637" s="35">
        <v>38404</v>
      </c>
      <c r="C3637" s="34">
        <v>4353.34</v>
      </c>
      <c r="D3637" s="200"/>
    </row>
    <row r="3638" spans="2:4" x14ac:dyDescent="0.35">
      <c r="B3638" s="35">
        <v>38405</v>
      </c>
      <c r="C3638" s="34">
        <v>4323.21</v>
      </c>
      <c r="D3638" s="200"/>
    </row>
    <row r="3639" spans="2:4" x14ac:dyDescent="0.35">
      <c r="B3639" s="35">
        <v>38406</v>
      </c>
      <c r="C3639" s="34">
        <v>4310.66</v>
      </c>
      <c r="D3639" s="200"/>
    </row>
    <row r="3640" spans="2:4" x14ac:dyDescent="0.35">
      <c r="B3640" s="35">
        <v>38407</v>
      </c>
      <c r="C3640" s="34">
        <v>4304.29</v>
      </c>
      <c r="D3640" s="200"/>
    </row>
    <row r="3641" spans="2:4" x14ac:dyDescent="0.35">
      <c r="B3641" s="35">
        <v>38408</v>
      </c>
      <c r="C3641" s="34">
        <v>4348.6400000000003</v>
      </c>
      <c r="D3641" s="200"/>
    </row>
    <row r="3642" spans="2:4" x14ac:dyDescent="0.35">
      <c r="B3642" s="35">
        <v>38411</v>
      </c>
      <c r="C3642" s="34">
        <v>4350.49</v>
      </c>
      <c r="D3642" s="200"/>
    </row>
    <row r="3643" spans="2:4" x14ac:dyDescent="0.35">
      <c r="B3643" s="35">
        <v>38412</v>
      </c>
      <c r="C3643" s="34">
        <v>4383.62</v>
      </c>
      <c r="D3643" s="200"/>
    </row>
    <row r="3644" spans="2:4" x14ac:dyDescent="0.35">
      <c r="B3644" s="35">
        <v>38413</v>
      </c>
      <c r="C3644" s="34">
        <v>4393.43</v>
      </c>
      <c r="D3644" s="200"/>
    </row>
    <row r="3645" spans="2:4" x14ac:dyDescent="0.35">
      <c r="B3645" s="35">
        <v>38414</v>
      </c>
      <c r="C3645" s="34">
        <v>4373.2700000000004</v>
      </c>
      <c r="D3645" s="200"/>
    </row>
    <row r="3646" spans="2:4" x14ac:dyDescent="0.35">
      <c r="B3646" s="35">
        <v>38415</v>
      </c>
      <c r="C3646" s="34">
        <v>4423.5200000000004</v>
      </c>
      <c r="D3646" s="200"/>
    </row>
    <row r="3647" spans="2:4" x14ac:dyDescent="0.35">
      <c r="B3647" s="35">
        <v>38418</v>
      </c>
      <c r="C3647" s="34">
        <v>4428.09</v>
      </c>
      <c r="D3647" s="200"/>
    </row>
    <row r="3648" spans="2:4" x14ac:dyDescent="0.35">
      <c r="B3648" s="35">
        <v>38419</v>
      </c>
      <c r="C3648" s="34">
        <v>4396.5</v>
      </c>
      <c r="D3648" s="200"/>
    </row>
    <row r="3649" spans="2:4" x14ac:dyDescent="0.35">
      <c r="B3649" s="35">
        <v>38420</v>
      </c>
      <c r="C3649" s="34">
        <v>4375.6000000000004</v>
      </c>
      <c r="D3649" s="200"/>
    </row>
    <row r="3650" spans="2:4" x14ac:dyDescent="0.35">
      <c r="B3650" s="35">
        <v>38421</v>
      </c>
      <c r="C3650" s="34">
        <v>4337.68</v>
      </c>
      <c r="D3650" s="200"/>
    </row>
    <row r="3651" spans="2:4" x14ac:dyDescent="0.35">
      <c r="B3651" s="35">
        <v>38422</v>
      </c>
      <c r="C3651" s="34">
        <v>4360.49</v>
      </c>
      <c r="D3651" s="200"/>
    </row>
    <row r="3652" spans="2:4" x14ac:dyDescent="0.35">
      <c r="B3652" s="35">
        <v>38425</v>
      </c>
      <c r="C3652" s="34">
        <v>4367.3</v>
      </c>
      <c r="D3652" s="200"/>
    </row>
    <row r="3653" spans="2:4" x14ac:dyDescent="0.35">
      <c r="B3653" s="35">
        <v>38426</v>
      </c>
      <c r="C3653" s="34">
        <v>4387.6899999999996</v>
      </c>
      <c r="D3653" s="200"/>
    </row>
    <row r="3654" spans="2:4" x14ac:dyDescent="0.35">
      <c r="B3654" s="35">
        <v>38427</v>
      </c>
      <c r="C3654" s="34">
        <v>4309.1099999999997</v>
      </c>
      <c r="D3654" s="200"/>
    </row>
    <row r="3655" spans="2:4" x14ac:dyDescent="0.35">
      <c r="B3655" s="35">
        <v>38428</v>
      </c>
      <c r="C3655" s="34">
        <v>4315.92</v>
      </c>
      <c r="D3655" s="200"/>
    </row>
    <row r="3656" spans="2:4" x14ac:dyDescent="0.35">
      <c r="B3656" s="35">
        <v>38429</v>
      </c>
      <c r="C3656" s="34">
        <v>4327.18</v>
      </c>
      <c r="D3656" s="200"/>
    </row>
    <row r="3657" spans="2:4" x14ac:dyDescent="0.35">
      <c r="B3657" s="35">
        <v>38432</v>
      </c>
      <c r="C3657" s="34">
        <v>4296.3599999999997</v>
      </c>
      <c r="D3657" s="200"/>
    </row>
    <row r="3658" spans="2:4" x14ac:dyDescent="0.35">
      <c r="B3658" s="35">
        <v>38433</v>
      </c>
      <c r="C3658" s="34">
        <v>4320.6899999999996</v>
      </c>
      <c r="D3658" s="200"/>
    </row>
    <row r="3659" spans="2:4" x14ac:dyDescent="0.35">
      <c r="B3659" s="35">
        <v>38434</v>
      </c>
      <c r="C3659" s="34">
        <v>4317.2</v>
      </c>
      <c r="D3659" s="200"/>
    </row>
    <row r="3660" spans="2:4" x14ac:dyDescent="0.35">
      <c r="B3660" s="35">
        <v>38435</v>
      </c>
      <c r="C3660" s="34">
        <v>4343.6000000000004</v>
      </c>
      <c r="D3660" s="200"/>
    </row>
    <row r="3661" spans="2:4" x14ac:dyDescent="0.35">
      <c r="B3661" s="35">
        <v>38440</v>
      </c>
      <c r="C3661" s="34">
        <v>4351.8900000000003</v>
      </c>
      <c r="D3661" s="200"/>
    </row>
    <row r="3662" spans="2:4" x14ac:dyDescent="0.35">
      <c r="B3662" s="35">
        <v>38441</v>
      </c>
      <c r="C3662" s="34">
        <v>4347.5200000000004</v>
      </c>
      <c r="D3662" s="200"/>
    </row>
    <row r="3663" spans="2:4" x14ac:dyDescent="0.35">
      <c r="B3663" s="35">
        <v>38442</v>
      </c>
      <c r="C3663" s="34">
        <v>4348.7700000000004</v>
      </c>
      <c r="D3663" s="200"/>
    </row>
    <row r="3664" spans="2:4" x14ac:dyDescent="0.35">
      <c r="B3664" s="35">
        <v>38443</v>
      </c>
      <c r="C3664" s="34">
        <v>4373.53</v>
      </c>
      <c r="D3664" s="200"/>
    </row>
    <row r="3665" spans="2:4" x14ac:dyDescent="0.35">
      <c r="B3665" s="35">
        <v>38446</v>
      </c>
      <c r="C3665" s="34">
        <v>4341.3900000000003</v>
      </c>
      <c r="D3665" s="200"/>
    </row>
    <row r="3666" spans="2:4" x14ac:dyDescent="0.35">
      <c r="B3666" s="35">
        <v>38447</v>
      </c>
      <c r="C3666" s="34">
        <v>4362.6099999999997</v>
      </c>
      <c r="D3666" s="200"/>
    </row>
    <row r="3667" spans="2:4" x14ac:dyDescent="0.35">
      <c r="B3667" s="35">
        <v>38448</v>
      </c>
      <c r="C3667" s="34">
        <v>4379.18</v>
      </c>
      <c r="D3667" s="200"/>
    </row>
    <row r="3668" spans="2:4" x14ac:dyDescent="0.35">
      <c r="B3668" s="35">
        <v>38449</v>
      </c>
      <c r="C3668" s="34">
        <v>4389.5200000000004</v>
      </c>
      <c r="D3668" s="200"/>
    </row>
    <row r="3669" spans="2:4" x14ac:dyDescent="0.35">
      <c r="B3669" s="35">
        <v>38450</v>
      </c>
      <c r="C3669" s="34">
        <v>4400.68</v>
      </c>
      <c r="D3669" s="200"/>
    </row>
    <row r="3670" spans="2:4" x14ac:dyDescent="0.35">
      <c r="B3670" s="35">
        <v>38453</v>
      </c>
      <c r="C3670" s="34">
        <v>4396.09</v>
      </c>
      <c r="D3670" s="200"/>
    </row>
    <row r="3671" spans="2:4" x14ac:dyDescent="0.35">
      <c r="B3671" s="35">
        <v>38454</v>
      </c>
      <c r="C3671" s="34">
        <v>4372.12</v>
      </c>
      <c r="D3671" s="200"/>
    </row>
    <row r="3672" spans="2:4" x14ac:dyDescent="0.35">
      <c r="B3672" s="35">
        <v>38455</v>
      </c>
      <c r="C3672" s="34">
        <v>4405.6899999999996</v>
      </c>
      <c r="D3672" s="200"/>
    </row>
    <row r="3673" spans="2:4" x14ac:dyDescent="0.35">
      <c r="B3673" s="35">
        <v>38456</v>
      </c>
      <c r="C3673" s="34">
        <v>4402.05</v>
      </c>
      <c r="D3673" s="200"/>
    </row>
    <row r="3674" spans="2:4" x14ac:dyDescent="0.35">
      <c r="B3674" s="35">
        <v>38457</v>
      </c>
      <c r="C3674" s="34">
        <v>4312.25</v>
      </c>
      <c r="D3674" s="200"/>
    </row>
    <row r="3675" spans="2:4" x14ac:dyDescent="0.35">
      <c r="B3675" s="35">
        <v>38460</v>
      </c>
      <c r="C3675" s="34">
        <v>4202.2</v>
      </c>
      <c r="D3675" s="200"/>
    </row>
    <row r="3676" spans="2:4" x14ac:dyDescent="0.35">
      <c r="B3676" s="35">
        <v>38461</v>
      </c>
      <c r="C3676" s="34">
        <v>4204.6099999999997</v>
      </c>
      <c r="D3676" s="200"/>
    </row>
    <row r="3677" spans="2:4" x14ac:dyDescent="0.35">
      <c r="B3677" s="35">
        <v>38462</v>
      </c>
      <c r="C3677" s="34">
        <v>4178.62</v>
      </c>
      <c r="D3677" s="200"/>
    </row>
    <row r="3678" spans="2:4" x14ac:dyDescent="0.35">
      <c r="B3678" s="35">
        <v>38463</v>
      </c>
      <c r="C3678" s="34">
        <v>4193.7</v>
      </c>
      <c r="D3678" s="200"/>
    </row>
    <row r="3679" spans="2:4" x14ac:dyDescent="0.35">
      <c r="B3679" s="35">
        <v>38464</v>
      </c>
      <c r="C3679" s="34">
        <v>4223.04</v>
      </c>
      <c r="D3679" s="200"/>
    </row>
    <row r="3680" spans="2:4" x14ac:dyDescent="0.35">
      <c r="B3680" s="35">
        <v>38467</v>
      </c>
      <c r="C3680" s="34">
        <v>4246.96</v>
      </c>
      <c r="D3680" s="200"/>
    </row>
    <row r="3681" spans="2:4" x14ac:dyDescent="0.35">
      <c r="B3681" s="35">
        <v>38468</v>
      </c>
      <c r="C3681" s="34">
        <v>4233.76</v>
      </c>
      <c r="D3681" s="200"/>
    </row>
    <row r="3682" spans="2:4" x14ac:dyDescent="0.35">
      <c r="B3682" s="35">
        <v>38469</v>
      </c>
      <c r="C3682" s="34">
        <v>4189.0200000000004</v>
      </c>
      <c r="D3682" s="200"/>
    </row>
    <row r="3683" spans="2:4" x14ac:dyDescent="0.35">
      <c r="B3683" s="35">
        <v>38470</v>
      </c>
      <c r="C3683" s="34">
        <v>4178.1000000000004</v>
      </c>
      <c r="D3683" s="200"/>
    </row>
    <row r="3684" spans="2:4" x14ac:dyDescent="0.35">
      <c r="B3684" s="35">
        <v>38471</v>
      </c>
      <c r="C3684" s="34">
        <v>4184.84</v>
      </c>
      <c r="D3684" s="200"/>
    </row>
    <row r="3685" spans="2:4" x14ac:dyDescent="0.35">
      <c r="B3685" s="35">
        <v>38474</v>
      </c>
      <c r="C3685" s="34">
        <v>4224.0200000000004</v>
      </c>
      <c r="D3685" s="200"/>
    </row>
    <row r="3686" spans="2:4" x14ac:dyDescent="0.35">
      <c r="B3686" s="35">
        <v>38475</v>
      </c>
      <c r="C3686" s="34">
        <v>4245.54</v>
      </c>
      <c r="D3686" s="200"/>
    </row>
    <row r="3687" spans="2:4" x14ac:dyDescent="0.35">
      <c r="B3687" s="35">
        <v>38476</v>
      </c>
      <c r="C3687" s="34">
        <v>4264.3500000000004</v>
      </c>
      <c r="D3687" s="200"/>
    </row>
    <row r="3688" spans="2:4" x14ac:dyDescent="0.35">
      <c r="B3688" s="35">
        <v>38477</v>
      </c>
      <c r="C3688" s="34">
        <v>4299.51</v>
      </c>
      <c r="D3688" s="200"/>
    </row>
    <row r="3689" spans="2:4" x14ac:dyDescent="0.35">
      <c r="B3689" s="35">
        <v>38478</v>
      </c>
      <c r="C3689" s="34">
        <v>4311.0600000000004</v>
      </c>
      <c r="D3689" s="200"/>
    </row>
    <row r="3690" spans="2:4" x14ac:dyDescent="0.35">
      <c r="B3690" s="35">
        <v>38481</v>
      </c>
      <c r="C3690" s="34">
        <v>4292.41</v>
      </c>
      <c r="D3690" s="200"/>
    </row>
    <row r="3691" spans="2:4" x14ac:dyDescent="0.35">
      <c r="B3691" s="35">
        <v>38482</v>
      </c>
      <c r="C3691" s="34">
        <v>4251.13</v>
      </c>
      <c r="D3691" s="200"/>
    </row>
    <row r="3692" spans="2:4" x14ac:dyDescent="0.35">
      <c r="B3692" s="35">
        <v>38483</v>
      </c>
      <c r="C3692" s="34">
        <v>4244.16</v>
      </c>
      <c r="D3692" s="200"/>
    </row>
    <row r="3693" spans="2:4" x14ac:dyDescent="0.35">
      <c r="B3693" s="35">
        <v>38484</v>
      </c>
      <c r="C3693" s="34">
        <v>4267.05</v>
      </c>
      <c r="D3693" s="200"/>
    </row>
    <row r="3694" spans="2:4" x14ac:dyDescent="0.35">
      <c r="B3694" s="35">
        <v>38485</v>
      </c>
      <c r="C3694" s="34">
        <v>4275.7</v>
      </c>
      <c r="D3694" s="200"/>
    </row>
    <row r="3695" spans="2:4" x14ac:dyDescent="0.35">
      <c r="B3695" s="35">
        <v>38488</v>
      </c>
      <c r="C3695" s="34">
        <v>4262.18</v>
      </c>
      <c r="D3695" s="200"/>
    </row>
    <row r="3696" spans="2:4" x14ac:dyDescent="0.35">
      <c r="B3696" s="35">
        <v>38489</v>
      </c>
      <c r="C3696" s="34">
        <v>4251.7700000000004</v>
      </c>
      <c r="D3696" s="200"/>
    </row>
    <row r="3697" spans="2:4" x14ac:dyDescent="0.35">
      <c r="B3697" s="35">
        <v>38490</v>
      </c>
      <c r="C3697" s="34">
        <v>4324.6000000000004</v>
      </c>
      <c r="D3697" s="200"/>
    </row>
    <row r="3698" spans="2:4" x14ac:dyDescent="0.35">
      <c r="B3698" s="35">
        <v>38491</v>
      </c>
      <c r="C3698" s="34">
        <v>4360.42</v>
      </c>
      <c r="D3698" s="200"/>
    </row>
    <row r="3699" spans="2:4" x14ac:dyDescent="0.35">
      <c r="B3699" s="35">
        <v>38492</v>
      </c>
      <c r="C3699" s="34">
        <v>4360.68</v>
      </c>
      <c r="D3699" s="200"/>
    </row>
    <row r="3700" spans="2:4" x14ac:dyDescent="0.35">
      <c r="B3700" s="35">
        <v>38495</v>
      </c>
      <c r="C3700" s="34">
        <v>4406.95</v>
      </c>
      <c r="D3700" s="200"/>
    </row>
    <row r="3701" spans="2:4" x14ac:dyDescent="0.35">
      <c r="B3701" s="35">
        <v>38496</v>
      </c>
      <c r="C3701" s="34">
        <v>4396.6400000000003</v>
      </c>
      <c r="D3701" s="200"/>
    </row>
    <row r="3702" spans="2:4" x14ac:dyDescent="0.35">
      <c r="B3702" s="35">
        <v>38497</v>
      </c>
      <c r="C3702" s="34">
        <v>4389.54</v>
      </c>
      <c r="D3702" s="200"/>
    </row>
    <row r="3703" spans="2:4" x14ac:dyDescent="0.35">
      <c r="B3703" s="35">
        <v>38498</v>
      </c>
      <c r="C3703" s="34">
        <v>4436.6000000000004</v>
      </c>
      <c r="D3703" s="200"/>
    </row>
    <row r="3704" spans="2:4" x14ac:dyDescent="0.35">
      <c r="B3704" s="35">
        <v>38499</v>
      </c>
      <c r="C3704" s="34">
        <v>4444.71</v>
      </c>
      <c r="D3704" s="200"/>
    </row>
    <row r="3705" spans="2:4" x14ac:dyDescent="0.35">
      <c r="B3705" s="35">
        <v>38502</v>
      </c>
      <c r="C3705" s="34">
        <v>4480.43</v>
      </c>
      <c r="D3705" s="200"/>
    </row>
    <row r="3706" spans="2:4" x14ac:dyDescent="0.35">
      <c r="B3706" s="35">
        <v>38503</v>
      </c>
      <c r="C3706" s="34">
        <v>4460.63</v>
      </c>
      <c r="D3706" s="200"/>
    </row>
    <row r="3707" spans="2:4" x14ac:dyDescent="0.35">
      <c r="B3707" s="35">
        <v>38504</v>
      </c>
      <c r="C3707" s="34">
        <v>4527.17</v>
      </c>
      <c r="D3707" s="200"/>
    </row>
    <row r="3708" spans="2:4" x14ac:dyDescent="0.35">
      <c r="B3708" s="35">
        <v>38505</v>
      </c>
      <c r="C3708" s="34">
        <v>4532.17</v>
      </c>
      <c r="D3708" s="200"/>
    </row>
    <row r="3709" spans="2:4" x14ac:dyDescent="0.35">
      <c r="B3709" s="35">
        <v>38506</v>
      </c>
      <c r="C3709" s="34">
        <v>4510.3900000000003</v>
      </c>
      <c r="D3709" s="200"/>
    </row>
    <row r="3710" spans="2:4" x14ac:dyDescent="0.35">
      <c r="B3710" s="35">
        <v>38509</v>
      </c>
      <c r="C3710" s="34">
        <v>4497.26</v>
      </c>
      <c r="D3710" s="200"/>
    </row>
    <row r="3711" spans="2:4" x14ac:dyDescent="0.35">
      <c r="B3711" s="35">
        <v>38510</v>
      </c>
      <c r="C3711" s="34">
        <v>4566.01</v>
      </c>
      <c r="D3711" s="200"/>
    </row>
    <row r="3712" spans="2:4" x14ac:dyDescent="0.35">
      <c r="B3712" s="35">
        <v>38511</v>
      </c>
      <c r="C3712" s="34">
        <v>4557.29</v>
      </c>
      <c r="D3712" s="200"/>
    </row>
    <row r="3713" spans="2:4" x14ac:dyDescent="0.35">
      <c r="B3713" s="35">
        <v>38512</v>
      </c>
      <c r="C3713" s="34">
        <v>4562.75</v>
      </c>
      <c r="D3713" s="200"/>
    </row>
    <row r="3714" spans="2:4" x14ac:dyDescent="0.35">
      <c r="B3714" s="35">
        <v>38513</v>
      </c>
      <c r="C3714" s="34">
        <v>4586.1000000000004</v>
      </c>
      <c r="D3714" s="200"/>
    </row>
    <row r="3715" spans="2:4" x14ac:dyDescent="0.35">
      <c r="B3715" s="35">
        <v>38516</v>
      </c>
      <c r="C3715" s="34">
        <v>4599.21</v>
      </c>
      <c r="D3715" s="200"/>
    </row>
    <row r="3716" spans="2:4" x14ac:dyDescent="0.35">
      <c r="B3716" s="35">
        <v>38517</v>
      </c>
      <c r="C3716" s="34">
        <v>4591.6899999999996</v>
      </c>
      <c r="D3716" s="200"/>
    </row>
    <row r="3717" spans="2:4" x14ac:dyDescent="0.35">
      <c r="B3717" s="35">
        <v>38518</v>
      </c>
      <c r="C3717" s="34">
        <v>4548.42</v>
      </c>
      <c r="D3717" s="200"/>
    </row>
    <row r="3718" spans="2:4" x14ac:dyDescent="0.35">
      <c r="B3718" s="35">
        <v>38519</v>
      </c>
      <c r="C3718" s="34">
        <v>4579.87</v>
      </c>
      <c r="D3718" s="200"/>
    </row>
    <row r="3719" spans="2:4" x14ac:dyDescent="0.35">
      <c r="B3719" s="35">
        <v>38520</v>
      </c>
      <c r="C3719" s="34">
        <v>4604.57</v>
      </c>
      <c r="D3719" s="200"/>
    </row>
    <row r="3720" spans="2:4" x14ac:dyDescent="0.35">
      <c r="B3720" s="35">
        <v>38523</v>
      </c>
      <c r="C3720" s="34">
        <v>4586.8599999999997</v>
      </c>
      <c r="D3720" s="200"/>
    </row>
    <row r="3721" spans="2:4" x14ac:dyDescent="0.35">
      <c r="B3721" s="35">
        <v>38524</v>
      </c>
      <c r="C3721" s="34">
        <v>4608.1099999999997</v>
      </c>
      <c r="D3721" s="200"/>
    </row>
    <row r="3722" spans="2:4" x14ac:dyDescent="0.35">
      <c r="B3722" s="35">
        <v>38525</v>
      </c>
      <c r="C3722" s="34">
        <v>4619.6000000000004</v>
      </c>
      <c r="D3722" s="200"/>
    </row>
    <row r="3723" spans="2:4" x14ac:dyDescent="0.35">
      <c r="B3723" s="35">
        <v>38526</v>
      </c>
      <c r="C3723" s="34">
        <v>4627.4799999999996</v>
      </c>
      <c r="D3723" s="200"/>
    </row>
    <row r="3724" spans="2:4" x14ac:dyDescent="0.35">
      <c r="B3724" s="35">
        <v>38527</v>
      </c>
      <c r="C3724" s="34">
        <v>4566.4799999999996</v>
      </c>
      <c r="D3724" s="200"/>
    </row>
    <row r="3725" spans="2:4" x14ac:dyDescent="0.35">
      <c r="B3725" s="35">
        <v>38530</v>
      </c>
      <c r="C3725" s="34">
        <v>4523.82</v>
      </c>
      <c r="D3725" s="200"/>
    </row>
    <row r="3726" spans="2:4" x14ac:dyDescent="0.35">
      <c r="B3726" s="35">
        <v>38531</v>
      </c>
      <c r="C3726" s="34">
        <v>4557.46</v>
      </c>
      <c r="D3726" s="200"/>
    </row>
    <row r="3727" spans="2:4" x14ac:dyDescent="0.35">
      <c r="B3727" s="35">
        <v>38532</v>
      </c>
      <c r="C3727" s="34">
        <v>4583.63</v>
      </c>
      <c r="D3727" s="200"/>
    </row>
    <row r="3728" spans="2:4" x14ac:dyDescent="0.35">
      <c r="B3728" s="35">
        <v>38533</v>
      </c>
      <c r="C3728" s="34">
        <v>4586.28</v>
      </c>
      <c r="D3728" s="200"/>
    </row>
    <row r="3729" spans="2:4" x14ac:dyDescent="0.35">
      <c r="B3729" s="35">
        <v>38534</v>
      </c>
      <c r="C3729" s="34">
        <v>4617.07</v>
      </c>
      <c r="D3729" s="200"/>
    </row>
    <row r="3730" spans="2:4" x14ac:dyDescent="0.35">
      <c r="B3730" s="35">
        <v>38537</v>
      </c>
      <c r="C3730" s="34">
        <v>4623.41</v>
      </c>
      <c r="D3730" s="200"/>
    </row>
    <row r="3731" spans="2:4" x14ac:dyDescent="0.35">
      <c r="B3731" s="35">
        <v>38538</v>
      </c>
      <c r="C3731" s="34">
        <v>4603.6499999999996</v>
      </c>
      <c r="D3731" s="200"/>
    </row>
    <row r="3732" spans="2:4" x14ac:dyDescent="0.35">
      <c r="B3732" s="35">
        <v>38539</v>
      </c>
      <c r="C3732" s="34">
        <v>4615.49</v>
      </c>
      <c r="D3732" s="200"/>
    </row>
    <row r="3733" spans="2:4" x14ac:dyDescent="0.35">
      <c r="B3733" s="35">
        <v>38540</v>
      </c>
      <c r="C3733" s="34">
        <v>4530.18</v>
      </c>
      <c r="D3733" s="200"/>
    </row>
    <row r="3734" spans="2:4" x14ac:dyDescent="0.35">
      <c r="B3734" s="35">
        <v>38541</v>
      </c>
      <c r="C3734" s="34">
        <v>4597.97</v>
      </c>
      <c r="D3734" s="200"/>
    </row>
    <row r="3735" spans="2:4" x14ac:dyDescent="0.35">
      <c r="B3735" s="35">
        <v>38544</v>
      </c>
      <c r="C3735" s="34">
        <v>4663.38</v>
      </c>
      <c r="D3735" s="200"/>
    </row>
    <row r="3736" spans="2:4" x14ac:dyDescent="0.35">
      <c r="B3736" s="35">
        <v>38545</v>
      </c>
      <c r="C3736" s="34">
        <v>4653.03</v>
      </c>
      <c r="D3736" s="200"/>
    </row>
    <row r="3737" spans="2:4" x14ac:dyDescent="0.35">
      <c r="B3737" s="35">
        <v>38546</v>
      </c>
      <c r="C3737" s="34">
        <v>4679.8900000000003</v>
      </c>
      <c r="D3737" s="200"/>
    </row>
    <row r="3738" spans="2:4" x14ac:dyDescent="0.35">
      <c r="B3738" s="35">
        <v>38547</v>
      </c>
      <c r="C3738" s="34">
        <v>4699.2700000000004</v>
      </c>
      <c r="D3738" s="200"/>
    </row>
    <row r="3739" spans="2:4" x14ac:dyDescent="0.35">
      <c r="B3739" s="35">
        <v>38548</v>
      </c>
      <c r="C3739" s="34">
        <v>4712.8999999999996</v>
      </c>
      <c r="D3739" s="200"/>
    </row>
    <row r="3740" spans="2:4" x14ac:dyDescent="0.35">
      <c r="B3740" s="35">
        <v>38551</v>
      </c>
      <c r="C3740" s="34">
        <v>4719.57</v>
      </c>
      <c r="D3740" s="200"/>
    </row>
    <row r="3741" spans="2:4" x14ac:dyDescent="0.35">
      <c r="B3741" s="35">
        <v>38552</v>
      </c>
      <c r="C3741" s="34">
        <v>4770.54</v>
      </c>
      <c r="D3741" s="200"/>
    </row>
    <row r="3742" spans="2:4" x14ac:dyDescent="0.35">
      <c r="B3742" s="35">
        <v>38553</v>
      </c>
      <c r="C3742" s="34">
        <v>4784.5</v>
      </c>
      <c r="D3742" s="200"/>
    </row>
    <row r="3743" spans="2:4" x14ac:dyDescent="0.35">
      <c r="B3743" s="35">
        <v>38554</v>
      </c>
      <c r="C3743" s="34">
        <v>4829.87</v>
      </c>
      <c r="D3743" s="200"/>
    </row>
    <row r="3744" spans="2:4" x14ac:dyDescent="0.35">
      <c r="B3744" s="35">
        <v>38555</v>
      </c>
      <c r="C3744" s="34">
        <v>4836.8999999999996</v>
      </c>
      <c r="D3744" s="200"/>
    </row>
    <row r="3745" spans="2:4" x14ac:dyDescent="0.35">
      <c r="B3745" s="35">
        <v>38558</v>
      </c>
      <c r="C3745" s="34">
        <v>4842.7</v>
      </c>
      <c r="D3745" s="200"/>
    </row>
    <row r="3746" spans="2:4" x14ac:dyDescent="0.35">
      <c r="B3746" s="35">
        <v>38559</v>
      </c>
      <c r="C3746" s="34">
        <v>4843.49</v>
      </c>
      <c r="D3746" s="200"/>
    </row>
    <row r="3747" spans="2:4" x14ac:dyDescent="0.35">
      <c r="B3747" s="35">
        <v>38560</v>
      </c>
      <c r="C3747" s="34">
        <v>4855.3500000000004</v>
      </c>
      <c r="D3747" s="200"/>
    </row>
    <row r="3748" spans="2:4" x14ac:dyDescent="0.35">
      <c r="B3748" s="35">
        <v>38561</v>
      </c>
      <c r="C3748" s="34">
        <v>4892.5</v>
      </c>
      <c r="D3748" s="200"/>
    </row>
    <row r="3749" spans="2:4" x14ac:dyDescent="0.35">
      <c r="B3749" s="35">
        <v>38562</v>
      </c>
      <c r="C3749" s="34">
        <v>4886.5</v>
      </c>
      <c r="D3749" s="200"/>
    </row>
    <row r="3750" spans="2:4" x14ac:dyDescent="0.35">
      <c r="B3750" s="35">
        <v>38565</v>
      </c>
      <c r="C3750" s="34">
        <v>4890.8500000000004</v>
      </c>
      <c r="D3750" s="200"/>
    </row>
    <row r="3751" spans="2:4" x14ac:dyDescent="0.35">
      <c r="B3751" s="35">
        <v>38566</v>
      </c>
      <c r="C3751" s="34">
        <v>4932.87</v>
      </c>
      <c r="D3751" s="200"/>
    </row>
    <row r="3752" spans="2:4" x14ac:dyDescent="0.35">
      <c r="B3752" s="35">
        <v>38567</v>
      </c>
      <c r="C3752" s="34">
        <v>4923.12</v>
      </c>
      <c r="D3752" s="200"/>
    </row>
    <row r="3753" spans="2:4" x14ac:dyDescent="0.35">
      <c r="B3753" s="35">
        <v>38568</v>
      </c>
      <c r="C3753" s="34">
        <v>4874.0600000000004</v>
      </c>
      <c r="D3753" s="200"/>
    </row>
    <row r="3754" spans="2:4" x14ac:dyDescent="0.35">
      <c r="B3754" s="35">
        <v>38569</v>
      </c>
      <c r="C3754" s="34">
        <v>4827.18</v>
      </c>
      <c r="D3754" s="200"/>
    </row>
    <row r="3755" spans="2:4" x14ac:dyDescent="0.35">
      <c r="B3755" s="35">
        <v>38572</v>
      </c>
      <c r="C3755" s="34">
        <v>4837.8599999999997</v>
      </c>
      <c r="D3755" s="200"/>
    </row>
    <row r="3756" spans="2:4" x14ac:dyDescent="0.35">
      <c r="B3756" s="35">
        <v>38573</v>
      </c>
      <c r="C3756" s="34">
        <v>4909.4799999999996</v>
      </c>
      <c r="D3756" s="200"/>
    </row>
    <row r="3757" spans="2:4" x14ac:dyDescent="0.35">
      <c r="B3757" s="35">
        <v>38574</v>
      </c>
      <c r="C3757" s="34">
        <v>4990.57</v>
      </c>
      <c r="D3757" s="200"/>
    </row>
    <row r="3758" spans="2:4" x14ac:dyDescent="0.35">
      <c r="B3758" s="35">
        <v>38575</v>
      </c>
      <c r="C3758" s="34">
        <v>4953.93</v>
      </c>
      <c r="D3758" s="200"/>
    </row>
    <row r="3759" spans="2:4" x14ac:dyDescent="0.35">
      <c r="B3759" s="35">
        <v>38576</v>
      </c>
      <c r="C3759" s="34">
        <v>4937.33</v>
      </c>
      <c r="D3759" s="200"/>
    </row>
    <row r="3760" spans="2:4" x14ac:dyDescent="0.35">
      <c r="B3760" s="35">
        <v>38579</v>
      </c>
      <c r="C3760" s="34">
        <v>4922.34</v>
      </c>
      <c r="D3760" s="200"/>
    </row>
    <row r="3761" spans="2:4" x14ac:dyDescent="0.35">
      <c r="B3761" s="35">
        <v>38580</v>
      </c>
      <c r="C3761" s="34">
        <v>4883.8100000000004</v>
      </c>
      <c r="D3761" s="200"/>
    </row>
    <row r="3762" spans="2:4" x14ac:dyDescent="0.35">
      <c r="B3762" s="35">
        <v>38581</v>
      </c>
      <c r="C3762" s="34">
        <v>4871.46</v>
      </c>
      <c r="D3762" s="200"/>
    </row>
    <row r="3763" spans="2:4" x14ac:dyDescent="0.35">
      <c r="B3763" s="35">
        <v>38582</v>
      </c>
      <c r="C3763" s="34">
        <v>4851.2700000000004</v>
      </c>
      <c r="D3763" s="200"/>
    </row>
    <row r="3764" spans="2:4" x14ac:dyDescent="0.35">
      <c r="B3764" s="35">
        <v>38583</v>
      </c>
      <c r="C3764" s="34">
        <v>4929.91</v>
      </c>
      <c r="D3764" s="200"/>
    </row>
    <row r="3765" spans="2:4" x14ac:dyDescent="0.35">
      <c r="B3765" s="35">
        <v>38586</v>
      </c>
      <c r="C3765" s="34">
        <v>4941.6899999999996</v>
      </c>
      <c r="D3765" s="200"/>
    </row>
    <row r="3766" spans="2:4" x14ac:dyDescent="0.35">
      <c r="B3766" s="35">
        <v>38587</v>
      </c>
      <c r="C3766" s="34">
        <v>4917.74</v>
      </c>
      <c r="D3766" s="200"/>
    </row>
    <row r="3767" spans="2:4" x14ac:dyDescent="0.35">
      <c r="B3767" s="35">
        <v>38588</v>
      </c>
      <c r="C3767" s="34">
        <v>4915.95</v>
      </c>
      <c r="D3767" s="200"/>
    </row>
    <row r="3768" spans="2:4" x14ac:dyDescent="0.35">
      <c r="B3768" s="35">
        <v>38589</v>
      </c>
      <c r="C3768" s="34">
        <v>4856.01</v>
      </c>
      <c r="D3768" s="200"/>
    </row>
    <row r="3769" spans="2:4" x14ac:dyDescent="0.35">
      <c r="B3769" s="35">
        <v>38590</v>
      </c>
      <c r="C3769" s="34">
        <v>4783.8</v>
      </c>
      <c r="D3769" s="200"/>
    </row>
    <row r="3770" spans="2:4" x14ac:dyDescent="0.35">
      <c r="B3770" s="35">
        <v>38593</v>
      </c>
      <c r="C3770" s="34">
        <v>4812.24</v>
      </c>
      <c r="D3770" s="200"/>
    </row>
    <row r="3771" spans="2:4" x14ac:dyDescent="0.35">
      <c r="B3771" s="35">
        <v>38594</v>
      </c>
      <c r="C3771" s="34">
        <v>4791.72</v>
      </c>
      <c r="D3771" s="200"/>
    </row>
    <row r="3772" spans="2:4" x14ac:dyDescent="0.35">
      <c r="B3772" s="35">
        <v>38595</v>
      </c>
      <c r="C3772" s="34">
        <v>4829.6899999999996</v>
      </c>
      <c r="D3772" s="200"/>
    </row>
    <row r="3773" spans="2:4" x14ac:dyDescent="0.35">
      <c r="B3773" s="35">
        <v>38596</v>
      </c>
      <c r="C3773" s="34">
        <v>4842.9399999999996</v>
      </c>
      <c r="D3773" s="200"/>
    </row>
    <row r="3774" spans="2:4" x14ac:dyDescent="0.35">
      <c r="B3774" s="35">
        <v>38597</v>
      </c>
      <c r="C3774" s="34">
        <v>4837.8100000000004</v>
      </c>
      <c r="D3774" s="200"/>
    </row>
    <row r="3775" spans="2:4" x14ac:dyDescent="0.35">
      <c r="B3775" s="35">
        <v>38600</v>
      </c>
      <c r="C3775" s="34">
        <v>4909.8900000000003</v>
      </c>
      <c r="D3775" s="200"/>
    </row>
    <row r="3776" spans="2:4" x14ac:dyDescent="0.35">
      <c r="B3776" s="35">
        <v>38601</v>
      </c>
      <c r="C3776" s="34">
        <v>4968.28</v>
      </c>
      <c r="D3776" s="200"/>
    </row>
    <row r="3777" spans="2:4" x14ac:dyDescent="0.35">
      <c r="B3777" s="35">
        <v>38602</v>
      </c>
      <c r="C3777" s="34">
        <v>4988.1400000000003</v>
      </c>
      <c r="D3777" s="200"/>
    </row>
    <row r="3778" spans="2:4" x14ac:dyDescent="0.35">
      <c r="B3778" s="35">
        <v>38603</v>
      </c>
      <c r="C3778" s="34">
        <v>4992.75</v>
      </c>
      <c r="D3778" s="200"/>
    </row>
    <row r="3779" spans="2:4" x14ac:dyDescent="0.35">
      <c r="B3779" s="35">
        <v>38604</v>
      </c>
      <c r="C3779" s="34">
        <v>5005.93</v>
      </c>
      <c r="D3779" s="200"/>
    </row>
    <row r="3780" spans="2:4" x14ac:dyDescent="0.35">
      <c r="B3780" s="35">
        <v>38607</v>
      </c>
      <c r="C3780" s="34">
        <v>4989.9799999999996</v>
      </c>
      <c r="D3780" s="200"/>
    </row>
    <row r="3781" spans="2:4" x14ac:dyDescent="0.35">
      <c r="B3781" s="35">
        <v>38608</v>
      </c>
      <c r="C3781" s="34">
        <v>4901.88</v>
      </c>
      <c r="D3781" s="200"/>
    </row>
    <row r="3782" spans="2:4" x14ac:dyDescent="0.35">
      <c r="B3782" s="35">
        <v>38609</v>
      </c>
      <c r="C3782" s="34">
        <v>4911.17</v>
      </c>
      <c r="D3782" s="200"/>
    </row>
    <row r="3783" spans="2:4" x14ac:dyDescent="0.35">
      <c r="B3783" s="35">
        <v>38610</v>
      </c>
      <c r="C3783" s="34">
        <v>4905.9799999999996</v>
      </c>
      <c r="D3783" s="200"/>
    </row>
    <row r="3784" spans="2:4" x14ac:dyDescent="0.35">
      <c r="B3784" s="35">
        <v>38611</v>
      </c>
      <c r="C3784" s="34">
        <v>4986.5</v>
      </c>
      <c r="D3784" s="200"/>
    </row>
    <row r="3785" spans="2:4" x14ac:dyDescent="0.35">
      <c r="B3785" s="35">
        <v>38614</v>
      </c>
      <c r="C3785" s="34">
        <v>4926.13</v>
      </c>
      <c r="D3785" s="200"/>
    </row>
    <row r="3786" spans="2:4" x14ac:dyDescent="0.35">
      <c r="B3786" s="35">
        <v>38615</v>
      </c>
      <c r="C3786" s="34">
        <v>4962.8599999999997</v>
      </c>
      <c r="D3786" s="200"/>
    </row>
    <row r="3787" spans="2:4" x14ac:dyDescent="0.35">
      <c r="B3787" s="35">
        <v>38616</v>
      </c>
      <c r="C3787" s="34">
        <v>4875.22</v>
      </c>
      <c r="D3787" s="200"/>
    </row>
    <row r="3788" spans="2:4" x14ac:dyDescent="0.35">
      <c r="B3788" s="35">
        <v>38617</v>
      </c>
      <c r="C3788" s="34">
        <v>4849.01</v>
      </c>
      <c r="D3788" s="200"/>
    </row>
    <row r="3789" spans="2:4" x14ac:dyDescent="0.35">
      <c r="B3789" s="35">
        <v>38618</v>
      </c>
      <c r="C3789" s="34">
        <v>4882.58</v>
      </c>
      <c r="D3789" s="200"/>
    </row>
    <row r="3790" spans="2:4" x14ac:dyDescent="0.35">
      <c r="B3790" s="35">
        <v>38621</v>
      </c>
      <c r="C3790" s="34">
        <v>4998.16</v>
      </c>
      <c r="D3790" s="200"/>
    </row>
    <row r="3791" spans="2:4" x14ac:dyDescent="0.35">
      <c r="B3791" s="35">
        <v>38622</v>
      </c>
      <c r="C3791" s="34">
        <v>4965.88</v>
      </c>
      <c r="D3791" s="200"/>
    </row>
    <row r="3792" spans="2:4" x14ac:dyDescent="0.35">
      <c r="B3792" s="35">
        <v>38623</v>
      </c>
      <c r="C3792" s="34">
        <v>5048.74</v>
      </c>
      <c r="D3792" s="200"/>
    </row>
    <row r="3793" spans="2:4" x14ac:dyDescent="0.35">
      <c r="B3793" s="35">
        <v>38624</v>
      </c>
      <c r="C3793" s="34">
        <v>5021.17</v>
      </c>
      <c r="D3793" s="200"/>
    </row>
    <row r="3794" spans="2:4" x14ac:dyDescent="0.35">
      <c r="B3794" s="35">
        <v>38625</v>
      </c>
      <c r="C3794" s="34">
        <v>5044.12</v>
      </c>
      <c r="D3794" s="200"/>
    </row>
    <row r="3795" spans="2:4" x14ac:dyDescent="0.35">
      <c r="B3795" s="35">
        <v>38628</v>
      </c>
      <c r="C3795" s="34">
        <v>5082.07</v>
      </c>
      <c r="D3795" s="200"/>
    </row>
    <row r="3796" spans="2:4" x14ac:dyDescent="0.35">
      <c r="B3796" s="35">
        <v>38629</v>
      </c>
      <c r="C3796" s="34">
        <v>5138.0200000000004</v>
      </c>
      <c r="D3796" s="200"/>
    </row>
    <row r="3797" spans="2:4" x14ac:dyDescent="0.35">
      <c r="B3797" s="35">
        <v>38630</v>
      </c>
      <c r="C3797" s="34">
        <v>5069.42</v>
      </c>
      <c r="D3797" s="200"/>
    </row>
    <row r="3798" spans="2:4" x14ac:dyDescent="0.35">
      <c r="B3798" s="35">
        <v>38631</v>
      </c>
      <c r="C3798" s="34">
        <v>5017.2700000000004</v>
      </c>
      <c r="D3798" s="200"/>
    </row>
    <row r="3799" spans="2:4" x14ac:dyDescent="0.35">
      <c r="B3799" s="35">
        <v>38632</v>
      </c>
      <c r="C3799" s="34">
        <v>5007.7700000000004</v>
      </c>
      <c r="D3799" s="200"/>
    </row>
    <row r="3800" spans="2:4" x14ac:dyDescent="0.35">
      <c r="B3800" s="35">
        <v>38635</v>
      </c>
      <c r="C3800" s="34">
        <v>5022.79</v>
      </c>
      <c r="D3800" s="200"/>
    </row>
    <row r="3801" spans="2:4" x14ac:dyDescent="0.35">
      <c r="B3801" s="35">
        <v>38636</v>
      </c>
      <c r="C3801" s="34">
        <v>5032.46</v>
      </c>
      <c r="D3801" s="200"/>
    </row>
    <row r="3802" spans="2:4" x14ac:dyDescent="0.35">
      <c r="B3802" s="35">
        <v>38637</v>
      </c>
      <c r="C3802" s="34">
        <v>4981.7700000000004</v>
      </c>
      <c r="D3802" s="200"/>
    </row>
    <row r="3803" spans="2:4" x14ac:dyDescent="0.35">
      <c r="B3803" s="35">
        <v>38638</v>
      </c>
      <c r="C3803" s="34">
        <v>4950.07</v>
      </c>
      <c r="D3803" s="200"/>
    </row>
    <row r="3804" spans="2:4" x14ac:dyDescent="0.35">
      <c r="B3804" s="35">
        <v>38639</v>
      </c>
      <c r="C3804" s="34">
        <v>4975.5600000000004</v>
      </c>
      <c r="D3804" s="200"/>
    </row>
    <row r="3805" spans="2:4" x14ac:dyDescent="0.35">
      <c r="B3805" s="35">
        <v>38642</v>
      </c>
      <c r="C3805" s="34">
        <v>4978.83</v>
      </c>
      <c r="D3805" s="200"/>
    </row>
    <row r="3806" spans="2:4" x14ac:dyDescent="0.35">
      <c r="B3806" s="35">
        <v>38643</v>
      </c>
      <c r="C3806" s="34">
        <v>4947.18</v>
      </c>
      <c r="D3806" s="200"/>
    </row>
    <row r="3807" spans="2:4" x14ac:dyDescent="0.35">
      <c r="B3807" s="35">
        <v>38644</v>
      </c>
      <c r="C3807" s="34">
        <v>4845.9799999999996</v>
      </c>
      <c r="D3807" s="200"/>
    </row>
    <row r="3808" spans="2:4" x14ac:dyDescent="0.35">
      <c r="B3808" s="35">
        <v>38645</v>
      </c>
      <c r="C3808" s="34">
        <v>4864.25</v>
      </c>
      <c r="D3808" s="200"/>
    </row>
    <row r="3809" spans="2:4" x14ac:dyDescent="0.35">
      <c r="B3809" s="35">
        <v>38646</v>
      </c>
      <c r="C3809" s="34">
        <v>4838.3999999999996</v>
      </c>
      <c r="D3809" s="200"/>
    </row>
    <row r="3810" spans="2:4" x14ac:dyDescent="0.35">
      <c r="B3810" s="35">
        <v>38649</v>
      </c>
      <c r="C3810" s="34">
        <v>4901.79</v>
      </c>
      <c r="D3810" s="200"/>
    </row>
    <row r="3811" spans="2:4" x14ac:dyDescent="0.35">
      <c r="B3811" s="35">
        <v>38650</v>
      </c>
      <c r="C3811" s="34">
        <v>4872.97</v>
      </c>
      <c r="D3811" s="200"/>
    </row>
    <row r="3812" spans="2:4" x14ac:dyDescent="0.35">
      <c r="B3812" s="35">
        <v>38651</v>
      </c>
      <c r="C3812" s="34">
        <v>4900.79</v>
      </c>
      <c r="D3812" s="200"/>
    </row>
    <row r="3813" spans="2:4" x14ac:dyDescent="0.35">
      <c r="B3813" s="35">
        <v>38652</v>
      </c>
      <c r="C3813" s="34">
        <v>4806.05</v>
      </c>
      <c r="D3813" s="200"/>
    </row>
    <row r="3814" spans="2:4" x14ac:dyDescent="0.35">
      <c r="B3814" s="35">
        <v>38653</v>
      </c>
      <c r="C3814" s="34">
        <v>4825.6400000000003</v>
      </c>
      <c r="D3814" s="200"/>
    </row>
    <row r="3815" spans="2:4" x14ac:dyDescent="0.35">
      <c r="B3815" s="35">
        <v>38656</v>
      </c>
      <c r="C3815" s="34">
        <v>4929.07</v>
      </c>
      <c r="D3815" s="200"/>
    </row>
    <row r="3816" spans="2:4" x14ac:dyDescent="0.35">
      <c r="B3816" s="35">
        <v>38657</v>
      </c>
      <c r="C3816" s="34">
        <v>4922.55</v>
      </c>
      <c r="D3816" s="200"/>
    </row>
    <row r="3817" spans="2:4" x14ac:dyDescent="0.35">
      <c r="B3817" s="35">
        <v>38658</v>
      </c>
      <c r="C3817" s="34">
        <v>4954.83</v>
      </c>
      <c r="D3817" s="200"/>
    </row>
    <row r="3818" spans="2:4" x14ac:dyDescent="0.35">
      <c r="B3818" s="35">
        <v>38659</v>
      </c>
      <c r="C3818" s="34">
        <v>5011</v>
      </c>
      <c r="D3818" s="200"/>
    </row>
    <row r="3819" spans="2:4" x14ac:dyDescent="0.35">
      <c r="B3819" s="35">
        <v>38660</v>
      </c>
      <c r="C3819" s="34">
        <v>4995.24</v>
      </c>
      <c r="D3819" s="200"/>
    </row>
    <row r="3820" spans="2:4" x14ac:dyDescent="0.35">
      <c r="B3820" s="35">
        <v>38663</v>
      </c>
      <c r="C3820" s="34">
        <v>5024.2</v>
      </c>
      <c r="D3820" s="200"/>
    </row>
    <row r="3821" spans="2:4" x14ac:dyDescent="0.35">
      <c r="B3821" s="35">
        <v>38664</v>
      </c>
      <c r="C3821" s="34">
        <v>5008.83</v>
      </c>
      <c r="D3821" s="200"/>
    </row>
    <row r="3822" spans="2:4" x14ac:dyDescent="0.35">
      <c r="B3822" s="35">
        <v>38665</v>
      </c>
      <c r="C3822" s="34">
        <v>5011.38</v>
      </c>
      <c r="D3822" s="200"/>
    </row>
    <row r="3823" spans="2:4" x14ac:dyDescent="0.35">
      <c r="B3823" s="35">
        <v>38666</v>
      </c>
      <c r="C3823" s="34">
        <v>5015.55</v>
      </c>
      <c r="D3823" s="200"/>
    </row>
    <row r="3824" spans="2:4" x14ac:dyDescent="0.35">
      <c r="B3824" s="35">
        <v>38667</v>
      </c>
      <c r="C3824" s="34">
        <v>5090.75</v>
      </c>
      <c r="D3824" s="200"/>
    </row>
    <row r="3825" spans="2:4" x14ac:dyDescent="0.35">
      <c r="B3825" s="35">
        <v>38670</v>
      </c>
      <c r="C3825" s="34">
        <v>5092.43</v>
      </c>
      <c r="D3825" s="200"/>
    </row>
    <row r="3826" spans="2:4" x14ac:dyDescent="0.35">
      <c r="B3826" s="35">
        <v>38671</v>
      </c>
      <c r="C3826" s="34">
        <v>5110.6099999999997</v>
      </c>
      <c r="D3826" s="200"/>
    </row>
    <row r="3827" spans="2:4" x14ac:dyDescent="0.35">
      <c r="B3827" s="35">
        <v>38672</v>
      </c>
      <c r="C3827" s="34">
        <v>5081.46</v>
      </c>
      <c r="D3827" s="200"/>
    </row>
    <row r="3828" spans="2:4" x14ac:dyDescent="0.35">
      <c r="B3828" s="35">
        <v>38673</v>
      </c>
      <c r="C3828" s="34">
        <v>5099.72</v>
      </c>
      <c r="D3828" s="200"/>
    </row>
    <row r="3829" spans="2:4" x14ac:dyDescent="0.35">
      <c r="B3829" s="35">
        <v>38674</v>
      </c>
      <c r="C3829" s="34">
        <v>5123.5</v>
      </c>
      <c r="D3829" s="200"/>
    </row>
    <row r="3830" spans="2:4" x14ac:dyDescent="0.35">
      <c r="B3830" s="35">
        <v>38677</v>
      </c>
      <c r="C3830" s="34">
        <v>5170.6099999999997</v>
      </c>
      <c r="D3830" s="200"/>
    </row>
    <row r="3831" spans="2:4" x14ac:dyDescent="0.35">
      <c r="B3831" s="35">
        <v>38678</v>
      </c>
      <c r="C3831" s="34">
        <v>5174.72</v>
      </c>
      <c r="D3831" s="200"/>
    </row>
    <row r="3832" spans="2:4" x14ac:dyDescent="0.35">
      <c r="B3832" s="35">
        <v>38679</v>
      </c>
      <c r="C3832" s="34">
        <v>5196.08</v>
      </c>
      <c r="D3832" s="200"/>
    </row>
    <row r="3833" spans="2:4" x14ac:dyDescent="0.35">
      <c r="B3833" s="35">
        <v>38680</v>
      </c>
      <c r="C3833" s="34">
        <v>5187.9799999999996</v>
      </c>
      <c r="D3833" s="200"/>
    </row>
    <row r="3834" spans="2:4" x14ac:dyDescent="0.35">
      <c r="B3834" s="35">
        <v>38681</v>
      </c>
      <c r="C3834" s="34">
        <v>5194.2700000000004</v>
      </c>
      <c r="D3834" s="200"/>
    </row>
    <row r="3835" spans="2:4" x14ac:dyDescent="0.35">
      <c r="B3835" s="35">
        <v>38684</v>
      </c>
      <c r="C3835" s="34">
        <v>5176.59</v>
      </c>
      <c r="D3835" s="200"/>
    </row>
    <row r="3836" spans="2:4" x14ac:dyDescent="0.35">
      <c r="B3836" s="35">
        <v>38685</v>
      </c>
      <c r="C3836" s="34">
        <v>5199.4799999999996</v>
      </c>
      <c r="D3836" s="200"/>
    </row>
    <row r="3837" spans="2:4" x14ac:dyDescent="0.35">
      <c r="B3837" s="35">
        <v>38686</v>
      </c>
      <c r="C3837" s="34">
        <v>5193.3999999999996</v>
      </c>
      <c r="D3837" s="200"/>
    </row>
    <row r="3838" spans="2:4" x14ac:dyDescent="0.35">
      <c r="B3838" s="35">
        <v>38687</v>
      </c>
      <c r="C3838" s="34">
        <v>5266.55</v>
      </c>
      <c r="D3838" s="200"/>
    </row>
    <row r="3839" spans="2:4" x14ac:dyDescent="0.35">
      <c r="B3839" s="35">
        <v>38688</v>
      </c>
      <c r="C3839" s="34">
        <v>5307.99</v>
      </c>
      <c r="D3839" s="200"/>
    </row>
    <row r="3840" spans="2:4" x14ac:dyDescent="0.35">
      <c r="B3840" s="35">
        <v>38691</v>
      </c>
      <c r="C3840" s="34">
        <v>5266.86</v>
      </c>
      <c r="D3840" s="200"/>
    </row>
    <row r="3841" spans="2:4" x14ac:dyDescent="0.35">
      <c r="B3841" s="35">
        <v>38692</v>
      </c>
      <c r="C3841" s="34">
        <v>5300.85</v>
      </c>
      <c r="D3841" s="200"/>
    </row>
    <row r="3842" spans="2:4" x14ac:dyDescent="0.35">
      <c r="B3842" s="35">
        <v>38693</v>
      </c>
      <c r="C3842" s="34">
        <v>5266.75</v>
      </c>
      <c r="D3842" s="200"/>
    </row>
    <row r="3843" spans="2:4" x14ac:dyDescent="0.35">
      <c r="B3843" s="35">
        <v>38694</v>
      </c>
      <c r="C3843" s="34">
        <v>5286.75</v>
      </c>
      <c r="D3843" s="200"/>
    </row>
    <row r="3844" spans="2:4" x14ac:dyDescent="0.35">
      <c r="B3844" s="35">
        <v>38695</v>
      </c>
      <c r="C3844" s="34">
        <v>5282.13</v>
      </c>
      <c r="D3844" s="200"/>
    </row>
    <row r="3845" spans="2:4" x14ac:dyDescent="0.35">
      <c r="B3845" s="35">
        <v>38698</v>
      </c>
      <c r="C3845" s="34">
        <v>5301.21</v>
      </c>
      <c r="D3845" s="200"/>
    </row>
    <row r="3846" spans="2:4" x14ac:dyDescent="0.35">
      <c r="B3846" s="35">
        <v>38699</v>
      </c>
      <c r="C3846" s="34">
        <v>5310.28</v>
      </c>
      <c r="D3846" s="200"/>
    </row>
    <row r="3847" spans="2:4" x14ac:dyDescent="0.35">
      <c r="B3847" s="35">
        <v>38700</v>
      </c>
      <c r="C3847" s="34">
        <v>5286.76</v>
      </c>
      <c r="D3847" s="200"/>
    </row>
    <row r="3848" spans="2:4" x14ac:dyDescent="0.35">
      <c r="B3848" s="35">
        <v>38701</v>
      </c>
      <c r="C3848" s="34">
        <v>5295.82</v>
      </c>
      <c r="D3848" s="200"/>
    </row>
    <row r="3849" spans="2:4" x14ac:dyDescent="0.35">
      <c r="B3849" s="35">
        <v>38702</v>
      </c>
      <c r="C3849" s="34">
        <v>5353.66</v>
      </c>
      <c r="D3849" s="200"/>
    </row>
    <row r="3850" spans="2:4" x14ac:dyDescent="0.35">
      <c r="B3850" s="35">
        <v>38705</v>
      </c>
      <c r="C3850" s="34">
        <v>5350.18</v>
      </c>
      <c r="D3850" s="200"/>
    </row>
    <row r="3851" spans="2:4" x14ac:dyDescent="0.35">
      <c r="B3851" s="35">
        <v>38706</v>
      </c>
      <c r="C3851" s="34">
        <v>5356.6</v>
      </c>
      <c r="D3851" s="200"/>
    </row>
    <row r="3852" spans="2:4" x14ac:dyDescent="0.35">
      <c r="B3852" s="35">
        <v>38707</v>
      </c>
      <c r="C3852" s="34">
        <v>5397.23</v>
      </c>
      <c r="D3852" s="200"/>
    </row>
    <row r="3853" spans="2:4" x14ac:dyDescent="0.35">
      <c r="B3853" s="35">
        <v>38708</v>
      </c>
      <c r="C3853" s="34">
        <v>5398.28</v>
      </c>
      <c r="D3853" s="200"/>
    </row>
    <row r="3854" spans="2:4" x14ac:dyDescent="0.35">
      <c r="B3854" s="35">
        <v>38709</v>
      </c>
      <c r="C3854" s="34">
        <v>5419.05</v>
      </c>
      <c r="D3854" s="200"/>
    </row>
    <row r="3855" spans="2:4" x14ac:dyDescent="0.35">
      <c r="B3855" s="35">
        <v>38713</v>
      </c>
      <c r="C3855" s="34">
        <v>5444.84</v>
      </c>
      <c r="D3855" s="200"/>
    </row>
    <row r="3856" spans="2:4" x14ac:dyDescent="0.35">
      <c r="B3856" s="35">
        <v>38714</v>
      </c>
      <c r="C3856" s="34">
        <v>5447.15</v>
      </c>
      <c r="D3856" s="200"/>
    </row>
    <row r="3857" spans="2:4" x14ac:dyDescent="0.35">
      <c r="B3857" s="35">
        <v>38715</v>
      </c>
      <c r="C3857" s="34">
        <v>5458.58</v>
      </c>
      <c r="D3857" s="200"/>
    </row>
    <row r="3858" spans="2:4" x14ac:dyDescent="0.35">
      <c r="B3858" s="35">
        <v>38716</v>
      </c>
      <c r="C3858" s="34">
        <v>5408.26</v>
      </c>
      <c r="D3858" s="200"/>
    </row>
    <row r="3859" spans="2:4" x14ac:dyDescent="0.35">
      <c r="B3859" s="35">
        <v>38719</v>
      </c>
      <c r="C3859" s="34">
        <v>5449.98</v>
      </c>
      <c r="D3859" s="200"/>
    </row>
    <row r="3860" spans="2:4" x14ac:dyDescent="0.35">
      <c r="B3860" s="35">
        <v>38720</v>
      </c>
      <c r="C3860" s="34">
        <v>5460.68</v>
      </c>
      <c r="D3860" s="200"/>
    </row>
    <row r="3861" spans="2:4" x14ac:dyDescent="0.35">
      <c r="B3861" s="35">
        <v>38721</v>
      </c>
      <c r="C3861" s="34">
        <v>5523.62</v>
      </c>
      <c r="D3861" s="200"/>
    </row>
    <row r="3862" spans="2:4" x14ac:dyDescent="0.35">
      <c r="B3862" s="35">
        <v>38722</v>
      </c>
      <c r="C3862" s="34">
        <v>5516.53</v>
      </c>
      <c r="D3862" s="200"/>
    </row>
    <row r="3863" spans="2:4" x14ac:dyDescent="0.35">
      <c r="B3863" s="35">
        <v>38723</v>
      </c>
      <c r="C3863" s="34">
        <v>5536.32</v>
      </c>
      <c r="D3863" s="200"/>
    </row>
    <row r="3864" spans="2:4" x14ac:dyDescent="0.35">
      <c r="B3864" s="35">
        <v>38726</v>
      </c>
      <c r="C3864" s="34">
        <v>5537.11</v>
      </c>
      <c r="D3864" s="200"/>
    </row>
    <row r="3865" spans="2:4" x14ac:dyDescent="0.35">
      <c r="B3865" s="35">
        <v>38727</v>
      </c>
      <c r="C3865" s="34">
        <v>5494.71</v>
      </c>
      <c r="D3865" s="200"/>
    </row>
    <row r="3866" spans="2:4" x14ac:dyDescent="0.35">
      <c r="B3866" s="35">
        <v>38728</v>
      </c>
      <c r="C3866" s="34">
        <v>5532.89</v>
      </c>
      <c r="D3866" s="200"/>
    </row>
    <row r="3867" spans="2:4" x14ac:dyDescent="0.35">
      <c r="B3867" s="35">
        <v>38729</v>
      </c>
      <c r="C3867" s="34">
        <v>5542.13</v>
      </c>
      <c r="D3867" s="200"/>
    </row>
    <row r="3868" spans="2:4" x14ac:dyDescent="0.35">
      <c r="B3868" s="35">
        <v>38730</v>
      </c>
      <c r="C3868" s="34">
        <v>5483.09</v>
      </c>
      <c r="D3868" s="200"/>
    </row>
    <row r="3869" spans="2:4" x14ac:dyDescent="0.35">
      <c r="B3869" s="35">
        <v>38733</v>
      </c>
      <c r="C3869" s="34">
        <v>5514.64</v>
      </c>
      <c r="D3869" s="200"/>
    </row>
    <row r="3870" spans="2:4" x14ac:dyDescent="0.35">
      <c r="B3870" s="35">
        <v>38734</v>
      </c>
      <c r="C3870" s="34">
        <v>5460.16</v>
      </c>
      <c r="D3870" s="200"/>
    </row>
    <row r="3871" spans="2:4" x14ac:dyDescent="0.35">
      <c r="B3871" s="35">
        <v>38735</v>
      </c>
      <c r="C3871" s="34">
        <v>5395.61</v>
      </c>
      <c r="D3871" s="200"/>
    </row>
    <row r="3872" spans="2:4" x14ac:dyDescent="0.35">
      <c r="B3872" s="35">
        <v>38736</v>
      </c>
      <c r="C3872" s="34">
        <v>5430.84</v>
      </c>
      <c r="D3872" s="200"/>
    </row>
    <row r="3873" spans="2:4" x14ac:dyDescent="0.35">
      <c r="B3873" s="35">
        <v>38737</v>
      </c>
      <c r="C3873" s="34">
        <v>5349.02</v>
      </c>
      <c r="D3873" s="200"/>
    </row>
    <row r="3874" spans="2:4" x14ac:dyDescent="0.35">
      <c r="B3874" s="35">
        <v>38740</v>
      </c>
      <c r="C3874" s="34">
        <v>5348.72</v>
      </c>
      <c r="D3874" s="200"/>
    </row>
    <row r="3875" spans="2:4" x14ac:dyDescent="0.35">
      <c r="B3875" s="35">
        <v>38741</v>
      </c>
      <c r="C3875" s="34">
        <v>5334.3</v>
      </c>
      <c r="D3875" s="200"/>
    </row>
    <row r="3876" spans="2:4" x14ac:dyDescent="0.35">
      <c r="B3876" s="35">
        <v>38742</v>
      </c>
      <c r="C3876" s="34">
        <v>5427.09</v>
      </c>
      <c r="D3876" s="200"/>
    </row>
    <row r="3877" spans="2:4" x14ac:dyDescent="0.35">
      <c r="B3877" s="35">
        <v>38743</v>
      </c>
      <c r="C3877" s="34">
        <v>5548.91</v>
      </c>
      <c r="D3877" s="200"/>
    </row>
    <row r="3878" spans="2:4" x14ac:dyDescent="0.35">
      <c r="B3878" s="35">
        <v>38744</v>
      </c>
      <c r="C3878" s="34">
        <v>5647.42</v>
      </c>
      <c r="D3878" s="200"/>
    </row>
    <row r="3879" spans="2:4" x14ac:dyDescent="0.35">
      <c r="B3879" s="35">
        <v>38747</v>
      </c>
      <c r="C3879" s="34">
        <v>5660.03</v>
      </c>
      <c r="D3879" s="200"/>
    </row>
    <row r="3880" spans="2:4" x14ac:dyDescent="0.35">
      <c r="B3880" s="35">
        <v>38748</v>
      </c>
      <c r="C3880" s="34">
        <v>5674.15</v>
      </c>
      <c r="D3880" s="200"/>
    </row>
    <row r="3881" spans="2:4" x14ac:dyDescent="0.35">
      <c r="B3881" s="35">
        <v>38749</v>
      </c>
      <c r="C3881" s="34">
        <v>5726.53</v>
      </c>
      <c r="D3881" s="200"/>
    </row>
    <row r="3882" spans="2:4" x14ac:dyDescent="0.35">
      <c r="B3882" s="35">
        <v>38750</v>
      </c>
      <c r="C3882" s="34">
        <v>5649.6</v>
      </c>
      <c r="D3882" s="200"/>
    </row>
    <row r="3883" spans="2:4" x14ac:dyDescent="0.35">
      <c r="B3883" s="35">
        <v>38751</v>
      </c>
      <c r="C3883" s="34">
        <v>5657.12</v>
      </c>
      <c r="D3883" s="200"/>
    </row>
    <row r="3884" spans="2:4" x14ac:dyDescent="0.35">
      <c r="B3884" s="35">
        <v>38754</v>
      </c>
      <c r="C3884" s="34">
        <v>5666.78</v>
      </c>
      <c r="D3884" s="200"/>
    </row>
    <row r="3885" spans="2:4" x14ac:dyDescent="0.35">
      <c r="B3885" s="35">
        <v>38755</v>
      </c>
      <c r="C3885" s="34">
        <v>5672.92</v>
      </c>
      <c r="D3885" s="200"/>
    </row>
    <row r="3886" spans="2:4" x14ac:dyDescent="0.35">
      <c r="B3886" s="35">
        <v>38756</v>
      </c>
      <c r="C3886" s="34">
        <v>5666.41</v>
      </c>
      <c r="D3886" s="200"/>
    </row>
    <row r="3887" spans="2:4" x14ac:dyDescent="0.35">
      <c r="B3887" s="35">
        <v>38757</v>
      </c>
      <c r="C3887" s="34">
        <v>5743.68</v>
      </c>
      <c r="D3887" s="200"/>
    </row>
    <row r="3888" spans="2:4" x14ac:dyDescent="0.35">
      <c r="B3888" s="35">
        <v>38758</v>
      </c>
      <c r="C3888" s="34">
        <v>5701.47</v>
      </c>
      <c r="D3888" s="200"/>
    </row>
    <row r="3889" spans="2:4" x14ac:dyDescent="0.35">
      <c r="B3889" s="35">
        <v>38761</v>
      </c>
      <c r="C3889" s="34">
        <v>5756.33</v>
      </c>
      <c r="D3889" s="200"/>
    </row>
    <row r="3890" spans="2:4" x14ac:dyDescent="0.35">
      <c r="B3890" s="35">
        <v>38762</v>
      </c>
      <c r="C3890" s="34">
        <v>5763.4</v>
      </c>
      <c r="D3890" s="200"/>
    </row>
    <row r="3891" spans="2:4" x14ac:dyDescent="0.35">
      <c r="B3891" s="35">
        <v>38763</v>
      </c>
      <c r="C3891" s="34">
        <v>5764.37</v>
      </c>
      <c r="D3891" s="200"/>
    </row>
    <row r="3892" spans="2:4" x14ac:dyDescent="0.35">
      <c r="B3892" s="35">
        <v>38764</v>
      </c>
      <c r="C3892" s="34">
        <v>5789.25</v>
      </c>
      <c r="D3892" s="200"/>
    </row>
    <row r="3893" spans="2:4" x14ac:dyDescent="0.35">
      <c r="B3893" s="35">
        <v>38765</v>
      </c>
      <c r="C3893" s="34">
        <v>5795.48</v>
      </c>
      <c r="D3893" s="200"/>
    </row>
    <row r="3894" spans="2:4" x14ac:dyDescent="0.35">
      <c r="B3894" s="35">
        <v>38768</v>
      </c>
      <c r="C3894" s="34">
        <v>5793.95</v>
      </c>
      <c r="D3894" s="200"/>
    </row>
    <row r="3895" spans="2:4" x14ac:dyDescent="0.35">
      <c r="B3895" s="35">
        <v>38769</v>
      </c>
      <c r="C3895" s="34">
        <v>5801.04</v>
      </c>
      <c r="D3895" s="200"/>
    </row>
    <row r="3896" spans="2:4" x14ac:dyDescent="0.35">
      <c r="B3896" s="35">
        <v>38770</v>
      </c>
      <c r="C3896" s="34">
        <v>5862.06</v>
      </c>
      <c r="D3896" s="200"/>
    </row>
    <row r="3897" spans="2:4" x14ac:dyDescent="0.35">
      <c r="B3897" s="35">
        <v>38771</v>
      </c>
      <c r="C3897" s="34">
        <v>5857.88</v>
      </c>
      <c r="D3897" s="200"/>
    </row>
    <row r="3898" spans="2:4" x14ac:dyDescent="0.35">
      <c r="B3898" s="35">
        <v>38772</v>
      </c>
      <c r="C3898" s="34">
        <v>5870.79</v>
      </c>
      <c r="D3898" s="200"/>
    </row>
    <row r="3899" spans="2:4" x14ac:dyDescent="0.35">
      <c r="B3899" s="35">
        <v>38775</v>
      </c>
      <c r="C3899" s="34">
        <v>5915.15</v>
      </c>
      <c r="D3899" s="200"/>
    </row>
    <row r="3900" spans="2:4" x14ac:dyDescent="0.35">
      <c r="B3900" s="35">
        <v>38776</v>
      </c>
      <c r="C3900" s="34">
        <v>5796.04</v>
      </c>
      <c r="D3900" s="200"/>
    </row>
    <row r="3901" spans="2:4" x14ac:dyDescent="0.35">
      <c r="B3901" s="35">
        <v>38777</v>
      </c>
      <c r="C3901" s="34">
        <v>5866.61</v>
      </c>
      <c r="D3901" s="200"/>
    </row>
    <row r="3902" spans="2:4" x14ac:dyDescent="0.35">
      <c r="B3902" s="35">
        <v>38778</v>
      </c>
      <c r="C3902" s="34">
        <v>5783.49</v>
      </c>
      <c r="D3902" s="200"/>
    </row>
    <row r="3903" spans="2:4" x14ac:dyDescent="0.35">
      <c r="B3903" s="35">
        <v>38779</v>
      </c>
      <c r="C3903" s="34">
        <v>5721.46</v>
      </c>
      <c r="D3903" s="200"/>
    </row>
    <row r="3904" spans="2:4" x14ac:dyDescent="0.35">
      <c r="B3904" s="35">
        <v>38782</v>
      </c>
      <c r="C3904" s="34">
        <v>5754.06</v>
      </c>
      <c r="D3904" s="200"/>
    </row>
    <row r="3905" spans="2:4" x14ac:dyDescent="0.35">
      <c r="B3905" s="35">
        <v>38783</v>
      </c>
      <c r="C3905" s="34">
        <v>5739.28</v>
      </c>
      <c r="D3905" s="200"/>
    </row>
    <row r="3906" spans="2:4" x14ac:dyDescent="0.35">
      <c r="B3906" s="35">
        <v>38784</v>
      </c>
      <c r="C3906" s="34">
        <v>5673.36</v>
      </c>
      <c r="D3906" s="200"/>
    </row>
    <row r="3907" spans="2:4" x14ac:dyDescent="0.35">
      <c r="B3907" s="35">
        <v>38785</v>
      </c>
      <c r="C3907" s="34">
        <v>5732.22</v>
      </c>
      <c r="D3907" s="200"/>
    </row>
    <row r="3908" spans="2:4" x14ac:dyDescent="0.35">
      <c r="B3908" s="35">
        <v>38786</v>
      </c>
      <c r="C3908" s="34">
        <v>5804.92</v>
      </c>
      <c r="D3908" s="200"/>
    </row>
    <row r="3909" spans="2:4" x14ac:dyDescent="0.35">
      <c r="B3909" s="35">
        <v>38789</v>
      </c>
      <c r="C3909" s="34">
        <v>5855.16</v>
      </c>
      <c r="D3909" s="200"/>
    </row>
    <row r="3910" spans="2:4" x14ac:dyDescent="0.35">
      <c r="B3910" s="35">
        <v>38790</v>
      </c>
      <c r="C3910" s="34">
        <v>5870.88</v>
      </c>
      <c r="D3910" s="200"/>
    </row>
    <row r="3911" spans="2:4" x14ac:dyDescent="0.35">
      <c r="B3911" s="35">
        <v>38791</v>
      </c>
      <c r="C3911" s="34">
        <v>5898.48</v>
      </c>
      <c r="D3911" s="200"/>
    </row>
    <row r="3912" spans="2:4" x14ac:dyDescent="0.35">
      <c r="B3912" s="35">
        <v>38792</v>
      </c>
      <c r="C3912" s="34">
        <v>5897.79</v>
      </c>
      <c r="D3912" s="200"/>
    </row>
    <row r="3913" spans="2:4" x14ac:dyDescent="0.35">
      <c r="B3913" s="35">
        <v>38793</v>
      </c>
      <c r="C3913" s="34">
        <v>5882.38</v>
      </c>
      <c r="D3913" s="200"/>
    </row>
    <row r="3914" spans="2:4" x14ac:dyDescent="0.35">
      <c r="B3914" s="35">
        <v>38796</v>
      </c>
      <c r="C3914" s="34">
        <v>5902.79</v>
      </c>
      <c r="D3914" s="200"/>
    </row>
    <row r="3915" spans="2:4" x14ac:dyDescent="0.35">
      <c r="B3915" s="35">
        <v>38797</v>
      </c>
      <c r="C3915" s="34">
        <v>5911.86</v>
      </c>
      <c r="D3915" s="200"/>
    </row>
    <row r="3916" spans="2:4" x14ac:dyDescent="0.35">
      <c r="B3916" s="35">
        <v>38798</v>
      </c>
      <c r="C3916" s="34">
        <v>5932.31</v>
      </c>
      <c r="D3916" s="200"/>
    </row>
    <row r="3917" spans="2:4" x14ac:dyDescent="0.35">
      <c r="B3917" s="35">
        <v>38799</v>
      </c>
      <c r="C3917" s="34">
        <v>5947.11</v>
      </c>
      <c r="D3917" s="200"/>
    </row>
    <row r="3918" spans="2:4" x14ac:dyDescent="0.35">
      <c r="B3918" s="35">
        <v>38800</v>
      </c>
      <c r="C3918" s="34">
        <v>5973.14</v>
      </c>
      <c r="D3918" s="200"/>
    </row>
    <row r="3919" spans="2:4" x14ac:dyDescent="0.35">
      <c r="B3919" s="35">
        <v>38803</v>
      </c>
      <c r="C3919" s="34">
        <v>5912.26</v>
      </c>
      <c r="D3919" s="200"/>
    </row>
    <row r="3920" spans="2:4" x14ac:dyDescent="0.35">
      <c r="B3920" s="35">
        <v>38804</v>
      </c>
      <c r="C3920" s="34">
        <v>5890.63</v>
      </c>
      <c r="D3920" s="200"/>
    </row>
    <row r="3921" spans="2:4" x14ac:dyDescent="0.35">
      <c r="B3921" s="35">
        <v>38805</v>
      </c>
      <c r="C3921" s="34">
        <v>5914.78</v>
      </c>
      <c r="D3921" s="200"/>
    </row>
    <row r="3922" spans="2:4" x14ac:dyDescent="0.35">
      <c r="B3922" s="35">
        <v>38806</v>
      </c>
      <c r="C3922" s="34">
        <v>5984.19</v>
      </c>
      <c r="D3922" s="200"/>
    </row>
    <row r="3923" spans="2:4" x14ac:dyDescent="0.35">
      <c r="B3923" s="35">
        <v>38807</v>
      </c>
      <c r="C3923" s="34">
        <v>5970.08</v>
      </c>
      <c r="D3923" s="200"/>
    </row>
    <row r="3924" spans="2:4" x14ac:dyDescent="0.35">
      <c r="B3924" s="35">
        <v>38810</v>
      </c>
      <c r="C3924" s="34">
        <v>6024.05</v>
      </c>
      <c r="D3924" s="200"/>
    </row>
    <row r="3925" spans="2:4" x14ac:dyDescent="0.35">
      <c r="B3925" s="35">
        <v>38811</v>
      </c>
      <c r="C3925" s="34">
        <v>6013.85</v>
      </c>
      <c r="D3925" s="200"/>
    </row>
    <row r="3926" spans="2:4" x14ac:dyDescent="0.35">
      <c r="B3926" s="35">
        <v>38812</v>
      </c>
      <c r="C3926" s="34">
        <v>6029.2</v>
      </c>
      <c r="D3926" s="200"/>
    </row>
    <row r="3927" spans="2:4" x14ac:dyDescent="0.35">
      <c r="B3927" s="35">
        <v>38813</v>
      </c>
      <c r="C3927" s="34">
        <v>6031.39</v>
      </c>
      <c r="D3927" s="200"/>
    </row>
    <row r="3928" spans="2:4" x14ac:dyDescent="0.35">
      <c r="B3928" s="35">
        <v>38814</v>
      </c>
      <c r="C3928" s="34">
        <v>5952.92</v>
      </c>
      <c r="D3928" s="200"/>
    </row>
    <row r="3929" spans="2:4" x14ac:dyDescent="0.35">
      <c r="B3929" s="35">
        <v>38817</v>
      </c>
      <c r="C3929" s="34">
        <v>6003.4</v>
      </c>
      <c r="D3929" s="200"/>
    </row>
    <row r="3930" spans="2:4" x14ac:dyDescent="0.35">
      <c r="B3930" s="35">
        <v>38818</v>
      </c>
      <c r="C3930" s="34">
        <v>5908.47</v>
      </c>
      <c r="D3930" s="200"/>
    </row>
    <row r="3931" spans="2:4" x14ac:dyDescent="0.35">
      <c r="B3931" s="35">
        <v>38819</v>
      </c>
      <c r="C3931" s="34">
        <v>5901.25</v>
      </c>
      <c r="D3931" s="200"/>
    </row>
    <row r="3932" spans="2:4" x14ac:dyDescent="0.35">
      <c r="B3932" s="35">
        <v>38820</v>
      </c>
      <c r="C3932" s="34">
        <v>5918.57</v>
      </c>
      <c r="D3932" s="200"/>
    </row>
    <row r="3933" spans="2:4" x14ac:dyDescent="0.35">
      <c r="B3933" s="35">
        <v>38825</v>
      </c>
      <c r="C3933" s="34">
        <v>5902.58</v>
      </c>
      <c r="D3933" s="200"/>
    </row>
    <row r="3934" spans="2:4" x14ac:dyDescent="0.35">
      <c r="B3934" s="35">
        <v>38826</v>
      </c>
      <c r="C3934" s="34">
        <v>5993.76</v>
      </c>
      <c r="D3934" s="200"/>
    </row>
    <row r="3935" spans="2:4" x14ac:dyDescent="0.35">
      <c r="B3935" s="35">
        <v>38827</v>
      </c>
      <c r="C3935" s="34">
        <v>6063.28</v>
      </c>
      <c r="D3935" s="200"/>
    </row>
    <row r="3936" spans="2:4" x14ac:dyDescent="0.35">
      <c r="B3936" s="35">
        <v>38828</v>
      </c>
      <c r="C3936" s="34">
        <v>6094.75</v>
      </c>
      <c r="D3936" s="200"/>
    </row>
    <row r="3937" spans="2:4" x14ac:dyDescent="0.35">
      <c r="B3937" s="35">
        <v>38831</v>
      </c>
      <c r="C3937" s="34">
        <v>6079.09</v>
      </c>
      <c r="D3937" s="200"/>
    </row>
    <row r="3938" spans="2:4" x14ac:dyDescent="0.35">
      <c r="B3938" s="35">
        <v>38832</v>
      </c>
      <c r="C3938" s="34">
        <v>6078.8</v>
      </c>
      <c r="D3938" s="200"/>
    </row>
    <row r="3939" spans="2:4" x14ac:dyDescent="0.35">
      <c r="B3939" s="35">
        <v>38833</v>
      </c>
      <c r="C3939" s="34">
        <v>6107.12</v>
      </c>
      <c r="D3939" s="200"/>
    </row>
    <row r="3940" spans="2:4" x14ac:dyDescent="0.35">
      <c r="B3940" s="35">
        <v>38834</v>
      </c>
      <c r="C3940" s="34">
        <v>6067.74</v>
      </c>
      <c r="D3940" s="200"/>
    </row>
    <row r="3941" spans="2:4" x14ac:dyDescent="0.35">
      <c r="B3941" s="35">
        <v>38835</v>
      </c>
      <c r="C3941" s="34">
        <v>6009.89</v>
      </c>
      <c r="D3941" s="200"/>
    </row>
    <row r="3942" spans="2:4" x14ac:dyDescent="0.35">
      <c r="B3942" s="35">
        <v>38839</v>
      </c>
      <c r="C3942" s="34">
        <v>6051.29</v>
      </c>
      <c r="D3942" s="200"/>
    </row>
    <row r="3943" spans="2:4" x14ac:dyDescent="0.35">
      <c r="B3943" s="35">
        <v>38840</v>
      </c>
      <c r="C3943" s="34">
        <v>5968.96</v>
      </c>
      <c r="D3943" s="200"/>
    </row>
    <row r="3944" spans="2:4" x14ac:dyDescent="0.35">
      <c r="B3944" s="35">
        <v>38841</v>
      </c>
      <c r="C3944" s="34">
        <v>6039.32</v>
      </c>
      <c r="D3944" s="200"/>
    </row>
    <row r="3945" spans="2:4" x14ac:dyDescent="0.35">
      <c r="B3945" s="35">
        <v>38842</v>
      </c>
      <c r="C3945" s="34">
        <v>6113.29</v>
      </c>
      <c r="D3945" s="200"/>
    </row>
    <row r="3946" spans="2:4" x14ac:dyDescent="0.35">
      <c r="B3946" s="35">
        <v>38845</v>
      </c>
      <c r="C3946" s="34">
        <v>6127.98</v>
      </c>
      <c r="D3946" s="200"/>
    </row>
    <row r="3947" spans="2:4" x14ac:dyDescent="0.35">
      <c r="B3947" s="35">
        <v>38846</v>
      </c>
      <c r="C3947" s="34">
        <v>6140.72</v>
      </c>
      <c r="D3947" s="200"/>
    </row>
    <row r="3948" spans="2:4" x14ac:dyDescent="0.35">
      <c r="B3948" s="35">
        <v>38847</v>
      </c>
      <c r="C3948" s="34">
        <v>6118.38</v>
      </c>
      <c r="D3948" s="200"/>
    </row>
    <row r="3949" spans="2:4" x14ac:dyDescent="0.35">
      <c r="B3949" s="35">
        <v>38848</v>
      </c>
      <c r="C3949" s="34">
        <v>6054.72</v>
      </c>
      <c r="D3949" s="200"/>
    </row>
    <row r="3950" spans="2:4" x14ac:dyDescent="0.35">
      <c r="B3950" s="35">
        <v>38849</v>
      </c>
      <c r="C3950" s="34">
        <v>5916.28</v>
      </c>
      <c r="D3950" s="200"/>
    </row>
    <row r="3951" spans="2:4" x14ac:dyDescent="0.35">
      <c r="B3951" s="35">
        <v>38852</v>
      </c>
      <c r="C3951" s="34">
        <v>5857.03</v>
      </c>
      <c r="D3951" s="200"/>
    </row>
    <row r="3952" spans="2:4" x14ac:dyDescent="0.35">
      <c r="B3952" s="35">
        <v>38853</v>
      </c>
      <c r="C3952" s="34">
        <v>5851.92</v>
      </c>
      <c r="D3952" s="200"/>
    </row>
    <row r="3953" spans="2:4" x14ac:dyDescent="0.35">
      <c r="B3953" s="35">
        <v>38854</v>
      </c>
      <c r="C3953" s="34">
        <v>5652.72</v>
      </c>
      <c r="D3953" s="200"/>
    </row>
    <row r="3954" spans="2:4" x14ac:dyDescent="0.35">
      <c r="B3954" s="35">
        <v>38855</v>
      </c>
      <c r="C3954" s="34">
        <v>5666.07</v>
      </c>
      <c r="D3954" s="200"/>
    </row>
    <row r="3955" spans="2:4" x14ac:dyDescent="0.35">
      <c r="B3955" s="35">
        <v>38856</v>
      </c>
      <c r="C3955" s="34">
        <v>5672.28</v>
      </c>
      <c r="D3955" s="200"/>
    </row>
    <row r="3956" spans="2:4" x14ac:dyDescent="0.35">
      <c r="B3956" s="35">
        <v>38859</v>
      </c>
      <c r="C3956" s="34">
        <v>5546.24</v>
      </c>
      <c r="D3956" s="200"/>
    </row>
    <row r="3957" spans="2:4" x14ac:dyDescent="0.35">
      <c r="B3957" s="35">
        <v>38860</v>
      </c>
      <c r="C3957" s="34">
        <v>5678.49</v>
      </c>
      <c r="D3957" s="200"/>
    </row>
    <row r="3958" spans="2:4" x14ac:dyDescent="0.35">
      <c r="B3958" s="35">
        <v>38861</v>
      </c>
      <c r="C3958" s="34">
        <v>5587.23</v>
      </c>
      <c r="D3958" s="200"/>
    </row>
    <row r="3959" spans="2:4" x14ac:dyDescent="0.35">
      <c r="B3959" s="35">
        <v>38862</v>
      </c>
      <c r="C3959" s="34">
        <v>5706.06</v>
      </c>
      <c r="D3959" s="200"/>
    </row>
    <row r="3960" spans="2:4" x14ac:dyDescent="0.35">
      <c r="B3960" s="35">
        <v>38863</v>
      </c>
      <c r="C3960" s="34">
        <v>5788.36</v>
      </c>
      <c r="D3960" s="200"/>
    </row>
    <row r="3961" spans="2:4" x14ac:dyDescent="0.35">
      <c r="B3961" s="35">
        <v>38866</v>
      </c>
      <c r="C3961" s="34">
        <v>5755.02</v>
      </c>
      <c r="D3961" s="200"/>
    </row>
    <row r="3962" spans="2:4" x14ac:dyDescent="0.35">
      <c r="B3962" s="35">
        <v>38867</v>
      </c>
      <c r="C3962" s="34">
        <v>5622.43</v>
      </c>
      <c r="D3962" s="200"/>
    </row>
    <row r="3963" spans="2:4" x14ac:dyDescent="0.35">
      <c r="B3963" s="35">
        <v>38868</v>
      </c>
      <c r="C3963" s="34">
        <v>5692.86</v>
      </c>
      <c r="D3963" s="200"/>
    </row>
    <row r="3964" spans="2:4" x14ac:dyDescent="0.35">
      <c r="B3964" s="35">
        <v>38869</v>
      </c>
      <c r="C3964" s="34">
        <v>5707.59</v>
      </c>
      <c r="D3964" s="200"/>
    </row>
    <row r="3965" spans="2:4" x14ac:dyDescent="0.35">
      <c r="B3965" s="35">
        <v>38870</v>
      </c>
      <c r="C3965" s="34">
        <v>5687.04</v>
      </c>
      <c r="D3965" s="200"/>
    </row>
    <row r="3966" spans="2:4" x14ac:dyDescent="0.35">
      <c r="B3966" s="35">
        <v>38873</v>
      </c>
      <c r="C3966" s="34">
        <v>5621.19</v>
      </c>
      <c r="D3966" s="200"/>
    </row>
    <row r="3967" spans="2:4" x14ac:dyDescent="0.35">
      <c r="B3967" s="35">
        <v>38874</v>
      </c>
      <c r="C3967" s="34">
        <v>5502.81</v>
      </c>
      <c r="D3967" s="200"/>
    </row>
    <row r="3968" spans="2:4" x14ac:dyDescent="0.35">
      <c r="B3968" s="35">
        <v>38875</v>
      </c>
      <c r="C3968" s="34">
        <v>5543.93</v>
      </c>
      <c r="D3968" s="200"/>
    </row>
    <row r="3969" spans="2:4" x14ac:dyDescent="0.35">
      <c r="B3969" s="35">
        <v>38876</v>
      </c>
      <c r="C3969" s="34">
        <v>5383.28</v>
      </c>
      <c r="D3969" s="200"/>
    </row>
    <row r="3970" spans="2:4" x14ac:dyDescent="0.35">
      <c r="B3970" s="35">
        <v>38877</v>
      </c>
      <c r="C3970" s="34">
        <v>5464.08</v>
      </c>
      <c r="D3970" s="200"/>
    </row>
    <row r="3971" spans="2:4" x14ac:dyDescent="0.35">
      <c r="B3971" s="35">
        <v>38880</v>
      </c>
      <c r="C3971" s="34">
        <v>5395.55</v>
      </c>
      <c r="D3971" s="200"/>
    </row>
    <row r="3972" spans="2:4" x14ac:dyDescent="0.35">
      <c r="B3972" s="35">
        <v>38881</v>
      </c>
      <c r="C3972" s="34">
        <v>5292.14</v>
      </c>
      <c r="D3972" s="200"/>
    </row>
    <row r="3973" spans="2:4" x14ac:dyDescent="0.35">
      <c r="B3973" s="35">
        <v>38882</v>
      </c>
      <c r="C3973" s="34">
        <v>5305.99</v>
      </c>
      <c r="D3973" s="200"/>
    </row>
    <row r="3974" spans="2:4" x14ac:dyDescent="0.35">
      <c r="B3974" s="35">
        <v>38883</v>
      </c>
      <c r="C3974" s="34">
        <v>5422.22</v>
      </c>
      <c r="D3974" s="200"/>
    </row>
    <row r="3975" spans="2:4" x14ac:dyDescent="0.35">
      <c r="B3975" s="35">
        <v>38884</v>
      </c>
      <c r="C3975" s="34">
        <v>5376.01</v>
      </c>
      <c r="D3975" s="200"/>
    </row>
    <row r="3976" spans="2:4" x14ac:dyDescent="0.35">
      <c r="B3976" s="35">
        <v>38887</v>
      </c>
      <c r="C3976" s="34">
        <v>5439.23</v>
      </c>
      <c r="D3976" s="200"/>
    </row>
    <row r="3977" spans="2:4" x14ac:dyDescent="0.35">
      <c r="B3977" s="35">
        <v>38888</v>
      </c>
      <c r="C3977" s="34">
        <v>5493.61</v>
      </c>
      <c r="D3977" s="200"/>
    </row>
    <row r="3978" spans="2:4" x14ac:dyDescent="0.35">
      <c r="B3978" s="35">
        <v>38889</v>
      </c>
      <c r="C3978" s="34">
        <v>5503.41</v>
      </c>
      <c r="D3978" s="200"/>
    </row>
    <row r="3979" spans="2:4" x14ac:dyDescent="0.35">
      <c r="B3979" s="35">
        <v>38890</v>
      </c>
      <c r="C3979" s="34">
        <v>5533.42</v>
      </c>
      <c r="D3979" s="200"/>
    </row>
    <row r="3980" spans="2:4" x14ac:dyDescent="0.35">
      <c r="B3980" s="35">
        <v>38891</v>
      </c>
      <c r="C3980" s="34">
        <v>5529.74</v>
      </c>
      <c r="D3980" s="200"/>
    </row>
    <row r="3981" spans="2:4" x14ac:dyDescent="0.35">
      <c r="B3981" s="35">
        <v>38894</v>
      </c>
      <c r="C3981" s="34">
        <v>5514.63</v>
      </c>
      <c r="D3981" s="200"/>
    </row>
    <row r="3982" spans="2:4" x14ac:dyDescent="0.35">
      <c r="B3982" s="35">
        <v>38895</v>
      </c>
      <c r="C3982" s="34">
        <v>5459.15</v>
      </c>
      <c r="D3982" s="200"/>
    </row>
    <row r="3983" spans="2:4" x14ac:dyDescent="0.35">
      <c r="B3983" s="35">
        <v>38896</v>
      </c>
      <c r="C3983" s="34">
        <v>5456.87</v>
      </c>
      <c r="D3983" s="200"/>
    </row>
    <row r="3984" spans="2:4" x14ac:dyDescent="0.35">
      <c r="B3984" s="35">
        <v>38897</v>
      </c>
      <c r="C3984" s="34">
        <v>5581.67</v>
      </c>
      <c r="D3984" s="200"/>
    </row>
    <row r="3985" spans="2:4" x14ac:dyDescent="0.35">
      <c r="B3985" s="35">
        <v>38898</v>
      </c>
      <c r="C3985" s="34">
        <v>5683.31</v>
      </c>
      <c r="D3985" s="200"/>
    </row>
    <row r="3986" spans="2:4" x14ac:dyDescent="0.35">
      <c r="B3986" s="35">
        <v>38901</v>
      </c>
      <c r="C3986" s="34">
        <v>5712.69</v>
      </c>
      <c r="D3986" s="200"/>
    </row>
    <row r="3987" spans="2:4" x14ac:dyDescent="0.35">
      <c r="B3987" s="35">
        <v>38902</v>
      </c>
      <c r="C3987" s="34">
        <v>5729.01</v>
      </c>
      <c r="D3987" s="200"/>
    </row>
    <row r="3988" spans="2:4" x14ac:dyDescent="0.35">
      <c r="B3988" s="35">
        <v>38903</v>
      </c>
      <c r="C3988" s="34">
        <v>5625.63</v>
      </c>
      <c r="D3988" s="200"/>
    </row>
    <row r="3989" spans="2:4" x14ac:dyDescent="0.35">
      <c r="B3989" s="35">
        <v>38904</v>
      </c>
      <c r="C3989" s="34">
        <v>5695.47</v>
      </c>
      <c r="D3989" s="200"/>
    </row>
    <row r="3990" spans="2:4" x14ac:dyDescent="0.35">
      <c r="B3990" s="35">
        <v>38905</v>
      </c>
      <c r="C3990" s="34">
        <v>5681.85</v>
      </c>
      <c r="D3990" s="200"/>
    </row>
    <row r="3991" spans="2:4" x14ac:dyDescent="0.35">
      <c r="B3991" s="35">
        <v>38908</v>
      </c>
      <c r="C3991" s="34">
        <v>5706.32</v>
      </c>
      <c r="D3991" s="200"/>
    </row>
    <row r="3992" spans="2:4" x14ac:dyDescent="0.35">
      <c r="B3992" s="35">
        <v>38909</v>
      </c>
      <c r="C3992" s="34">
        <v>5616.04</v>
      </c>
      <c r="D3992" s="200"/>
    </row>
    <row r="3993" spans="2:4" x14ac:dyDescent="0.35">
      <c r="B3993" s="35">
        <v>38910</v>
      </c>
      <c r="C3993" s="34">
        <v>5637.82</v>
      </c>
      <c r="D3993" s="200"/>
    </row>
    <row r="3994" spans="2:4" x14ac:dyDescent="0.35">
      <c r="B3994" s="35">
        <v>38911</v>
      </c>
      <c r="C3994" s="34">
        <v>5527.29</v>
      </c>
      <c r="D3994" s="200"/>
    </row>
    <row r="3995" spans="2:4" x14ac:dyDescent="0.35">
      <c r="B3995" s="35">
        <v>38912</v>
      </c>
      <c r="C3995" s="34">
        <v>5422.22</v>
      </c>
      <c r="D3995" s="200"/>
    </row>
    <row r="3996" spans="2:4" x14ac:dyDescent="0.35">
      <c r="B3996" s="35">
        <v>38915</v>
      </c>
      <c r="C3996" s="34">
        <v>5416.96</v>
      </c>
      <c r="D3996" s="200"/>
    </row>
    <row r="3997" spans="2:4" x14ac:dyDescent="0.35">
      <c r="B3997" s="35">
        <v>38916</v>
      </c>
      <c r="C3997" s="34">
        <v>5396.85</v>
      </c>
      <c r="D3997" s="200"/>
    </row>
    <row r="3998" spans="2:4" x14ac:dyDescent="0.35">
      <c r="B3998" s="35">
        <v>38917</v>
      </c>
      <c r="C3998" s="34">
        <v>5539.29</v>
      </c>
      <c r="D3998" s="200"/>
    </row>
    <row r="3999" spans="2:4" x14ac:dyDescent="0.35">
      <c r="B3999" s="35">
        <v>38918</v>
      </c>
      <c r="C3999" s="34">
        <v>5545.82</v>
      </c>
      <c r="D3999" s="200"/>
    </row>
    <row r="4000" spans="2:4" x14ac:dyDescent="0.35">
      <c r="B4000" s="35">
        <v>38919</v>
      </c>
      <c r="C4000" s="34">
        <v>5451.01</v>
      </c>
      <c r="D4000" s="200"/>
    </row>
    <row r="4001" spans="2:4" x14ac:dyDescent="0.35">
      <c r="B4001" s="35">
        <v>38922</v>
      </c>
      <c r="C4001" s="34">
        <v>5578.05</v>
      </c>
      <c r="D4001" s="200"/>
    </row>
    <row r="4002" spans="2:4" x14ac:dyDescent="0.35">
      <c r="B4002" s="35">
        <v>38923</v>
      </c>
      <c r="C4002" s="34">
        <v>5565.76</v>
      </c>
      <c r="D4002" s="200"/>
    </row>
    <row r="4003" spans="2:4" x14ac:dyDescent="0.35">
      <c r="B4003" s="35">
        <v>38924</v>
      </c>
      <c r="C4003" s="34">
        <v>5583.1</v>
      </c>
      <c r="D4003" s="200"/>
    </row>
    <row r="4004" spans="2:4" x14ac:dyDescent="0.35">
      <c r="B4004" s="35">
        <v>38925</v>
      </c>
      <c r="C4004" s="34">
        <v>5659.07</v>
      </c>
      <c r="D4004" s="200"/>
    </row>
    <row r="4005" spans="2:4" x14ac:dyDescent="0.35">
      <c r="B4005" s="35">
        <v>38926</v>
      </c>
      <c r="C4005" s="34">
        <v>5705.42</v>
      </c>
      <c r="D4005" s="200"/>
    </row>
    <row r="4006" spans="2:4" x14ac:dyDescent="0.35">
      <c r="B4006" s="35">
        <v>38929</v>
      </c>
      <c r="C4006" s="34">
        <v>5681.97</v>
      </c>
      <c r="D4006" s="200"/>
    </row>
    <row r="4007" spans="2:4" x14ac:dyDescent="0.35">
      <c r="B4007" s="35">
        <v>38930</v>
      </c>
      <c r="C4007" s="34">
        <v>5596.74</v>
      </c>
      <c r="D4007" s="200"/>
    </row>
    <row r="4008" spans="2:4" x14ac:dyDescent="0.35">
      <c r="B4008" s="35">
        <v>38931</v>
      </c>
      <c r="C4008" s="34">
        <v>5680.82</v>
      </c>
      <c r="D4008" s="200"/>
    </row>
    <row r="4009" spans="2:4" x14ac:dyDescent="0.35">
      <c r="B4009" s="35">
        <v>38932</v>
      </c>
      <c r="C4009" s="34">
        <v>5640.03</v>
      </c>
      <c r="D4009" s="200"/>
    </row>
    <row r="4010" spans="2:4" x14ac:dyDescent="0.35">
      <c r="B4010" s="35">
        <v>38933</v>
      </c>
      <c r="C4010" s="34">
        <v>5723.03</v>
      </c>
      <c r="D4010" s="200"/>
    </row>
    <row r="4011" spans="2:4" x14ac:dyDescent="0.35">
      <c r="B4011" s="35">
        <v>38936</v>
      </c>
      <c r="C4011" s="34">
        <v>5626.67</v>
      </c>
      <c r="D4011" s="200"/>
    </row>
    <row r="4012" spans="2:4" x14ac:dyDescent="0.35">
      <c r="B4012" s="35">
        <v>38937</v>
      </c>
      <c r="C4012" s="34">
        <v>5651.92</v>
      </c>
      <c r="D4012" s="200"/>
    </row>
    <row r="4013" spans="2:4" x14ac:dyDescent="0.35">
      <c r="B4013" s="35">
        <v>38938</v>
      </c>
      <c r="C4013" s="34">
        <v>5702.81</v>
      </c>
      <c r="D4013" s="200"/>
    </row>
    <row r="4014" spans="2:4" x14ac:dyDescent="0.35">
      <c r="B4014" s="35">
        <v>38939</v>
      </c>
      <c r="C4014" s="34">
        <v>5630.96</v>
      </c>
      <c r="D4014" s="200"/>
    </row>
    <row r="4015" spans="2:4" x14ac:dyDescent="0.35">
      <c r="B4015" s="35">
        <v>38940</v>
      </c>
      <c r="C4015" s="34">
        <v>5628.37</v>
      </c>
      <c r="D4015" s="200"/>
    </row>
    <row r="4016" spans="2:4" x14ac:dyDescent="0.35">
      <c r="B4016" s="35">
        <v>38943</v>
      </c>
      <c r="C4016" s="34">
        <v>5692</v>
      </c>
      <c r="D4016" s="200"/>
    </row>
    <row r="4017" spans="2:4" x14ac:dyDescent="0.35">
      <c r="B4017" s="35">
        <v>38944</v>
      </c>
      <c r="C4017" s="34">
        <v>5776.8</v>
      </c>
      <c r="D4017" s="200"/>
    </row>
    <row r="4018" spans="2:4" x14ac:dyDescent="0.35">
      <c r="B4018" s="35">
        <v>38945</v>
      </c>
      <c r="C4018" s="34">
        <v>5812.94</v>
      </c>
      <c r="D4018" s="200"/>
    </row>
    <row r="4019" spans="2:4" x14ac:dyDescent="0.35">
      <c r="B4019" s="35">
        <v>38946</v>
      </c>
      <c r="C4019" s="34">
        <v>5833.51</v>
      </c>
      <c r="D4019" s="200"/>
    </row>
    <row r="4020" spans="2:4" x14ac:dyDescent="0.35">
      <c r="B4020" s="35">
        <v>38947</v>
      </c>
      <c r="C4020" s="34">
        <v>5817.02</v>
      </c>
      <c r="D4020" s="200"/>
    </row>
    <row r="4021" spans="2:4" x14ac:dyDescent="0.35">
      <c r="B4021" s="35">
        <v>38950</v>
      </c>
      <c r="C4021" s="34">
        <v>5794.83</v>
      </c>
      <c r="D4021" s="200"/>
    </row>
    <row r="4022" spans="2:4" x14ac:dyDescent="0.35">
      <c r="B4022" s="35">
        <v>38951</v>
      </c>
      <c r="C4022" s="34">
        <v>5818.41</v>
      </c>
      <c r="D4022" s="200"/>
    </row>
    <row r="4023" spans="2:4" x14ac:dyDescent="0.35">
      <c r="B4023" s="35">
        <v>38952</v>
      </c>
      <c r="C4023" s="34">
        <v>5775.54</v>
      </c>
      <c r="D4023" s="200"/>
    </row>
    <row r="4024" spans="2:4" x14ac:dyDescent="0.35">
      <c r="B4024" s="35">
        <v>38953</v>
      </c>
      <c r="C4024" s="34">
        <v>5814.08</v>
      </c>
      <c r="D4024" s="200"/>
    </row>
    <row r="4025" spans="2:4" x14ac:dyDescent="0.35">
      <c r="B4025" s="35">
        <v>38954</v>
      </c>
      <c r="C4025" s="34">
        <v>5811.47</v>
      </c>
      <c r="D4025" s="200"/>
    </row>
    <row r="4026" spans="2:4" x14ac:dyDescent="0.35">
      <c r="B4026" s="35">
        <v>38957</v>
      </c>
      <c r="C4026" s="34">
        <v>5854.99</v>
      </c>
      <c r="D4026" s="200"/>
    </row>
    <row r="4027" spans="2:4" x14ac:dyDescent="0.35">
      <c r="B4027" s="35">
        <v>38958</v>
      </c>
      <c r="C4027" s="34">
        <v>5847.02</v>
      </c>
      <c r="D4027" s="200"/>
    </row>
    <row r="4028" spans="2:4" x14ac:dyDescent="0.35">
      <c r="B4028" s="35">
        <v>38959</v>
      </c>
      <c r="C4028" s="34">
        <v>5867.53</v>
      </c>
      <c r="D4028" s="200"/>
    </row>
    <row r="4029" spans="2:4" x14ac:dyDescent="0.35">
      <c r="B4029" s="35">
        <v>38960</v>
      </c>
      <c r="C4029" s="34">
        <v>5859.57</v>
      </c>
      <c r="D4029" s="200"/>
    </row>
    <row r="4030" spans="2:4" x14ac:dyDescent="0.35">
      <c r="B4030" s="35">
        <v>38961</v>
      </c>
      <c r="C4030" s="34">
        <v>5876.54</v>
      </c>
      <c r="D4030" s="200"/>
    </row>
    <row r="4031" spans="2:4" x14ac:dyDescent="0.35">
      <c r="B4031" s="35">
        <v>38964</v>
      </c>
      <c r="C4031" s="34">
        <v>5909.72</v>
      </c>
      <c r="D4031" s="200"/>
    </row>
    <row r="4032" spans="2:4" x14ac:dyDescent="0.35">
      <c r="B4032" s="35">
        <v>38965</v>
      </c>
      <c r="C4032" s="34">
        <v>5884.07</v>
      </c>
      <c r="D4032" s="200"/>
    </row>
    <row r="4033" spans="2:4" x14ac:dyDescent="0.35">
      <c r="B4033" s="35">
        <v>38966</v>
      </c>
      <c r="C4033" s="34">
        <v>5813.06</v>
      </c>
      <c r="D4033" s="200"/>
    </row>
    <row r="4034" spans="2:4" x14ac:dyDescent="0.35">
      <c r="B4034" s="35">
        <v>38967</v>
      </c>
      <c r="C4034" s="34">
        <v>5773.72</v>
      </c>
      <c r="D4034" s="200"/>
    </row>
    <row r="4035" spans="2:4" x14ac:dyDescent="0.35">
      <c r="B4035" s="35">
        <v>38968</v>
      </c>
      <c r="C4035" s="34">
        <v>5795.26</v>
      </c>
      <c r="D4035" s="200"/>
    </row>
    <row r="4036" spans="2:4" x14ac:dyDescent="0.35">
      <c r="B4036" s="35">
        <v>38971</v>
      </c>
      <c r="C4036" s="34">
        <v>5798.46</v>
      </c>
      <c r="D4036" s="200"/>
    </row>
    <row r="4037" spans="2:4" x14ac:dyDescent="0.35">
      <c r="B4037" s="35">
        <v>38972</v>
      </c>
      <c r="C4037" s="34">
        <v>5873.85</v>
      </c>
      <c r="D4037" s="200"/>
    </row>
    <row r="4038" spans="2:4" x14ac:dyDescent="0.35">
      <c r="B4038" s="35">
        <v>38973</v>
      </c>
      <c r="C4038" s="34">
        <v>5906.12</v>
      </c>
      <c r="D4038" s="200"/>
    </row>
    <row r="4039" spans="2:4" x14ac:dyDescent="0.35">
      <c r="B4039" s="35">
        <v>38974</v>
      </c>
      <c r="C4039" s="34">
        <v>5907.37</v>
      </c>
      <c r="D4039" s="200"/>
    </row>
    <row r="4040" spans="2:4" x14ac:dyDescent="0.35">
      <c r="B4040" s="35">
        <v>38975</v>
      </c>
      <c r="C4040" s="34">
        <v>5937.87</v>
      </c>
      <c r="D4040" s="200"/>
    </row>
    <row r="4041" spans="2:4" x14ac:dyDescent="0.35">
      <c r="B4041" s="35">
        <v>38978</v>
      </c>
      <c r="C4041" s="34">
        <v>5926.33</v>
      </c>
      <c r="D4041" s="200"/>
    </row>
    <row r="4042" spans="2:4" x14ac:dyDescent="0.35">
      <c r="B4042" s="35">
        <v>38979</v>
      </c>
      <c r="C4042" s="34">
        <v>5873.46</v>
      </c>
      <c r="D4042" s="200"/>
    </row>
    <row r="4043" spans="2:4" x14ac:dyDescent="0.35">
      <c r="B4043" s="35">
        <v>38980</v>
      </c>
      <c r="C4043" s="34">
        <v>5954.38</v>
      </c>
      <c r="D4043" s="200"/>
    </row>
    <row r="4044" spans="2:4" x14ac:dyDescent="0.35">
      <c r="B4044" s="35">
        <v>38981</v>
      </c>
      <c r="C4044" s="34">
        <v>5962.03</v>
      </c>
      <c r="D4044" s="200"/>
    </row>
    <row r="4045" spans="2:4" x14ac:dyDescent="0.35">
      <c r="B4045" s="35">
        <v>38982</v>
      </c>
      <c r="C4045" s="34">
        <v>5883.32</v>
      </c>
      <c r="D4045" s="200"/>
    </row>
    <row r="4046" spans="2:4" x14ac:dyDescent="0.35">
      <c r="B4046" s="35">
        <v>38985</v>
      </c>
      <c r="C4046" s="34">
        <v>5901.66</v>
      </c>
      <c r="D4046" s="200"/>
    </row>
    <row r="4047" spans="2:4" x14ac:dyDescent="0.35">
      <c r="B4047" s="35">
        <v>38986</v>
      </c>
      <c r="C4047" s="34">
        <v>5960.63</v>
      </c>
      <c r="D4047" s="200"/>
    </row>
    <row r="4048" spans="2:4" x14ac:dyDescent="0.35">
      <c r="B4048" s="35">
        <v>38987</v>
      </c>
      <c r="C4048" s="34">
        <v>5989.71</v>
      </c>
      <c r="D4048" s="200"/>
    </row>
    <row r="4049" spans="2:4" x14ac:dyDescent="0.35">
      <c r="B4049" s="35">
        <v>38988</v>
      </c>
      <c r="C4049" s="34">
        <v>5989.16</v>
      </c>
      <c r="D4049" s="200"/>
    </row>
    <row r="4050" spans="2:4" x14ac:dyDescent="0.35">
      <c r="B4050" s="35">
        <v>38989</v>
      </c>
      <c r="C4050" s="34">
        <v>6004.33</v>
      </c>
      <c r="D4050" s="200"/>
    </row>
    <row r="4051" spans="2:4" x14ac:dyDescent="0.35">
      <c r="B4051" s="35">
        <v>38992</v>
      </c>
      <c r="C4051" s="34">
        <v>5999.46</v>
      </c>
      <c r="D4051" s="200"/>
    </row>
    <row r="4052" spans="2:4" x14ac:dyDescent="0.35">
      <c r="B4052" s="35">
        <v>38993</v>
      </c>
      <c r="C4052" s="34">
        <v>5992.22</v>
      </c>
      <c r="D4052" s="200"/>
    </row>
    <row r="4053" spans="2:4" x14ac:dyDescent="0.35">
      <c r="B4053" s="35">
        <v>38994</v>
      </c>
      <c r="C4053" s="34">
        <v>6046.37</v>
      </c>
      <c r="D4053" s="200"/>
    </row>
    <row r="4054" spans="2:4" x14ac:dyDescent="0.35">
      <c r="B4054" s="35">
        <v>38995</v>
      </c>
      <c r="C4054" s="34">
        <v>6075.28</v>
      </c>
      <c r="D4054" s="200"/>
    </row>
    <row r="4055" spans="2:4" x14ac:dyDescent="0.35">
      <c r="B4055" s="35">
        <v>38996</v>
      </c>
      <c r="C4055" s="34">
        <v>6085.82</v>
      </c>
      <c r="D4055" s="200"/>
    </row>
    <row r="4056" spans="2:4" x14ac:dyDescent="0.35">
      <c r="B4056" s="35">
        <v>38999</v>
      </c>
      <c r="C4056" s="34">
        <v>6084.4</v>
      </c>
      <c r="D4056" s="200"/>
    </row>
    <row r="4057" spans="2:4" x14ac:dyDescent="0.35">
      <c r="B4057" s="35">
        <v>39000</v>
      </c>
      <c r="C4057" s="34">
        <v>6117.71</v>
      </c>
      <c r="D4057" s="200"/>
    </row>
    <row r="4058" spans="2:4" x14ac:dyDescent="0.35">
      <c r="B4058" s="35">
        <v>39001</v>
      </c>
      <c r="C4058" s="34">
        <v>6119.45</v>
      </c>
      <c r="D4058" s="200"/>
    </row>
    <row r="4059" spans="2:4" x14ac:dyDescent="0.35">
      <c r="B4059" s="35">
        <v>39002</v>
      </c>
      <c r="C4059" s="34">
        <v>6160.28</v>
      </c>
      <c r="D4059" s="200"/>
    </row>
    <row r="4060" spans="2:4" x14ac:dyDescent="0.35">
      <c r="B4060" s="35">
        <v>39003</v>
      </c>
      <c r="C4060" s="34">
        <v>6173.68</v>
      </c>
      <c r="D4060" s="200"/>
    </row>
    <row r="4061" spans="2:4" x14ac:dyDescent="0.35">
      <c r="B4061" s="35">
        <v>39006</v>
      </c>
      <c r="C4061" s="34">
        <v>6186.54</v>
      </c>
      <c r="D4061" s="200"/>
    </row>
    <row r="4062" spans="2:4" x14ac:dyDescent="0.35">
      <c r="B4062" s="35">
        <v>39007</v>
      </c>
      <c r="C4062" s="34">
        <v>6115.1</v>
      </c>
      <c r="D4062" s="200"/>
    </row>
    <row r="4063" spans="2:4" x14ac:dyDescent="0.35">
      <c r="B4063" s="35">
        <v>39008</v>
      </c>
      <c r="C4063" s="34">
        <v>6182.78</v>
      </c>
      <c r="D4063" s="200"/>
    </row>
    <row r="4064" spans="2:4" x14ac:dyDescent="0.35">
      <c r="B4064" s="35">
        <v>39009</v>
      </c>
      <c r="C4064" s="34">
        <v>6177.42</v>
      </c>
      <c r="D4064" s="200"/>
    </row>
    <row r="4065" spans="2:4" x14ac:dyDescent="0.35">
      <c r="B4065" s="35">
        <v>39010</v>
      </c>
      <c r="C4065" s="34">
        <v>6202.82</v>
      </c>
      <c r="D4065" s="200"/>
    </row>
    <row r="4066" spans="2:4" x14ac:dyDescent="0.35">
      <c r="B4066" s="35">
        <v>39013</v>
      </c>
      <c r="C4066" s="34">
        <v>6242.91</v>
      </c>
      <c r="D4066" s="200"/>
    </row>
    <row r="4067" spans="2:4" x14ac:dyDescent="0.35">
      <c r="B4067" s="35">
        <v>39014</v>
      </c>
      <c r="C4067" s="34">
        <v>6247.52</v>
      </c>
      <c r="D4067" s="200"/>
    </row>
    <row r="4068" spans="2:4" x14ac:dyDescent="0.35">
      <c r="B4068" s="35">
        <v>39015</v>
      </c>
      <c r="C4068" s="34">
        <v>6264.92</v>
      </c>
      <c r="D4068" s="200"/>
    </row>
    <row r="4069" spans="2:4" x14ac:dyDescent="0.35">
      <c r="B4069" s="35">
        <v>39016</v>
      </c>
      <c r="C4069" s="34">
        <v>6284.19</v>
      </c>
      <c r="D4069" s="200"/>
    </row>
    <row r="4070" spans="2:4" x14ac:dyDescent="0.35">
      <c r="B4070" s="35">
        <v>39017</v>
      </c>
      <c r="C4070" s="34">
        <v>6262.54</v>
      </c>
      <c r="D4070" s="200"/>
    </row>
    <row r="4071" spans="2:4" x14ac:dyDescent="0.35">
      <c r="B4071" s="35">
        <v>39020</v>
      </c>
      <c r="C4071" s="34">
        <v>6258.19</v>
      </c>
      <c r="D4071" s="200"/>
    </row>
    <row r="4072" spans="2:4" x14ac:dyDescent="0.35">
      <c r="B4072" s="35">
        <v>39021</v>
      </c>
      <c r="C4072" s="34">
        <v>6268.92</v>
      </c>
      <c r="D4072" s="200"/>
    </row>
    <row r="4073" spans="2:4" x14ac:dyDescent="0.35">
      <c r="B4073" s="35">
        <v>39022</v>
      </c>
      <c r="C4073" s="34">
        <v>6291.9</v>
      </c>
      <c r="D4073" s="200"/>
    </row>
    <row r="4074" spans="2:4" x14ac:dyDescent="0.35">
      <c r="B4074" s="35">
        <v>39023</v>
      </c>
      <c r="C4074" s="34">
        <v>6223.33</v>
      </c>
      <c r="D4074" s="200"/>
    </row>
    <row r="4075" spans="2:4" x14ac:dyDescent="0.35">
      <c r="B4075" s="35">
        <v>39024</v>
      </c>
      <c r="C4075" s="34">
        <v>6241.15</v>
      </c>
      <c r="D4075" s="200"/>
    </row>
    <row r="4076" spans="2:4" x14ac:dyDescent="0.35">
      <c r="B4076" s="35">
        <v>39027</v>
      </c>
      <c r="C4076" s="34">
        <v>6330.65</v>
      </c>
      <c r="D4076" s="200"/>
    </row>
    <row r="4077" spans="2:4" x14ac:dyDescent="0.35">
      <c r="B4077" s="35">
        <v>39028</v>
      </c>
      <c r="C4077" s="34">
        <v>6361.96</v>
      </c>
      <c r="D4077" s="200"/>
    </row>
    <row r="4078" spans="2:4" x14ac:dyDescent="0.35">
      <c r="B4078" s="35">
        <v>39029</v>
      </c>
      <c r="C4078" s="34">
        <v>6349.26</v>
      </c>
      <c r="D4078" s="200"/>
    </row>
    <row r="4079" spans="2:4" x14ac:dyDescent="0.35">
      <c r="B4079" s="35">
        <v>39030</v>
      </c>
      <c r="C4079" s="34">
        <v>6358.68</v>
      </c>
      <c r="D4079" s="200"/>
    </row>
    <row r="4080" spans="2:4" x14ac:dyDescent="0.35">
      <c r="B4080" s="35">
        <v>39031</v>
      </c>
      <c r="C4080" s="34">
        <v>6357.77</v>
      </c>
      <c r="D4080" s="200"/>
    </row>
    <row r="4081" spans="2:4" x14ac:dyDescent="0.35">
      <c r="B4081" s="35">
        <v>39034</v>
      </c>
      <c r="C4081" s="34">
        <v>6393.73</v>
      </c>
      <c r="D4081" s="200"/>
    </row>
    <row r="4082" spans="2:4" x14ac:dyDescent="0.35">
      <c r="B4082" s="35">
        <v>39035</v>
      </c>
      <c r="C4082" s="34">
        <v>6387.38</v>
      </c>
      <c r="D4082" s="200"/>
    </row>
    <row r="4083" spans="2:4" x14ac:dyDescent="0.35">
      <c r="B4083" s="35">
        <v>39036</v>
      </c>
      <c r="C4083" s="34">
        <v>6430.89</v>
      </c>
      <c r="D4083" s="200"/>
    </row>
    <row r="4084" spans="2:4" x14ac:dyDescent="0.35">
      <c r="B4084" s="35">
        <v>39037</v>
      </c>
      <c r="C4084" s="34">
        <v>6443.02</v>
      </c>
      <c r="D4084" s="200"/>
    </row>
    <row r="4085" spans="2:4" x14ac:dyDescent="0.35">
      <c r="B4085" s="35">
        <v>39038</v>
      </c>
      <c r="C4085" s="34">
        <v>6412.36</v>
      </c>
      <c r="D4085" s="200"/>
    </row>
    <row r="4086" spans="2:4" x14ac:dyDescent="0.35">
      <c r="B4086" s="35">
        <v>39041</v>
      </c>
      <c r="C4086" s="34">
        <v>6452.33</v>
      </c>
      <c r="D4086" s="200"/>
    </row>
    <row r="4087" spans="2:4" x14ac:dyDescent="0.35">
      <c r="B4087" s="35">
        <v>39042</v>
      </c>
      <c r="C4087" s="34">
        <v>6460.39</v>
      </c>
      <c r="D4087" s="200"/>
    </row>
    <row r="4088" spans="2:4" x14ac:dyDescent="0.35">
      <c r="B4088" s="35">
        <v>39043</v>
      </c>
      <c r="C4088" s="34">
        <v>6476.13</v>
      </c>
      <c r="D4088" s="200"/>
    </row>
    <row r="4089" spans="2:4" x14ac:dyDescent="0.35">
      <c r="B4089" s="35">
        <v>39044</v>
      </c>
      <c r="C4089" s="34">
        <v>6475.25</v>
      </c>
      <c r="D4089" s="200"/>
    </row>
    <row r="4090" spans="2:4" x14ac:dyDescent="0.35">
      <c r="B4090" s="35">
        <v>39045</v>
      </c>
      <c r="C4090" s="34">
        <v>6411.96</v>
      </c>
      <c r="D4090" s="200"/>
    </row>
    <row r="4091" spans="2:4" x14ac:dyDescent="0.35">
      <c r="B4091" s="35">
        <v>39048</v>
      </c>
      <c r="C4091" s="34">
        <v>6298.17</v>
      </c>
      <c r="D4091" s="200"/>
    </row>
    <row r="4092" spans="2:4" x14ac:dyDescent="0.35">
      <c r="B4092" s="35">
        <v>39049</v>
      </c>
      <c r="C4092" s="34">
        <v>6281.68</v>
      </c>
      <c r="D4092" s="200"/>
    </row>
    <row r="4093" spans="2:4" x14ac:dyDescent="0.35">
      <c r="B4093" s="35">
        <v>39050</v>
      </c>
      <c r="C4093" s="34">
        <v>6363.8</v>
      </c>
      <c r="D4093" s="200"/>
    </row>
    <row r="4094" spans="2:4" x14ac:dyDescent="0.35">
      <c r="B4094" s="35">
        <v>39051</v>
      </c>
      <c r="C4094" s="34">
        <v>6309.19</v>
      </c>
      <c r="D4094" s="200"/>
    </row>
    <row r="4095" spans="2:4" x14ac:dyDescent="0.35">
      <c r="B4095" s="35">
        <v>39052</v>
      </c>
      <c r="C4095" s="34">
        <v>6241.13</v>
      </c>
      <c r="D4095" s="200"/>
    </row>
    <row r="4096" spans="2:4" x14ac:dyDescent="0.35">
      <c r="B4096" s="35">
        <v>39055</v>
      </c>
      <c r="C4096" s="34">
        <v>6295.23</v>
      </c>
      <c r="D4096" s="200"/>
    </row>
    <row r="4097" spans="2:4" x14ac:dyDescent="0.35">
      <c r="B4097" s="35">
        <v>39056</v>
      </c>
      <c r="C4097" s="34">
        <v>6372.8</v>
      </c>
      <c r="D4097" s="200"/>
    </row>
    <row r="4098" spans="2:4" x14ac:dyDescent="0.35">
      <c r="B4098" s="35">
        <v>39057</v>
      </c>
      <c r="C4098" s="34">
        <v>6369.51</v>
      </c>
      <c r="D4098" s="200"/>
    </row>
    <row r="4099" spans="2:4" x14ac:dyDescent="0.35">
      <c r="B4099" s="35">
        <v>39058</v>
      </c>
      <c r="C4099" s="34">
        <v>6413.03</v>
      </c>
      <c r="D4099" s="200"/>
    </row>
    <row r="4100" spans="2:4" x14ac:dyDescent="0.35">
      <c r="B4100" s="35">
        <v>39059</v>
      </c>
      <c r="C4100" s="34">
        <v>6427.41</v>
      </c>
      <c r="D4100" s="200"/>
    </row>
    <row r="4101" spans="2:4" x14ac:dyDescent="0.35">
      <c r="B4101" s="35">
        <v>39062</v>
      </c>
      <c r="C4101" s="34">
        <v>6469.42</v>
      </c>
      <c r="D4101" s="200"/>
    </row>
    <row r="4102" spans="2:4" x14ac:dyDescent="0.35">
      <c r="B4102" s="35">
        <v>39063</v>
      </c>
      <c r="C4102" s="34">
        <v>6476.17</v>
      </c>
      <c r="D4102" s="200"/>
    </row>
    <row r="4103" spans="2:4" x14ac:dyDescent="0.35">
      <c r="B4103" s="35">
        <v>39064</v>
      </c>
      <c r="C4103" s="34">
        <v>6520.77</v>
      </c>
      <c r="D4103" s="200"/>
    </row>
    <row r="4104" spans="2:4" x14ac:dyDescent="0.35">
      <c r="B4104" s="35">
        <v>39065</v>
      </c>
      <c r="C4104" s="34">
        <v>6552.58</v>
      </c>
      <c r="D4104" s="200"/>
    </row>
    <row r="4105" spans="2:4" x14ac:dyDescent="0.35">
      <c r="B4105" s="35">
        <v>39066</v>
      </c>
      <c r="C4105" s="34">
        <v>6588.83</v>
      </c>
      <c r="D4105" s="200"/>
    </row>
    <row r="4106" spans="2:4" x14ac:dyDescent="0.35">
      <c r="B4106" s="35">
        <v>39069</v>
      </c>
      <c r="C4106" s="34">
        <v>6597.25</v>
      </c>
      <c r="D4106" s="200"/>
    </row>
    <row r="4107" spans="2:4" x14ac:dyDescent="0.35">
      <c r="B4107" s="35">
        <v>39070</v>
      </c>
      <c r="C4107" s="34">
        <v>6553.51</v>
      </c>
      <c r="D4107" s="200"/>
    </row>
    <row r="4108" spans="2:4" x14ac:dyDescent="0.35">
      <c r="B4108" s="35">
        <v>39071</v>
      </c>
      <c r="C4108" s="34">
        <v>6586.91</v>
      </c>
      <c r="D4108" s="200"/>
    </row>
    <row r="4109" spans="2:4" x14ac:dyDescent="0.35">
      <c r="B4109" s="35">
        <v>39072</v>
      </c>
      <c r="C4109" s="34">
        <v>6573.96</v>
      </c>
      <c r="D4109" s="200"/>
    </row>
    <row r="4110" spans="2:4" x14ac:dyDescent="0.35">
      <c r="B4110" s="35">
        <v>39073</v>
      </c>
      <c r="C4110" s="34">
        <v>6503.13</v>
      </c>
      <c r="D4110" s="200"/>
    </row>
    <row r="4111" spans="2:4" x14ac:dyDescent="0.35">
      <c r="B4111" s="35">
        <v>39078</v>
      </c>
      <c r="C4111" s="34">
        <v>6608.86</v>
      </c>
      <c r="D4111" s="200"/>
    </row>
    <row r="4112" spans="2:4" x14ac:dyDescent="0.35">
      <c r="B4112" s="35">
        <v>39079</v>
      </c>
      <c r="C4112" s="34">
        <v>6611.81</v>
      </c>
      <c r="D4112" s="200"/>
    </row>
    <row r="4113" spans="2:4" x14ac:dyDescent="0.35">
      <c r="B4113" s="35">
        <v>39080</v>
      </c>
      <c r="C4113" s="34">
        <v>6596.92</v>
      </c>
      <c r="D4113" s="200"/>
    </row>
    <row r="4114" spans="2:4" x14ac:dyDescent="0.35">
      <c r="B4114" s="35">
        <v>39084</v>
      </c>
      <c r="C4114" s="34">
        <v>6681.13</v>
      </c>
      <c r="D4114" s="200"/>
    </row>
    <row r="4115" spans="2:4" x14ac:dyDescent="0.35">
      <c r="B4115" s="35">
        <v>39085</v>
      </c>
      <c r="C4115" s="34">
        <v>6691.32</v>
      </c>
      <c r="D4115" s="200"/>
    </row>
    <row r="4116" spans="2:4" x14ac:dyDescent="0.35">
      <c r="B4116" s="35">
        <v>39086</v>
      </c>
      <c r="C4116" s="34">
        <v>6674.4</v>
      </c>
      <c r="D4116" s="200"/>
    </row>
    <row r="4117" spans="2:4" x14ac:dyDescent="0.35">
      <c r="B4117" s="35">
        <v>39087</v>
      </c>
      <c r="C4117" s="34">
        <v>6593.09</v>
      </c>
      <c r="D4117" s="200"/>
    </row>
    <row r="4118" spans="2:4" x14ac:dyDescent="0.35">
      <c r="B4118" s="35">
        <v>39090</v>
      </c>
      <c r="C4118" s="34">
        <v>6607.59</v>
      </c>
      <c r="D4118" s="200"/>
    </row>
    <row r="4119" spans="2:4" x14ac:dyDescent="0.35">
      <c r="B4119" s="35">
        <v>39091</v>
      </c>
      <c r="C4119" s="34">
        <v>6614.37</v>
      </c>
      <c r="D4119" s="200"/>
    </row>
    <row r="4120" spans="2:4" x14ac:dyDescent="0.35">
      <c r="B4120" s="35">
        <v>39092</v>
      </c>
      <c r="C4120" s="34">
        <v>6566.56</v>
      </c>
      <c r="D4120" s="200"/>
    </row>
    <row r="4121" spans="2:4" x14ac:dyDescent="0.35">
      <c r="B4121" s="35">
        <v>39093</v>
      </c>
      <c r="C4121" s="34">
        <v>6687.3</v>
      </c>
      <c r="D4121" s="200"/>
    </row>
    <row r="4122" spans="2:4" x14ac:dyDescent="0.35">
      <c r="B4122" s="35">
        <v>39094</v>
      </c>
      <c r="C4122" s="34">
        <v>6705.17</v>
      </c>
      <c r="D4122" s="200"/>
    </row>
    <row r="4123" spans="2:4" x14ac:dyDescent="0.35">
      <c r="B4123" s="35">
        <v>39097</v>
      </c>
      <c r="C4123" s="34">
        <v>6731.74</v>
      </c>
      <c r="D4123" s="200"/>
    </row>
    <row r="4124" spans="2:4" x14ac:dyDescent="0.35">
      <c r="B4124" s="35">
        <v>39098</v>
      </c>
      <c r="C4124" s="34">
        <v>6716.82</v>
      </c>
      <c r="D4124" s="200"/>
    </row>
    <row r="4125" spans="2:4" x14ac:dyDescent="0.35">
      <c r="B4125" s="35">
        <v>39099</v>
      </c>
      <c r="C4125" s="34">
        <v>6701.7</v>
      </c>
      <c r="D4125" s="200"/>
    </row>
    <row r="4126" spans="2:4" x14ac:dyDescent="0.35">
      <c r="B4126" s="35">
        <v>39100</v>
      </c>
      <c r="C4126" s="34">
        <v>6689.62</v>
      </c>
      <c r="D4126" s="200"/>
    </row>
    <row r="4127" spans="2:4" x14ac:dyDescent="0.35">
      <c r="B4127" s="35">
        <v>39101</v>
      </c>
      <c r="C4127" s="34">
        <v>6747.17</v>
      </c>
      <c r="D4127" s="200"/>
    </row>
    <row r="4128" spans="2:4" x14ac:dyDescent="0.35">
      <c r="B4128" s="35">
        <v>39104</v>
      </c>
      <c r="C4128" s="34">
        <v>6687.31</v>
      </c>
      <c r="D4128" s="200"/>
    </row>
    <row r="4129" spans="2:4" x14ac:dyDescent="0.35">
      <c r="B4129" s="35">
        <v>39105</v>
      </c>
      <c r="C4129" s="34">
        <v>6678.93</v>
      </c>
      <c r="D4129" s="200"/>
    </row>
    <row r="4130" spans="2:4" x14ac:dyDescent="0.35">
      <c r="B4130" s="35">
        <v>39106</v>
      </c>
      <c r="C4130" s="34">
        <v>6748.37</v>
      </c>
      <c r="D4130" s="200"/>
    </row>
    <row r="4131" spans="2:4" x14ac:dyDescent="0.35">
      <c r="B4131" s="35">
        <v>39107</v>
      </c>
      <c r="C4131" s="34">
        <v>6719.58</v>
      </c>
      <c r="D4131" s="200"/>
    </row>
    <row r="4132" spans="2:4" x14ac:dyDescent="0.35">
      <c r="B4132" s="35">
        <v>39108</v>
      </c>
      <c r="C4132" s="34">
        <v>6690.34</v>
      </c>
      <c r="D4132" s="200"/>
    </row>
    <row r="4133" spans="2:4" x14ac:dyDescent="0.35">
      <c r="B4133" s="35">
        <v>39111</v>
      </c>
      <c r="C4133" s="34">
        <v>6726.01</v>
      </c>
      <c r="D4133" s="200"/>
    </row>
    <row r="4134" spans="2:4" x14ac:dyDescent="0.35">
      <c r="B4134" s="35">
        <v>39112</v>
      </c>
      <c r="C4134" s="34">
        <v>6788.23</v>
      </c>
      <c r="D4134" s="200"/>
    </row>
    <row r="4135" spans="2:4" x14ac:dyDescent="0.35">
      <c r="B4135" s="35">
        <v>39113</v>
      </c>
      <c r="C4135" s="34">
        <v>6789.11</v>
      </c>
      <c r="D4135" s="200"/>
    </row>
    <row r="4136" spans="2:4" x14ac:dyDescent="0.35">
      <c r="B4136" s="35">
        <v>39114</v>
      </c>
      <c r="C4136" s="34">
        <v>6851.28</v>
      </c>
      <c r="D4136" s="200"/>
    </row>
    <row r="4137" spans="2:4" x14ac:dyDescent="0.35">
      <c r="B4137" s="35">
        <v>39115</v>
      </c>
      <c r="C4137" s="34">
        <v>6885.76</v>
      </c>
      <c r="D4137" s="200"/>
    </row>
    <row r="4138" spans="2:4" x14ac:dyDescent="0.35">
      <c r="B4138" s="35">
        <v>39118</v>
      </c>
      <c r="C4138" s="34">
        <v>6874.06</v>
      </c>
      <c r="D4138" s="200"/>
    </row>
    <row r="4139" spans="2:4" x14ac:dyDescent="0.35">
      <c r="B4139" s="35">
        <v>39119</v>
      </c>
      <c r="C4139" s="34">
        <v>6875.7</v>
      </c>
      <c r="D4139" s="200"/>
    </row>
    <row r="4140" spans="2:4" x14ac:dyDescent="0.35">
      <c r="B4140" s="35">
        <v>39120</v>
      </c>
      <c r="C4140" s="34">
        <v>6915.56</v>
      </c>
      <c r="D4140" s="200"/>
    </row>
    <row r="4141" spans="2:4" x14ac:dyDescent="0.35">
      <c r="B4141" s="35">
        <v>39121</v>
      </c>
      <c r="C4141" s="34">
        <v>6876.73</v>
      </c>
      <c r="D4141" s="200"/>
    </row>
    <row r="4142" spans="2:4" x14ac:dyDescent="0.35">
      <c r="B4142" s="35">
        <v>39122</v>
      </c>
      <c r="C4142" s="34">
        <v>6911.11</v>
      </c>
      <c r="D4142" s="200"/>
    </row>
    <row r="4143" spans="2:4" x14ac:dyDescent="0.35">
      <c r="B4143" s="35">
        <v>39125</v>
      </c>
      <c r="C4143" s="34">
        <v>6859.45</v>
      </c>
      <c r="D4143" s="200"/>
    </row>
    <row r="4144" spans="2:4" x14ac:dyDescent="0.35">
      <c r="B4144" s="35">
        <v>39126</v>
      </c>
      <c r="C4144" s="34">
        <v>6895.34</v>
      </c>
      <c r="D4144" s="200"/>
    </row>
    <row r="4145" spans="2:4" x14ac:dyDescent="0.35">
      <c r="B4145" s="35">
        <v>39127</v>
      </c>
      <c r="C4145" s="34">
        <v>6961.18</v>
      </c>
      <c r="D4145" s="200"/>
    </row>
    <row r="4146" spans="2:4" x14ac:dyDescent="0.35">
      <c r="B4146" s="35">
        <v>39128</v>
      </c>
      <c r="C4146" s="34">
        <v>6958.62</v>
      </c>
      <c r="D4146" s="200"/>
    </row>
    <row r="4147" spans="2:4" x14ac:dyDescent="0.35">
      <c r="B4147" s="35">
        <v>39129</v>
      </c>
      <c r="C4147" s="34">
        <v>6957.07</v>
      </c>
      <c r="D4147" s="200"/>
    </row>
    <row r="4148" spans="2:4" x14ac:dyDescent="0.35">
      <c r="B4148" s="35">
        <v>39132</v>
      </c>
      <c r="C4148" s="34">
        <v>6987.08</v>
      </c>
      <c r="D4148" s="200"/>
    </row>
    <row r="4149" spans="2:4" x14ac:dyDescent="0.35">
      <c r="B4149" s="35">
        <v>39133</v>
      </c>
      <c r="C4149" s="34">
        <v>6982.91</v>
      </c>
      <c r="D4149" s="200"/>
    </row>
    <row r="4150" spans="2:4" x14ac:dyDescent="0.35">
      <c r="B4150" s="35">
        <v>39134</v>
      </c>
      <c r="C4150" s="34">
        <v>6941.66</v>
      </c>
      <c r="D4150" s="200"/>
    </row>
    <row r="4151" spans="2:4" x14ac:dyDescent="0.35">
      <c r="B4151" s="35">
        <v>39135</v>
      </c>
      <c r="C4151" s="34">
        <v>6973.73</v>
      </c>
      <c r="D4151" s="200"/>
    </row>
    <row r="4152" spans="2:4" x14ac:dyDescent="0.35">
      <c r="B4152" s="35">
        <v>39136</v>
      </c>
      <c r="C4152" s="34">
        <v>6992.58</v>
      </c>
      <c r="D4152" s="200"/>
    </row>
    <row r="4153" spans="2:4" x14ac:dyDescent="0.35">
      <c r="B4153" s="35">
        <v>39139</v>
      </c>
      <c r="C4153" s="34">
        <v>7027.59</v>
      </c>
      <c r="D4153" s="200"/>
    </row>
    <row r="4154" spans="2:4" x14ac:dyDescent="0.35">
      <c r="B4154" s="35">
        <v>39140</v>
      </c>
      <c r="C4154" s="34">
        <v>6819.65</v>
      </c>
      <c r="D4154" s="200"/>
    </row>
    <row r="4155" spans="2:4" x14ac:dyDescent="0.35">
      <c r="B4155" s="35">
        <v>39141</v>
      </c>
      <c r="C4155" s="34">
        <v>6715.44</v>
      </c>
      <c r="D4155" s="200"/>
    </row>
    <row r="4156" spans="2:4" x14ac:dyDescent="0.35">
      <c r="B4156" s="35">
        <v>39142</v>
      </c>
      <c r="C4156" s="34">
        <v>6640.24</v>
      </c>
      <c r="D4156" s="200"/>
    </row>
    <row r="4157" spans="2:4" x14ac:dyDescent="0.35">
      <c r="B4157" s="35">
        <v>39143</v>
      </c>
      <c r="C4157" s="34">
        <v>6603.32</v>
      </c>
      <c r="D4157" s="200"/>
    </row>
    <row r="4158" spans="2:4" x14ac:dyDescent="0.35">
      <c r="B4158" s="35">
        <v>39146</v>
      </c>
      <c r="C4158" s="34">
        <v>6534.57</v>
      </c>
      <c r="D4158" s="200"/>
    </row>
    <row r="4159" spans="2:4" x14ac:dyDescent="0.35">
      <c r="B4159" s="35">
        <v>39147</v>
      </c>
      <c r="C4159" s="34">
        <v>6595</v>
      </c>
      <c r="D4159" s="200"/>
    </row>
    <row r="4160" spans="2:4" x14ac:dyDescent="0.35">
      <c r="B4160" s="35">
        <v>39148</v>
      </c>
      <c r="C4160" s="34">
        <v>6617.75</v>
      </c>
      <c r="D4160" s="200"/>
    </row>
    <row r="4161" spans="2:4" x14ac:dyDescent="0.35">
      <c r="B4161" s="35">
        <v>39149</v>
      </c>
      <c r="C4161" s="34">
        <v>6713.23</v>
      </c>
      <c r="D4161" s="200"/>
    </row>
    <row r="4162" spans="2:4" x14ac:dyDescent="0.35">
      <c r="B4162" s="35">
        <v>39150</v>
      </c>
      <c r="C4162" s="34">
        <v>6716.52</v>
      </c>
      <c r="D4162" s="200"/>
    </row>
    <row r="4163" spans="2:4" x14ac:dyDescent="0.35">
      <c r="B4163" s="35">
        <v>39153</v>
      </c>
      <c r="C4163" s="34">
        <v>6715.49</v>
      </c>
      <c r="D4163" s="200"/>
    </row>
    <row r="4164" spans="2:4" x14ac:dyDescent="0.35">
      <c r="B4164" s="35">
        <v>39154</v>
      </c>
      <c r="C4164" s="34">
        <v>6623.99</v>
      </c>
      <c r="D4164" s="200"/>
    </row>
    <row r="4165" spans="2:4" x14ac:dyDescent="0.35">
      <c r="B4165" s="35">
        <v>39155</v>
      </c>
      <c r="C4165" s="34">
        <v>6447.7</v>
      </c>
      <c r="D4165" s="200"/>
    </row>
    <row r="4166" spans="2:4" x14ac:dyDescent="0.35">
      <c r="B4166" s="35">
        <v>39156</v>
      </c>
      <c r="C4166" s="34">
        <v>6585.47</v>
      </c>
      <c r="D4166" s="200"/>
    </row>
    <row r="4167" spans="2:4" x14ac:dyDescent="0.35">
      <c r="B4167" s="35">
        <v>39157</v>
      </c>
      <c r="C4167" s="34">
        <v>6579.87</v>
      </c>
      <c r="D4167" s="200"/>
    </row>
    <row r="4168" spans="2:4" x14ac:dyDescent="0.35">
      <c r="B4168" s="35">
        <v>39160</v>
      </c>
      <c r="C4168" s="34">
        <v>6671.41</v>
      </c>
      <c r="D4168" s="200"/>
    </row>
    <row r="4169" spans="2:4" x14ac:dyDescent="0.35">
      <c r="B4169" s="35">
        <v>39161</v>
      </c>
      <c r="C4169" s="34">
        <v>6700.29</v>
      </c>
      <c r="D4169" s="200"/>
    </row>
    <row r="4170" spans="2:4" x14ac:dyDescent="0.35">
      <c r="B4170" s="35">
        <v>39162</v>
      </c>
      <c r="C4170" s="34">
        <v>6712.06</v>
      </c>
      <c r="D4170" s="200"/>
    </row>
    <row r="4171" spans="2:4" x14ac:dyDescent="0.35">
      <c r="B4171" s="35">
        <v>39163</v>
      </c>
      <c r="C4171" s="34">
        <v>6856.96</v>
      </c>
      <c r="D4171" s="200"/>
    </row>
    <row r="4172" spans="2:4" x14ac:dyDescent="0.35">
      <c r="B4172" s="35">
        <v>39164</v>
      </c>
      <c r="C4172" s="34">
        <v>6899.06</v>
      </c>
      <c r="D4172" s="200"/>
    </row>
    <row r="4173" spans="2:4" x14ac:dyDescent="0.35">
      <c r="B4173" s="35">
        <v>39167</v>
      </c>
      <c r="C4173" s="34">
        <v>6828.82</v>
      </c>
      <c r="D4173" s="200"/>
    </row>
    <row r="4174" spans="2:4" x14ac:dyDescent="0.35">
      <c r="B4174" s="35">
        <v>39168</v>
      </c>
      <c r="C4174" s="34">
        <v>6858.34</v>
      </c>
      <c r="D4174" s="200"/>
    </row>
    <row r="4175" spans="2:4" x14ac:dyDescent="0.35">
      <c r="B4175" s="35">
        <v>39169</v>
      </c>
      <c r="C4175" s="34">
        <v>6816.89</v>
      </c>
      <c r="D4175" s="200"/>
    </row>
    <row r="4176" spans="2:4" x14ac:dyDescent="0.35">
      <c r="B4176" s="35">
        <v>39170</v>
      </c>
      <c r="C4176" s="34">
        <v>6897.08</v>
      </c>
      <c r="D4176" s="200"/>
    </row>
    <row r="4177" spans="2:4" x14ac:dyDescent="0.35">
      <c r="B4177" s="35">
        <v>39171</v>
      </c>
      <c r="C4177" s="34">
        <v>6917.03</v>
      </c>
      <c r="D4177" s="200"/>
    </row>
    <row r="4178" spans="2:4" x14ac:dyDescent="0.35">
      <c r="B4178" s="35">
        <v>39174</v>
      </c>
      <c r="C4178" s="34">
        <v>6937.17</v>
      </c>
      <c r="D4178" s="200"/>
    </row>
    <row r="4179" spans="2:4" x14ac:dyDescent="0.35">
      <c r="B4179" s="35">
        <v>39175</v>
      </c>
      <c r="C4179" s="34">
        <v>7045.56</v>
      </c>
      <c r="D4179" s="200"/>
    </row>
    <row r="4180" spans="2:4" x14ac:dyDescent="0.35">
      <c r="B4180" s="35">
        <v>39176</v>
      </c>
      <c r="C4180" s="34">
        <v>7073.91</v>
      </c>
      <c r="D4180" s="200"/>
    </row>
    <row r="4181" spans="2:4" x14ac:dyDescent="0.35">
      <c r="B4181" s="35">
        <v>39177</v>
      </c>
      <c r="C4181" s="34">
        <v>7099.91</v>
      </c>
      <c r="D4181" s="200"/>
    </row>
    <row r="4182" spans="2:4" x14ac:dyDescent="0.35">
      <c r="B4182" s="35">
        <v>39182</v>
      </c>
      <c r="C4182" s="34">
        <v>7166.67</v>
      </c>
      <c r="D4182" s="200"/>
    </row>
    <row r="4183" spans="2:4" x14ac:dyDescent="0.35">
      <c r="B4183" s="35">
        <v>39183</v>
      </c>
      <c r="C4183" s="34">
        <v>7152.83</v>
      </c>
      <c r="D4183" s="200"/>
    </row>
    <row r="4184" spans="2:4" x14ac:dyDescent="0.35">
      <c r="B4184" s="35">
        <v>39184</v>
      </c>
      <c r="C4184" s="34">
        <v>7142.95</v>
      </c>
      <c r="D4184" s="200"/>
    </row>
    <row r="4185" spans="2:4" x14ac:dyDescent="0.35">
      <c r="B4185" s="35">
        <v>39185</v>
      </c>
      <c r="C4185" s="34">
        <v>7212.07</v>
      </c>
      <c r="D4185" s="200"/>
    </row>
    <row r="4186" spans="2:4" x14ac:dyDescent="0.35">
      <c r="B4186" s="35">
        <v>39188</v>
      </c>
      <c r="C4186" s="34">
        <v>7338.06</v>
      </c>
      <c r="D4186" s="200"/>
    </row>
    <row r="4187" spans="2:4" x14ac:dyDescent="0.35">
      <c r="B4187" s="35">
        <v>39189</v>
      </c>
      <c r="C4187" s="34">
        <v>7348.83</v>
      </c>
      <c r="D4187" s="200"/>
    </row>
    <row r="4188" spans="2:4" x14ac:dyDescent="0.35">
      <c r="B4188" s="35">
        <v>39190</v>
      </c>
      <c r="C4188" s="34">
        <v>7282.34</v>
      </c>
      <c r="D4188" s="200"/>
    </row>
    <row r="4189" spans="2:4" x14ac:dyDescent="0.35">
      <c r="B4189" s="35">
        <v>39191</v>
      </c>
      <c r="C4189" s="34">
        <v>7242.73</v>
      </c>
      <c r="D4189" s="200"/>
    </row>
    <row r="4190" spans="2:4" x14ac:dyDescent="0.35">
      <c r="B4190" s="35">
        <v>39192</v>
      </c>
      <c r="C4190" s="34">
        <v>7342.54</v>
      </c>
      <c r="D4190" s="200"/>
    </row>
    <row r="4191" spans="2:4" x14ac:dyDescent="0.35">
      <c r="B4191" s="35">
        <v>39195</v>
      </c>
      <c r="C4191" s="34">
        <v>7335.62</v>
      </c>
      <c r="D4191" s="200"/>
    </row>
    <row r="4192" spans="2:4" x14ac:dyDescent="0.35">
      <c r="B4192" s="35">
        <v>39196</v>
      </c>
      <c r="C4192" s="34">
        <v>7270.32</v>
      </c>
      <c r="D4192" s="200"/>
    </row>
    <row r="4193" spans="2:4" x14ac:dyDescent="0.35">
      <c r="B4193" s="35">
        <v>39197</v>
      </c>
      <c r="C4193" s="34">
        <v>7343.08</v>
      </c>
      <c r="D4193" s="200"/>
    </row>
    <row r="4194" spans="2:4" x14ac:dyDescent="0.35">
      <c r="B4194" s="35">
        <v>39198</v>
      </c>
      <c r="C4194" s="34">
        <v>7387.02</v>
      </c>
      <c r="D4194" s="200"/>
    </row>
    <row r="4195" spans="2:4" x14ac:dyDescent="0.35">
      <c r="B4195" s="35">
        <v>39199</v>
      </c>
      <c r="C4195" s="34">
        <v>7378.12</v>
      </c>
      <c r="D4195" s="200"/>
    </row>
    <row r="4196" spans="2:4" x14ac:dyDescent="0.35">
      <c r="B4196" s="35">
        <v>39202</v>
      </c>
      <c r="C4196" s="34">
        <v>7408.87</v>
      </c>
      <c r="D4196" s="200"/>
    </row>
    <row r="4197" spans="2:4" x14ac:dyDescent="0.35">
      <c r="B4197" s="35">
        <v>39204</v>
      </c>
      <c r="C4197" s="34">
        <v>7455.93</v>
      </c>
      <c r="D4197" s="200"/>
    </row>
    <row r="4198" spans="2:4" x14ac:dyDescent="0.35">
      <c r="B4198" s="35">
        <v>39205</v>
      </c>
      <c r="C4198" s="34">
        <v>7476.69</v>
      </c>
      <c r="D4198" s="200"/>
    </row>
    <row r="4199" spans="2:4" x14ac:dyDescent="0.35">
      <c r="B4199" s="35">
        <v>39206</v>
      </c>
      <c r="C4199" s="34">
        <v>7516.76</v>
      </c>
      <c r="D4199" s="200"/>
    </row>
    <row r="4200" spans="2:4" x14ac:dyDescent="0.35">
      <c r="B4200" s="35">
        <v>39209</v>
      </c>
      <c r="C4200" s="34">
        <v>7525.69</v>
      </c>
      <c r="D4200" s="200"/>
    </row>
    <row r="4201" spans="2:4" x14ac:dyDescent="0.35">
      <c r="B4201" s="35">
        <v>39210</v>
      </c>
      <c r="C4201" s="34">
        <v>7442.2</v>
      </c>
      <c r="D4201" s="200"/>
    </row>
    <row r="4202" spans="2:4" x14ac:dyDescent="0.35">
      <c r="B4202" s="35">
        <v>39211</v>
      </c>
      <c r="C4202" s="34">
        <v>7475.99</v>
      </c>
      <c r="D4202" s="200"/>
    </row>
    <row r="4203" spans="2:4" x14ac:dyDescent="0.35">
      <c r="B4203" s="35">
        <v>39212</v>
      </c>
      <c r="C4203" s="34">
        <v>7415.33</v>
      </c>
      <c r="D4203" s="200"/>
    </row>
    <row r="4204" spans="2:4" x14ac:dyDescent="0.35">
      <c r="B4204" s="35">
        <v>39213</v>
      </c>
      <c r="C4204" s="34">
        <v>7479.34</v>
      </c>
      <c r="D4204" s="200"/>
    </row>
    <row r="4205" spans="2:4" x14ac:dyDescent="0.35">
      <c r="B4205" s="35">
        <v>39216</v>
      </c>
      <c r="C4205" s="34">
        <v>7459.61</v>
      </c>
      <c r="D4205" s="200"/>
    </row>
    <row r="4206" spans="2:4" x14ac:dyDescent="0.35">
      <c r="B4206" s="35">
        <v>39217</v>
      </c>
      <c r="C4206" s="34">
        <v>7505.35</v>
      </c>
      <c r="D4206" s="200"/>
    </row>
    <row r="4207" spans="2:4" x14ac:dyDescent="0.35">
      <c r="B4207" s="35">
        <v>39218</v>
      </c>
      <c r="C4207" s="34">
        <v>7481.25</v>
      </c>
      <c r="D4207" s="200"/>
    </row>
    <row r="4208" spans="2:4" x14ac:dyDescent="0.35">
      <c r="B4208" s="35">
        <v>39219</v>
      </c>
      <c r="C4208" s="34">
        <v>7499.5</v>
      </c>
      <c r="D4208" s="200"/>
    </row>
    <row r="4209" spans="2:4" x14ac:dyDescent="0.35">
      <c r="B4209" s="35">
        <v>39220</v>
      </c>
      <c r="C4209" s="34">
        <v>7607.54</v>
      </c>
      <c r="D4209" s="200"/>
    </row>
    <row r="4210" spans="2:4" x14ac:dyDescent="0.35">
      <c r="B4210" s="35">
        <v>39223</v>
      </c>
      <c r="C4210" s="34">
        <v>7619.31</v>
      </c>
      <c r="D4210" s="200"/>
    </row>
    <row r="4211" spans="2:4" x14ac:dyDescent="0.35">
      <c r="B4211" s="35">
        <v>39224</v>
      </c>
      <c r="C4211" s="34">
        <v>7659.39</v>
      </c>
      <c r="D4211" s="200"/>
    </row>
    <row r="4212" spans="2:4" x14ac:dyDescent="0.35">
      <c r="B4212" s="35">
        <v>39225</v>
      </c>
      <c r="C4212" s="34">
        <v>7735.88</v>
      </c>
      <c r="D4212" s="200"/>
    </row>
    <row r="4213" spans="2:4" x14ac:dyDescent="0.35">
      <c r="B4213" s="35">
        <v>39226</v>
      </c>
      <c r="C4213" s="34">
        <v>7697.38</v>
      </c>
      <c r="D4213" s="200"/>
    </row>
    <row r="4214" spans="2:4" x14ac:dyDescent="0.35">
      <c r="B4214" s="35">
        <v>39227</v>
      </c>
      <c r="C4214" s="34">
        <v>7739.2</v>
      </c>
      <c r="D4214" s="200"/>
    </row>
    <row r="4215" spans="2:4" x14ac:dyDescent="0.35">
      <c r="B4215" s="35">
        <v>39231</v>
      </c>
      <c r="C4215" s="34">
        <v>7781.04</v>
      </c>
      <c r="D4215" s="200"/>
    </row>
    <row r="4216" spans="2:4" x14ac:dyDescent="0.35">
      <c r="B4216" s="35">
        <v>39232</v>
      </c>
      <c r="C4216" s="34">
        <v>7764.97</v>
      </c>
      <c r="D4216" s="200"/>
    </row>
    <row r="4217" spans="2:4" x14ac:dyDescent="0.35">
      <c r="B4217" s="35">
        <v>39233</v>
      </c>
      <c r="C4217" s="34">
        <v>7883.04</v>
      </c>
      <c r="D4217" s="200"/>
    </row>
    <row r="4218" spans="2:4" x14ac:dyDescent="0.35">
      <c r="B4218" s="35">
        <v>39234</v>
      </c>
      <c r="C4218" s="34">
        <v>7987.85</v>
      </c>
      <c r="D4218" s="200"/>
    </row>
    <row r="4219" spans="2:4" x14ac:dyDescent="0.35">
      <c r="B4219" s="35">
        <v>39237</v>
      </c>
      <c r="C4219" s="34">
        <v>7976.79</v>
      </c>
      <c r="D4219" s="200"/>
    </row>
    <row r="4220" spans="2:4" x14ac:dyDescent="0.35">
      <c r="B4220" s="35">
        <v>39238</v>
      </c>
      <c r="C4220" s="34">
        <v>7919.83</v>
      </c>
      <c r="D4220" s="200"/>
    </row>
    <row r="4221" spans="2:4" x14ac:dyDescent="0.35">
      <c r="B4221" s="35">
        <v>39239</v>
      </c>
      <c r="C4221" s="34">
        <v>7730.05</v>
      </c>
      <c r="D4221" s="200"/>
    </row>
    <row r="4222" spans="2:4" x14ac:dyDescent="0.35">
      <c r="B4222" s="35">
        <v>39240</v>
      </c>
      <c r="C4222" s="34">
        <v>7618.61</v>
      </c>
      <c r="D4222" s="200"/>
    </row>
    <row r="4223" spans="2:4" x14ac:dyDescent="0.35">
      <c r="B4223" s="35">
        <v>39241</v>
      </c>
      <c r="C4223" s="34">
        <v>7590.5</v>
      </c>
      <c r="D4223" s="200"/>
    </row>
    <row r="4224" spans="2:4" x14ac:dyDescent="0.35">
      <c r="B4224" s="35">
        <v>39244</v>
      </c>
      <c r="C4224" s="34">
        <v>7706.1</v>
      </c>
      <c r="D4224" s="200"/>
    </row>
    <row r="4225" spans="2:4" x14ac:dyDescent="0.35">
      <c r="B4225" s="35">
        <v>39245</v>
      </c>
      <c r="C4225" s="34">
        <v>7678.26</v>
      </c>
      <c r="D4225" s="200"/>
    </row>
    <row r="4226" spans="2:4" x14ac:dyDescent="0.35">
      <c r="B4226" s="35">
        <v>39246</v>
      </c>
      <c r="C4226" s="34">
        <v>7680.76</v>
      </c>
      <c r="D4226" s="200"/>
    </row>
    <row r="4227" spans="2:4" x14ac:dyDescent="0.35">
      <c r="B4227" s="35">
        <v>39247</v>
      </c>
      <c r="C4227" s="34">
        <v>7849.16</v>
      </c>
      <c r="D4227" s="200"/>
    </row>
    <row r="4228" spans="2:4" x14ac:dyDescent="0.35">
      <c r="B4228" s="35">
        <v>39248</v>
      </c>
      <c r="C4228" s="34">
        <v>8030.64</v>
      </c>
      <c r="D4228" s="200"/>
    </row>
    <row r="4229" spans="2:4" x14ac:dyDescent="0.35">
      <c r="B4229" s="35">
        <v>39251</v>
      </c>
      <c r="C4229" s="34">
        <v>8036.12</v>
      </c>
      <c r="D4229" s="200"/>
    </row>
    <row r="4230" spans="2:4" x14ac:dyDescent="0.35">
      <c r="B4230" s="35">
        <v>39252</v>
      </c>
      <c r="C4230" s="34">
        <v>8033.52</v>
      </c>
      <c r="D4230" s="200"/>
    </row>
    <row r="4231" spans="2:4" x14ac:dyDescent="0.35">
      <c r="B4231" s="35">
        <v>39253</v>
      </c>
      <c r="C4231" s="34">
        <v>8090.49</v>
      </c>
      <c r="D4231" s="200"/>
    </row>
    <row r="4232" spans="2:4" x14ac:dyDescent="0.35">
      <c r="B4232" s="35">
        <v>39254</v>
      </c>
      <c r="C4232" s="34">
        <v>7964.71</v>
      </c>
      <c r="D4232" s="200"/>
    </row>
    <row r="4233" spans="2:4" x14ac:dyDescent="0.35">
      <c r="B4233" s="35">
        <v>39255</v>
      </c>
      <c r="C4233" s="34">
        <v>7949.63</v>
      </c>
      <c r="D4233" s="200"/>
    </row>
    <row r="4234" spans="2:4" x14ac:dyDescent="0.35">
      <c r="B4234" s="35">
        <v>39258</v>
      </c>
      <c r="C4234" s="34">
        <v>7930.61</v>
      </c>
      <c r="D4234" s="200"/>
    </row>
    <row r="4235" spans="2:4" x14ac:dyDescent="0.35">
      <c r="B4235" s="35">
        <v>39259</v>
      </c>
      <c r="C4235" s="34">
        <v>7860.52</v>
      </c>
      <c r="D4235" s="200"/>
    </row>
    <row r="4236" spans="2:4" x14ac:dyDescent="0.35">
      <c r="B4236" s="35">
        <v>39260</v>
      </c>
      <c r="C4236" s="34">
        <v>7801.23</v>
      </c>
      <c r="D4236" s="200"/>
    </row>
    <row r="4237" spans="2:4" x14ac:dyDescent="0.35">
      <c r="B4237" s="35">
        <v>39261</v>
      </c>
      <c r="C4237" s="34">
        <v>7921.36</v>
      </c>
      <c r="D4237" s="200"/>
    </row>
    <row r="4238" spans="2:4" x14ac:dyDescent="0.35">
      <c r="B4238" s="35">
        <v>39262</v>
      </c>
      <c r="C4238" s="34">
        <v>8007.32</v>
      </c>
      <c r="D4238" s="200"/>
    </row>
    <row r="4239" spans="2:4" x14ac:dyDescent="0.35">
      <c r="B4239" s="35">
        <v>39265</v>
      </c>
      <c r="C4239" s="34">
        <v>7958.24</v>
      </c>
      <c r="D4239" s="200"/>
    </row>
    <row r="4240" spans="2:4" x14ac:dyDescent="0.35">
      <c r="B4240" s="35">
        <v>39266</v>
      </c>
      <c r="C4240" s="34">
        <v>8050.68</v>
      </c>
      <c r="D4240" s="200"/>
    </row>
    <row r="4241" spans="2:4" x14ac:dyDescent="0.35">
      <c r="B4241" s="35">
        <v>39267</v>
      </c>
      <c r="C4241" s="34">
        <v>8075.26</v>
      </c>
      <c r="D4241" s="200"/>
    </row>
    <row r="4242" spans="2:4" x14ac:dyDescent="0.35">
      <c r="B4242" s="35">
        <v>39268</v>
      </c>
      <c r="C4242" s="34">
        <v>7987.13</v>
      </c>
      <c r="D4242" s="200"/>
    </row>
    <row r="4243" spans="2:4" x14ac:dyDescent="0.35">
      <c r="B4243" s="35">
        <v>39269</v>
      </c>
      <c r="C4243" s="34">
        <v>8048.32</v>
      </c>
      <c r="D4243" s="200"/>
    </row>
    <row r="4244" spans="2:4" x14ac:dyDescent="0.35">
      <c r="B4244" s="35">
        <v>39272</v>
      </c>
      <c r="C4244" s="34">
        <v>8077.39</v>
      </c>
      <c r="D4244" s="200"/>
    </row>
    <row r="4245" spans="2:4" x14ac:dyDescent="0.35">
      <c r="B4245" s="35">
        <v>39273</v>
      </c>
      <c r="C4245" s="34">
        <v>7964.76</v>
      </c>
      <c r="D4245" s="200"/>
    </row>
    <row r="4246" spans="2:4" x14ac:dyDescent="0.35">
      <c r="B4246" s="35">
        <v>39274</v>
      </c>
      <c r="C4246" s="34">
        <v>7898.54</v>
      </c>
      <c r="D4246" s="200"/>
    </row>
    <row r="4247" spans="2:4" x14ac:dyDescent="0.35">
      <c r="B4247" s="35">
        <v>39275</v>
      </c>
      <c r="C4247" s="34">
        <v>8053.43</v>
      </c>
      <c r="D4247" s="200"/>
    </row>
    <row r="4248" spans="2:4" x14ac:dyDescent="0.35">
      <c r="B4248" s="35">
        <v>39276</v>
      </c>
      <c r="C4248" s="34">
        <v>8092.77</v>
      </c>
      <c r="D4248" s="200"/>
    </row>
    <row r="4249" spans="2:4" x14ac:dyDescent="0.35">
      <c r="B4249" s="35">
        <v>39279</v>
      </c>
      <c r="C4249" s="34">
        <v>8105.69</v>
      </c>
      <c r="D4249" s="200"/>
    </row>
    <row r="4250" spans="2:4" x14ac:dyDescent="0.35">
      <c r="B4250" s="35">
        <v>39280</v>
      </c>
      <c r="C4250" s="34">
        <v>8038.21</v>
      </c>
      <c r="D4250" s="200"/>
    </row>
    <row r="4251" spans="2:4" x14ac:dyDescent="0.35">
      <c r="B4251" s="35">
        <v>39281</v>
      </c>
      <c r="C4251" s="34">
        <v>7893.61</v>
      </c>
      <c r="D4251" s="200"/>
    </row>
    <row r="4252" spans="2:4" x14ac:dyDescent="0.35">
      <c r="B4252" s="35">
        <v>39282</v>
      </c>
      <c r="C4252" s="34">
        <v>7991.21</v>
      </c>
      <c r="D4252" s="200"/>
    </row>
    <row r="4253" spans="2:4" x14ac:dyDescent="0.35">
      <c r="B4253" s="35">
        <v>39283</v>
      </c>
      <c r="C4253" s="34">
        <v>7874.85</v>
      </c>
      <c r="D4253" s="200"/>
    </row>
    <row r="4254" spans="2:4" x14ac:dyDescent="0.35">
      <c r="B4254" s="35">
        <v>39286</v>
      </c>
      <c r="C4254" s="34">
        <v>7944.21</v>
      </c>
      <c r="D4254" s="200"/>
    </row>
    <row r="4255" spans="2:4" x14ac:dyDescent="0.35">
      <c r="B4255" s="35">
        <v>39287</v>
      </c>
      <c r="C4255" s="34">
        <v>7806.79</v>
      </c>
      <c r="D4255" s="200"/>
    </row>
    <row r="4256" spans="2:4" x14ac:dyDescent="0.35">
      <c r="B4256" s="35">
        <v>39288</v>
      </c>
      <c r="C4256" s="34">
        <v>7692.55</v>
      </c>
      <c r="D4256" s="200"/>
    </row>
    <row r="4257" spans="2:4" x14ac:dyDescent="0.35">
      <c r="B4257" s="35">
        <v>39289</v>
      </c>
      <c r="C4257" s="34">
        <v>7508.96</v>
      </c>
      <c r="D4257" s="200"/>
    </row>
    <row r="4258" spans="2:4" x14ac:dyDescent="0.35">
      <c r="B4258" s="35">
        <v>39290</v>
      </c>
      <c r="C4258" s="34">
        <v>7451.68</v>
      </c>
      <c r="D4258" s="200"/>
    </row>
    <row r="4259" spans="2:4" x14ac:dyDescent="0.35">
      <c r="B4259" s="35">
        <v>39293</v>
      </c>
      <c r="C4259" s="34">
        <v>7456.31</v>
      </c>
      <c r="D4259" s="200"/>
    </row>
    <row r="4260" spans="2:4" x14ac:dyDescent="0.35">
      <c r="B4260" s="35">
        <v>39294</v>
      </c>
      <c r="C4260" s="34">
        <v>7584.14</v>
      </c>
      <c r="D4260" s="200"/>
    </row>
    <row r="4261" spans="2:4" x14ac:dyDescent="0.35">
      <c r="B4261" s="35">
        <v>39295</v>
      </c>
      <c r="C4261" s="34">
        <v>7473.93</v>
      </c>
      <c r="D4261" s="200"/>
    </row>
    <row r="4262" spans="2:4" x14ac:dyDescent="0.35">
      <c r="B4262" s="35">
        <v>39296</v>
      </c>
      <c r="C4262" s="34">
        <v>7534.13</v>
      </c>
      <c r="D4262" s="200"/>
    </row>
    <row r="4263" spans="2:4" x14ac:dyDescent="0.35">
      <c r="B4263" s="35">
        <v>39297</v>
      </c>
      <c r="C4263" s="34">
        <v>7435.67</v>
      </c>
      <c r="D4263" s="200"/>
    </row>
    <row r="4264" spans="2:4" x14ac:dyDescent="0.35">
      <c r="B4264" s="35">
        <v>39300</v>
      </c>
      <c r="C4264" s="34">
        <v>7444.45</v>
      </c>
      <c r="D4264" s="200"/>
    </row>
    <row r="4265" spans="2:4" x14ac:dyDescent="0.35">
      <c r="B4265" s="35">
        <v>39301</v>
      </c>
      <c r="C4265" s="34">
        <v>7513.66</v>
      </c>
      <c r="D4265" s="200"/>
    </row>
    <row r="4266" spans="2:4" x14ac:dyDescent="0.35">
      <c r="B4266" s="35">
        <v>39302</v>
      </c>
      <c r="C4266" s="34">
        <v>7605.94</v>
      </c>
      <c r="D4266" s="200"/>
    </row>
    <row r="4267" spans="2:4" x14ac:dyDescent="0.35">
      <c r="B4267" s="35">
        <v>39303</v>
      </c>
      <c r="C4267" s="34">
        <v>7453.59</v>
      </c>
      <c r="D4267" s="200"/>
    </row>
    <row r="4268" spans="2:4" x14ac:dyDescent="0.35">
      <c r="B4268" s="35">
        <v>39304</v>
      </c>
      <c r="C4268" s="34">
        <v>7343.26</v>
      </c>
      <c r="D4268" s="200"/>
    </row>
    <row r="4269" spans="2:4" x14ac:dyDescent="0.35">
      <c r="B4269" s="35">
        <v>39307</v>
      </c>
      <c r="C4269" s="34">
        <v>7474.33</v>
      </c>
      <c r="D4269" s="200"/>
    </row>
    <row r="4270" spans="2:4" x14ac:dyDescent="0.35">
      <c r="B4270" s="35">
        <v>39308</v>
      </c>
      <c r="C4270" s="34">
        <v>7425.07</v>
      </c>
      <c r="D4270" s="200"/>
    </row>
    <row r="4271" spans="2:4" x14ac:dyDescent="0.35">
      <c r="B4271" s="35">
        <v>39309</v>
      </c>
      <c r="C4271" s="34">
        <v>7445.9</v>
      </c>
      <c r="D4271" s="200"/>
    </row>
    <row r="4272" spans="2:4" x14ac:dyDescent="0.35">
      <c r="B4272" s="35">
        <v>39310</v>
      </c>
      <c r="C4272" s="34">
        <v>7270.07</v>
      </c>
      <c r="D4272" s="200"/>
    </row>
    <row r="4273" spans="2:4" x14ac:dyDescent="0.35">
      <c r="B4273" s="35">
        <v>39311</v>
      </c>
      <c r="C4273" s="34">
        <v>7378.29</v>
      </c>
      <c r="D4273" s="200"/>
    </row>
    <row r="4274" spans="2:4" x14ac:dyDescent="0.35">
      <c r="B4274" s="35">
        <v>39314</v>
      </c>
      <c r="C4274" s="34">
        <v>7407.53</v>
      </c>
      <c r="D4274" s="200"/>
    </row>
    <row r="4275" spans="2:4" x14ac:dyDescent="0.35">
      <c r="B4275" s="35">
        <v>39315</v>
      </c>
      <c r="C4275" s="34">
        <v>7424.75</v>
      </c>
      <c r="D4275" s="200"/>
    </row>
    <row r="4276" spans="2:4" x14ac:dyDescent="0.35">
      <c r="B4276" s="35">
        <v>39316</v>
      </c>
      <c r="C4276" s="34">
        <v>7500.48</v>
      </c>
      <c r="D4276" s="200"/>
    </row>
    <row r="4277" spans="2:4" x14ac:dyDescent="0.35">
      <c r="B4277" s="35">
        <v>39317</v>
      </c>
      <c r="C4277" s="34">
        <v>7511.96</v>
      </c>
      <c r="D4277" s="200"/>
    </row>
    <row r="4278" spans="2:4" x14ac:dyDescent="0.35">
      <c r="B4278" s="35">
        <v>39318</v>
      </c>
      <c r="C4278" s="34">
        <v>7507.27</v>
      </c>
      <c r="D4278" s="200"/>
    </row>
    <row r="4279" spans="2:4" x14ac:dyDescent="0.35">
      <c r="B4279" s="35">
        <v>39321</v>
      </c>
      <c r="C4279" s="34">
        <v>7485.99</v>
      </c>
      <c r="D4279" s="200"/>
    </row>
    <row r="4280" spans="2:4" x14ac:dyDescent="0.35">
      <c r="B4280" s="35">
        <v>39322</v>
      </c>
      <c r="C4280" s="34">
        <v>7430.24</v>
      </c>
      <c r="D4280" s="200"/>
    </row>
    <row r="4281" spans="2:4" x14ac:dyDescent="0.35">
      <c r="B4281" s="35">
        <v>39323</v>
      </c>
      <c r="C4281" s="34">
        <v>7439.18</v>
      </c>
      <c r="D4281" s="200"/>
    </row>
    <row r="4282" spans="2:4" x14ac:dyDescent="0.35">
      <c r="B4282" s="35">
        <v>39324</v>
      </c>
      <c r="C4282" s="34">
        <v>7519.94</v>
      </c>
      <c r="D4282" s="200"/>
    </row>
    <row r="4283" spans="2:4" x14ac:dyDescent="0.35">
      <c r="B4283" s="35">
        <v>39325</v>
      </c>
      <c r="C4283" s="34">
        <v>7638.17</v>
      </c>
      <c r="D4283" s="200"/>
    </row>
    <row r="4284" spans="2:4" x14ac:dyDescent="0.35">
      <c r="B4284" s="35">
        <v>39328</v>
      </c>
      <c r="C4284" s="34">
        <v>7648.58</v>
      </c>
      <c r="D4284" s="200"/>
    </row>
    <row r="4285" spans="2:4" x14ac:dyDescent="0.35">
      <c r="B4285" s="35">
        <v>39329</v>
      </c>
      <c r="C4285" s="34">
        <v>7721.77</v>
      </c>
      <c r="D4285" s="200"/>
    </row>
    <row r="4286" spans="2:4" x14ac:dyDescent="0.35">
      <c r="B4286" s="35">
        <v>39330</v>
      </c>
      <c r="C4286" s="34">
        <v>7588.03</v>
      </c>
      <c r="D4286" s="200"/>
    </row>
    <row r="4287" spans="2:4" x14ac:dyDescent="0.35">
      <c r="B4287" s="35">
        <v>39331</v>
      </c>
      <c r="C4287" s="34">
        <v>7621.72</v>
      </c>
      <c r="D4287" s="200"/>
    </row>
    <row r="4288" spans="2:4" x14ac:dyDescent="0.35">
      <c r="B4288" s="35">
        <v>39332</v>
      </c>
      <c r="C4288" s="34">
        <v>7436.63</v>
      </c>
      <c r="D4288" s="200"/>
    </row>
    <row r="4289" spans="2:4" x14ac:dyDescent="0.35">
      <c r="B4289" s="35">
        <v>39335</v>
      </c>
      <c r="C4289" s="34">
        <v>7375.44</v>
      </c>
      <c r="D4289" s="200"/>
    </row>
    <row r="4290" spans="2:4" x14ac:dyDescent="0.35">
      <c r="B4290" s="35">
        <v>39336</v>
      </c>
      <c r="C4290" s="34">
        <v>7457.9</v>
      </c>
      <c r="D4290" s="200"/>
    </row>
    <row r="4291" spans="2:4" x14ac:dyDescent="0.35">
      <c r="B4291" s="35">
        <v>39337</v>
      </c>
      <c r="C4291" s="34">
        <v>7472.99</v>
      </c>
      <c r="D4291" s="200"/>
    </row>
    <row r="4292" spans="2:4" x14ac:dyDescent="0.35">
      <c r="B4292" s="35">
        <v>39338</v>
      </c>
      <c r="C4292" s="34">
        <v>7535.97</v>
      </c>
      <c r="D4292" s="200"/>
    </row>
    <row r="4293" spans="2:4" x14ac:dyDescent="0.35">
      <c r="B4293" s="35">
        <v>39339</v>
      </c>
      <c r="C4293" s="34">
        <v>7497.74</v>
      </c>
      <c r="D4293" s="200"/>
    </row>
    <row r="4294" spans="2:4" x14ac:dyDescent="0.35">
      <c r="B4294" s="35">
        <v>39342</v>
      </c>
      <c r="C4294" s="34">
        <v>7479.85</v>
      </c>
      <c r="D4294" s="200"/>
    </row>
    <row r="4295" spans="2:4" x14ac:dyDescent="0.35">
      <c r="B4295" s="35">
        <v>39343</v>
      </c>
      <c r="C4295" s="34">
        <v>7575.21</v>
      </c>
      <c r="D4295" s="200"/>
    </row>
    <row r="4296" spans="2:4" x14ac:dyDescent="0.35">
      <c r="B4296" s="35">
        <v>39344</v>
      </c>
      <c r="C4296" s="34">
        <v>7750.84</v>
      </c>
      <c r="D4296" s="200"/>
    </row>
    <row r="4297" spans="2:4" x14ac:dyDescent="0.35">
      <c r="B4297" s="35">
        <v>39345</v>
      </c>
      <c r="C4297" s="34">
        <v>7735.09</v>
      </c>
      <c r="D4297" s="200"/>
    </row>
    <row r="4298" spans="2:4" x14ac:dyDescent="0.35">
      <c r="B4298" s="35">
        <v>39346</v>
      </c>
      <c r="C4298" s="34">
        <v>7794.43</v>
      </c>
      <c r="D4298" s="200"/>
    </row>
    <row r="4299" spans="2:4" x14ac:dyDescent="0.35">
      <c r="B4299" s="35">
        <v>39349</v>
      </c>
      <c r="C4299" s="34">
        <v>7787.92</v>
      </c>
      <c r="D4299" s="200"/>
    </row>
    <row r="4300" spans="2:4" x14ac:dyDescent="0.35">
      <c r="B4300" s="35">
        <v>39350</v>
      </c>
      <c r="C4300" s="34">
        <v>7769.44</v>
      </c>
      <c r="D4300" s="200"/>
    </row>
    <row r="4301" spans="2:4" x14ac:dyDescent="0.35">
      <c r="B4301" s="35">
        <v>39351</v>
      </c>
      <c r="C4301" s="34">
        <v>7804.15</v>
      </c>
      <c r="D4301" s="200"/>
    </row>
    <row r="4302" spans="2:4" x14ac:dyDescent="0.35">
      <c r="B4302" s="35">
        <v>39352</v>
      </c>
      <c r="C4302" s="34">
        <v>7853.79</v>
      </c>
      <c r="D4302" s="200"/>
    </row>
    <row r="4303" spans="2:4" x14ac:dyDescent="0.35">
      <c r="B4303" s="35">
        <v>39353</v>
      </c>
      <c r="C4303" s="34">
        <v>7861.51</v>
      </c>
      <c r="D4303" s="200"/>
    </row>
    <row r="4304" spans="2:4" x14ac:dyDescent="0.35">
      <c r="B4304" s="35">
        <v>39356</v>
      </c>
      <c r="C4304" s="34">
        <v>7922.42</v>
      </c>
      <c r="D4304" s="200"/>
    </row>
    <row r="4305" spans="2:4" x14ac:dyDescent="0.35">
      <c r="B4305" s="35">
        <v>39357</v>
      </c>
      <c r="C4305" s="34">
        <v>7946.79</v>
      </c>
      <c r="D4305" s="200"/>
    </row>
    <row r="4306" spans="2:4" x14ac:dyDescent="0.35">
      <c r="B4306" s="35">
        <v>39358</v>
      </c>
      <c r="C4306" s="34">
        <v>7955.3</v>
      </c>
      <c r="D4306" s="200"/>
    </row>
    <row r="4307" spans="2:4" x14ac:dyDescent="0.35">
      <c r="B4307" s="35">
        <v>39359</v>
      </c>
      <c r="C4307" s="34">
        <v>7944.99</v>
      </c>
      <c r="D4307" s="200"/>
    </row>
    <row r="4308" spans="2:4" x14ac:dyDescent="0.35">
      <c r="B4308" s="35">
        <v>39360</v>
      </c>
      <c r="C4308" s="34">
        <v>8002.18</v>
      </c>
      <c r="D4308" s="200"/>
    </row>
    <row r="4309" spans="2:4" x14ac:dyDescent="0.35">
      <c r="B4309" s="35">
        <v>39363</v>
      </c>
      <c r="C4309" s="34">
        <v>7974.37</v>
      </c>
      <c r="D4309" s="200"/>
    </row>
    <row r="4310" spans="2:4" x14ac:dyDescent="0.35">
      <c r="B4310" s="35">
        <v>39364</v>
      </c>
      <c r="C4310" s="34">
        <v>7980.44</v>
      </c>
      <c r="D4310" s="200"/>
    </row>
    <row r="4311" spans="2:4" x14ac:dyDescent="0.35">
      <c r="B4311" s="35">
        <v>39365</v>
      </c>
      <c r="C4311" s="34">
        <v>7986.57</v>
      </c>
      <c r="D4311" s="200"/>
    </row>
    <row r="4312" spans="2:4" x14ac:dyDescent="0.35">
      <c r="B4312" s="35">
        <v>39366</v>
      </c>
      <c r="C4312" s="34">
        <v>8033.69</v>
      </c>
      <c r="D4312" s="200"/>
    </row>
    <row r="4313" spans="2:4" x14ac:dyDescent="0.35">
      <c r="B4313" s="35">
        <v>39367</v>
      </c>
      <c r="C4313" s="34">
        <v>8041.26</v>
      </c>
      <c r="D4313" s="200"/>
    </row>
    <row r="4314" spans="2:4" x14ac:dyDescent="0.35">
      <c r="B4314" s="35">
        <v>39370</v>
      </c>
      <c r="C4314" s="34">
        <v>7969.47</v>
      </c>
      <c r="D4314" s="200"/>
    </row>
    <row r="4315" spans="2:4" x14ac:dyDescent="0.35">
      <c r="B4315" s="35">
        <v>39371</v>
      </c>
      <c r="C4315" s="34">
        <v>7962.64</v>
      </c>
      <c r="D4315" s="200"/>
    </row>
    <row r="4316" spans="2:4" x14ac:dyDescent="0.35">
      <c r="B4316" s="35">
        <v>39372</v>
      </c>
      <c r="C4316" s="34">
        <v>7985.41</v>
      </c>
      <c r="D4316" s="200"/>
    </row>
    <row r="4317" spans="2:4" x14ac:dyDescent="0.35">
      <c r="B4317" s="35">
        <v>39373</v>
      </c>
      <c r="C4317" s="34">
        <v>7921.4</v>
      </c>
      <c r="D4317" s="200"/>
    </row>
    <row r="4318" spans="2:4" x14ac:dyDescent="0.35">
      <c r="B4318" s="35">
        <v>39374</v>
      </c>
      <c r="C4318" s="34">
        <v>7884.12</v>
      </c>
      <c r="D4318" s="200"/>
    </row>
    <row r="4319" spans="2:4" x14ac:dyDescent="0.35">
      <c r="B4319" s="35">
        <v>39377</v>
      </c>
      <c r="C4319" s="34">
        <v>7794.94</v>
      </c>
      <c r="D4319" s="200"/>
    </row>
    <row r="4320" spans="2:4" x14ac:dyDescent="0.35">
      <c r="B4320" s="35">
        <v>39378</v>
      </c>
      <c r="C4320" s="34">
        <v>7842.79</v>
      </c>
      <c r="D4320" s="200"/>
    </row>
    <row r="4321" spans="2:4" x14ac:dyDescent="0.35">
      <c r="B4321" s="35">
        <v>39379</v>
      </c>
      <c r="C4321" s="34">
        <v>7828.96</v>
      </c>
      <c r="D4321" s="200"/>
    </row>
    <row r="4322" spans="2:4" x14ac:dyDescent="0.35">
      <c r="B4322" s="35">
        <v>39380</v>
      </c>
      <c r="C4322" s="34">
        <v>7932.44</v>
      </c>
      <c r="D4322" s="200"/>
    </row>
    <row r="4323" spans="2:4" x14ac:dyDescent="0.35">
      <c r="B4323" s="35">
        <v>39381</v>
      </c>
      <c r="C4323" s="34">
        <v>7949.17</v>
      </c>
      <c r="D4323" s="200"/>
    </row>
    <row r="4324" spans="2:4" x14ac:dyDescent="0.35">
      <c r="B4324" s="35">
        <v>39384</v>
      </c>
      <c r="C4324" s="34">
        <v>8009.67</v>
      </c>
      <c r="D4324" s="200"/>
    </row>
    <row r="4325" spans="2:4" x14ac:dyDescent="0.35">
      <c r="B4325" s="35">
        <v>39385</v>
      </c>
      <c r="C4325" s="34">
        <v>7977.94</v>
      </c>
      <c r="D4325" s="200"/>
    </row>
    <row r="4326" spans="2:4" x14ac:dyDescent="0.35">
      <c r="B4326" s="35">
        <v>39386</v>
      </c>
      <c r="C4326" s="34">
        <v>8019.22</v>
      </c>
      <c r="D4326" s="200"/>
    </row>
    <row r="4327" spans="2:4" x14ac:dyDescent="0.35">
      <c r="B4327" s="35">
        <v>39387</v>
      </c>
      <c r="C4327" s="34">
        <v>7880.85</v>
      </c>
      <c r="D4327" s="200"/>
    </row>
    <row r="4328" spans="2:4" x14ac:dyDescent="0.35">
      <c r="B4328" s="35">
        <v>39388</v>
      </c>
      <c r="C4328" s="34">
        <v>7849.49</v>
      </c>
      <c r="D4328" s="200"/>
    </row>
    <row r="4329" spans="2:4" x14ac:dyDescent="0.35">
      <c r="B4329" s="35">
        <v>39391</v>
      </c>
      <c r="C4329" s="34">
        <v>7807.55</v>
      </c>
      <c r="D4329" s="200"/>
    </row>
    <row r="4330" spans="2:4" x14ac:dyDescent="0.35">
      <c r="B4330" s="35">
        <v>39392</v>
      </c>
      <c r="C4330" s="34">
        <v>7827.19</v>
      </c>
      <c r="D4330" s="200"/>
    </row>
    <row r="4331" spans="2:4" x14ac:dyDescent="0.35">
      <c r="B4331" s="35">
        <v>39393</v>
      </c>
      <c r="C4331" s="34">
        <v>7799.62</v>
      </c>
      <c r="D4331" s="200"/>
    </row>
    <row r="4332" spans="2:4" x14ac:dyDescent="0.35">
      <c r="B4332" s="35">
        <v>39394</v>
      </c>
      <c r="C4332" s="34">
        <v>7819.47</v>
      </c>
      <c r="D4332" s="200"/>
    </row>
    <row r="4333" spans="2:4" x14ac:dyDescent="0.35">
      <c r="B4333" s="35">
        <v>39395</v>
      </c>
      <c r="C4333" s="34">
        <v>7812.4</v>
      </c>
      <c r="D4333" s="200"/>
    </row>
    <row r="4334" spans="2:4" x14ac:dyDescent="0.35">
      <c r="B4334" s="35">
        <v>39398</v>
      </c>
      <c r="C4334" s="34">
        <v>7806.84</v>
      </c>
      <c r="D4334" s="200"/>
    </row>
    <row r="4335" spans="2:4" x14ac:dyDescent="0.35">
      <c r="B4335" s="35">
        <v>39399</v>
      </c>
      <c r="C4335" s="34">
        <v>7777.56</v>
      </c>
      <c r="D4335" s="200"/>
    </row>
    <row r="4336" spans="2:4" x14ac:dyDescent="0.35">
      <c r="B4336" s="35">
        <v>39400</v>
      </c>
      <c r="C4336" s="34">
        <v>7783.11</v>
      </c>
      <c r="D4336" s="200"/>
    </row>
    <row r="4337" spans="2:4" x14ac:dyDescent="0.35">
      <c r="B4337" s="35">
        <v>39401</v>
      </c>
      <c r="C4337" s="34">
        <v>7667.03</v>
      </c>
      <c r="D4337" s="200"/>
    </row>
    <row r="4338" spans="2:4" x14ac:dyDescent="0.35">
      <c r="B4338" s="35">
        <v>39402</v>
      </c>
      <c r="C4338" s="34">
        <v>7612.26</v>
      </c>
      <c r="D4338" s="200"/>
    </row>
    <row r="4339" spans="2:4" x14ac:dyDescent="0.35">
      <c r="B4339" s="35">
        <v>39405</v>
      </c>
      <c r="C4339" s="34">
        <v>7511.97</v>
      </c>
      <c r="D4339" s="200"/>
    </row>
    <row r="4340" spans="2:4" x14ac:dyDescent="0.35">
      <c r="B4340" s="35">
        <v>39406</v>
      </c>
      <c r="C4340" s="34">
        <v>7630.31</v>
      </c>
      <c r="D4340" s="200"/>
    </row>
    <row r="4341" spans="2:4" x14ac:dyDescent="0.35">
      <c r="B4341" s="35">
        <v>39407</v>
      </c>
      <c r="C4341" s="34">
        <v>7518.42</v>
      </c>
      <c r="D4341" s="200"/>
    </row>
    <row r="4342" spans="2:4" x14ac:dyDescent="0.35">
      <c r="B4342" s="35">
        <v>39408</v>
      </c>
      <c r="C4342" s="34">
        <v>7562.1</v>
      </c>
      <c r="D4342" s="200"/>
    </row>
    <row r="4343" spans="2:4" x14ac:dyDescent="0.35">
      <c r="B4343" s="35">
        <v>39409</v>
      </c>
      <c r="C4343" s="34">
        <v>7608.96</v>
      </c>
      <c r="D4343" s="200"/>
    </row>
    <row r="4344" spans="2:4" x14ac:dyDescent="0.35">
      <c r="B4344" s="35">
        <v>39412</v>
      </c>
      <c r="C4344" s="34">
        <v>7567.36</v>
      </c>
      <c r="D4344" s="200"/>
    </row>
    <row r="4345" spans="2:4" x14ac:dyDescent="0.35">
      <c r="B4345" s="35">
        <v>39413</v>
      </c>
      <c r="C4345" s="34">
        <v>7531.35</v>
      </c>
      <c r="D4345" s="200"/>
    </row>
    <row r="4346" spans="2:4" x14ac:dyDescent="0.35">
      <c r="B4346" s="35">
        <v>39414</v>
      </c>
      <c r="C4346" s="34">
        <v>7723.66</v>
      </c>
      <c r="D4346" s="200"/>
    </row>
    <row r="4347" spans="2:4" x14ac:dyDescent="0.35">
      <c r="B4347" s="35">
        <v>39415</v>
      </c>
      <c r="C4347" s="34">
        <v>7765.19</v>
      </c>
      <c r="D4347" s="200"/>
    </row>
    <row r="4348" spans="2:4" x14ac:dyDescent="0.35">
      <c r="B4348" s="35">
        <v>39416</v>
      </c>
      <c r="C4348" s="34">
        <v>7870.52</v>
      </c>
      <c r="D4348" s="200"/>
    </row>
    <row r="4349" spans="2:4" x14ac:dyDescent="0.35">
      <c r="B4349" s="35">
        <v>39419</v>
      </c>
      <c r="C4349" s="34">
        <v>7837.26</v>
      </c>
      <c r="D4349" s="200"/>
    </row>
    <row r="4350" spans="2:4" x14ac:dyDescent="0.35">
      <c r="B4350" s="35">
        <v>39420</v>
      </c>
      <c r="C4350" s="34">
        <v>7808.94</v>
      </c>
      <c r="D4350" s="200"/>
    </row>
    <row r="4351" spans="2:4" x14ac:dyDescent="0.35">
      <c r="B4351" s="35">
        <v>39421</v>
      </c>
      <c r="C4351" s="34">
        <v>7944.77</v>
      </c>
      <c r="D4351" s="200"/>
    </row>
    <row r="4352" spans="2:4" x14ac:dyDescent="0.35">
      <c r="B4352" s="35">
        <v>39422</v>
      </c>
      <c r="C4352" s="34">
        <v>7940.58</v>
      </c>
      <c r="D4352" s="200"/>
    </row>
    <row r="4353" spans="2:4" x14ac:dyDescent="0.35">
      <c r="B4353" s="35">
        <v>39423</v>
      </c>
      <c r="C4353" s="34">
        <v>7994.07</v>
      </c>
      <c r="D4353" s="200"/>
    </row>
    <row r="4354" spans="2:4" x14ac:dyDescent="0.35">
      <c r="B4354" s="35">
        <v>39426</v>
      </c>
      <c r="C4354" s="34">
        <v>8033.36</v>
      </c>
      <c r="D4354" s="200"/>
    </row>
    <row r="4355" spans="2:4" x14ac:dyDescent="0.35">
      <c r="B4355" s="35">
        <v>39427</v>
      </c>
      <c r="C4355" s="34">
        <v>8009.42</v>
      </c>
      <c r="D4355" s="200"/>
    </row>
    <row r="4356" spans="2:4" x14ac:dyDescent="0.35">
      <c r="B4356" s="35">
        <v>39428</v>
      </c>
      <c r="C4356" s="34">
        <v>8076.12</v>
      </c>
      <c r="D4356" s="200"/>
    </row>
    <row r="4357" spans="2:4" x14ac:dyDescent="0.35">
      <c r="B4357" s="35">
        <v>39429</v>
      </c>
      <c r="C4357" s="34">
        <v>7928.31</v>
      </c>
      <c r="D4357" s="200"/>
    </row>
    <row r="4358" spans="2:4" x14ac:dyDescent="0.35">
      <c r="B4358" s="35">
        <v>39430</v>
      </c>
      <c r="C4358" s="34">
        <v>7948.36</v>
      </c>
      <c r="D4358" s="200"/>
    </row>
    <row r="4359" spans="2:4" x14ac:dyDescent="0.35">
      <c r="B4359" s="35">
        <v>39433</v>
      </c>
      <c r="C4359" s="34">
        <v>7825.44</v>
      </c>
      <c r="D4359" s="200"/>
    </row>
    <row r="4360" spans="2:4" x14ac:dyDescent="0.35">
      <c r="B4360" s="35">
        <v>39434</v>
      </c>
      <c r="C4360" s="34">
        <v>7850.74</v>
      </c>
      <c r="D4360" s="200"/>
    </row>
    <row r="4361" spans="2:4" x14ac:dyDescent="0.35">
      <c r="B4361" s="35">
        <v>39435</v>
      </c>
      <c r="C4361" s="34">
        <v>7837.32</v>
      </c>
      <c r="D4361" s="200"/>
    </row>
    <row r="4362" spans="2:4" x14ac:dyDescent="0.35">
      <c r="B4362" s="35">
        <v>39436</v>
      </c>
      <c r="C4362" s="34">
        <v>7869.19</v>
      </c>
      <c r="D4362" s="200"/>
    </row>
    <row r="4363" spans="2:4" x14ac:dyDescent="0.35">
      <c r="B4363" s="35">
        <v>39437</v>
      </c>
      <c r="C4363" s="34">
        <v>8002.67</v>
      </c>
      <c r="D4363" s="200"/>
    </row>
    <row r="4364" spans="2:4" x14ac:dyDescent="0.35">
      <c r="B4364" s="35">
        <v>39443</v>
      </c>
      <c r="C4364" s="34">
        <v>8038.6</v>
      </c>
      <c r="D4364" s="200"/>
    </row>
    <row r="4365" spans="2:4" x14ac:dyDescent="0.35">
      <c r="B4365" s="35">
        <v>39444</v>
      </c>
      <c r="C4365" s="34">
        <v>8067.32</v>
      </c>
      <c r="D4365" s="200"/>
    </row>
    <row r="4366" spans="2:4" x14ac:dyDescent="0.35">
      <c r="B4366" s="35">
        <v>39449</v>
      </c>
      <c r="C4366" s="34">
        <v>7949.11</v>
      </c>
      <c r="D4366" s="200"/>
    </row>
    <row r="4367" spans="2:4" x14ac:dyDescent="0.35">
      <c r="B4367" s="35">
        <v>39450</v>
      </c>
      <c r="C4367" s="34">
        <v>7908.41</v>
      </c>
      <c r="D4367" s="200"/>
    </row>
    <row r="4368" spans="2:4" x14ac:dyDescent="0.35">
      <c r="B4368" s="35">
        <v>39451</v>
      </c>
      <c r="C4368" s="34">
        <v>7808.69</v>
      </c>
      <c r="D4368" s="200"/>
    </row>
    <row r="4369" spans="2:4" x14ac:dyDescent="0.35">
      <c r="B4369" s="35">
        <v>39454</v>
      </c>
      <c r="C4369" s="34">
        <v>7817.17</v>
      </c>
      <c r="D4369" s="200"/>
    </row>
    <row r="4370" spans="2:4" x14ac:dyDescent="0.35">
      <c r="B4370" s="35">
        <v>39455</v>
      </c>
      <c r="C4370" s="34">
        <v>7849.99</v>
      </c>
      <c r="D4370" s="200"/>
    </row>
    <row r="4371" spans="2:4" x14ac:dyDescent="0.35">
      <c r="B4371" s="35">
        <v>39456</v>
      </c>
      <c r="C4371" s="34">
        <v>7782.71</v>
      </c>
      <c r="D4371" s="200"/>
    </row>
    <row r="4372" spans="2:4" x14ac:dyDescent="0.35">
      <c r="B4372" s="35">
        <v>39457</v>
      </c>
      <c r="C4372" s="34">
        <v>7713.09</v>
      </c>
      <c r="D4372" s="200"/>
    </row>
    <row r="4373" spans="2:4" x14ac:dyDescent="0.35">
      <c r="B4373" s="35">
        <v>39458</v>
      </c>
      <c r="C4373" s="34">
        <v>7717.95</v>
      </c>
      <c r="D4373" s="200"/>
    </row>
    <row r="4374" spans="2:4" x14ac:dyDescent="0.35">
      <c r="B4374" s="35">
        <v>39461</v>
      </c>
      <c r="C4374" s="34">
        <v>7732.02</v>
      </c>
      <c r="D4374" s="200"/>
    </row>
    <row r="4375" spans="2:4" x14ac:dyDescent="0.35">
      <c r="B4375" s="35">
        <v>39462</v>
      </c>
      <c r="C4375" s="34">
        <v>7566.38</v>
      </c>
      <c r="D4375" s="200"/>
    </row>
    <row r="4376" spans="2:4" x14ac:dyDescent="0.35">
      <c r="B4376" s="35">
        <v>39463</v>
      </c>
      <c r="C4376" s="34">
        <v>7471.57</v>
      </c>
      <c r="D4376" s="200"/>
    </row>
    <row r="4377" spans="2:4" x14ac:dyDescent="0.35">
      <c r="B4377" s="35">
        <v>39464</v>
      </c>
      <c r="C4377" s="34">
        <v>7413.53</v>
      </c>
      <c r="D4377" s="200"/>
    </row>
    <row r="4378" spans="2:4" x14ac:dyDescent="0.35">
      <c r="B4378" s="35">
        <v>39465</v>
      </c>
      <c r="C4378" s="34">
        <v>7314.17</v>
      </c>
      <c r="D4378" s="200"/>
    </row>
    <row r="4379" spans="2:4" x14ac:dyDescent="0.35">
      <c r="B4379" s="35">
        <v>39468</v>
      </c>
      <c r="C4379" s="34">
        <v>6790.19</v>
      </c>
      <c r="D4379" s="200"/>
    </row>
    <row r="4380" spans="2:4" x14ac:dyDescent="0.35">
      <c r="B4380" s="35">
        <v>39469</v>
      </c>
      <c r="C4380" s="34">
        <v>6769.47</v>
      </c>
      <c r="D4380" s="200"/>
    </row>
    <row r="4381" spans="2:4" x14ac:dyDescent="0.35">
      <c r="B4381" s="35">
        <v>39470</v>
      </c>
      <c r="C4381" s="34">
        <v>6439.21</v>
      </c>
      <c r="D4381" s="200"/>
    </row>
    <row r="4382" spans="2:4" x14ac:dyDescent="0.35">
      <c r="B4382" s="35">
        <v>39471</v>
      </c>
      <c r="C4382" s="34">
        <v>6821.07</v>
      </c>
      <c r="D4382" s="200"/>
    </row>
    <row r="4383" spans="2:4" x14ac:dyDescent="0.35">
      <c r="B4383" s="35">
        <v>39472</v>
      </c>
      <c r="C4383" s="34">
        <v>6816.74</v>
      </c>
      <c r="D4383" s="200"/>
    </row>
    <row r="4384" spans="2:4" x14ac:dyDescent="0.35">
      <c r="B4384" s="35">
        <v>39475</v>
      </c>
      <c r="C4384" s="34">
        <v>6818.85</v>
      </c>
      <c r="D4384" s="200"/>
    </row>
    <row r="4385" spans="2:4" x14ac:dyDescent="0.35">
      <c r="B4385" s="35">
        <v>39476</v>
      </c>
      <c r="C4385" s="34">
        <v>6892.96</v>
      </c>
      <c r="D4385" s="200"/>
    </row>
    <row r="4386" spans="2:4" x14ac:dyDescent="0.35">
      <c r="B4386" s="35">
        <v>39477</v>
      </c>
      <c r="C4386" s="34">
        <v>6875.35</v>
      </c>
      <c r="D4386" s="200"/>
    </row>
    <row r="4387" spans="2:4" x14ac:dyDescent="0.35">
      <c r="B4387" s="35">
        <v>39478</v>
      </c>
      <c r="C4387" s="34">
        <v>6851.75</v>
      </c>
      <c r="D4387" s="200"/>
    </row>
    <row r="4388" spans="2:4" x14ac:dyDescent="0.35">
      <c r="B4388" s="35">
        <v>39479</v>
      </c>
      <c r="C4388" s="34">
        <v>6968.67</v>
      </c>
      <c r="D4388" s="200"/>
    </row>
    <row r="4389" spans="2:4" x14ac:dyDescent="0.35">
      <c r="B4389" s="35">
        <v>39482</v>
      </c>
      <c r="C4389" s="34">
        <v>7000.49</v>
      </c>
      <c r="D4389" s="200"/>
    </row>
    <row r="4390" spans="2:4" x14ac:dyDescent="0.35">
      <c r="B4390" s="35">
        <v>39483</v>
      </c>
      <c r="C4390" s="34">
        <v>6765.25</v>
      </c>
      <c r="D4390" s="200"/>
    </row>
    <row r="4391" spans="2:4" x14ac:dyDescent="0.35">
      <c r="B4391" s="35">
        <v>39484</v>
      </c>
      <c r="C4391" s="34">
        <v>6847.51</v>
      </c>
      <c r="D4391" s="200"/>
    </row>
    <row r="4392" spans="2:4" x14ac:dyDescent="0.35">
      <c r="B4392" s="35">
        <v>39485</v>
      </c>
      <c r="C4392" s="34">
        <v>6733.72</v>
      </c>
      <c r="D4392" s="200"/>
    </row>
    <row r="4393" spans="2:4" x14ac:dyDescent="0.35">
      <c r="B4393" s="35">
        <v>39486</v>
      </c>
      <c r="C4393" s="34">
        <v>6767.28</v>
      </c>
      <c r="D4393" s="200"/>
    </row>
    <row r="4394" spans="2:4" x14ac:dyDescent="0.35">
      <c r="B4394" s="35">
        <v>39489</v>
      </c>
      <c r="C4394" s="34">
        <v>6743.54</v>
      </c>
      <c r="D4394" s="200"/>
    </row>
    <row r="4395" spans="2:4" x14ac:dyDescent="0.35">
      <c r="B4395" s="35">
        <v>39490</v>
      </c>
      <c r="C4395" s="34">
        <v>6967.84</v>
      </c>
      <c r="D4395" s="200"/>
    </row>
    <row r="4396" spans="2:4" x14ac:dyDescent="0.35">
      <c r="B4396" s="35">
        <v>39491</v>
      </c>
      <c r="C4396" s="34">
        <v>6973.67</v>
      </c>
      <c r="D4396" s="200"/>
    </row>
    <row r="4397" spans="2:4" x14ac:dyDescent="0.35">
      <c r="B4397" s="35">
        <v>39492</v>
      </c>
      <c r="C4397" s="34">
        <v>6962.28</v>
      </c>
      <c r="D4397" s="200"/>
    </row>
    <row r="4398" spans="2:4" x14ac:dyDescent="0.35">
      <c r="B4398" s="35">
        <v>39493</v>
      </c>
      <c r="C4398" s="34">
        <v>6832.43</v>
      </c>
      <c r="D4398" s="200"/>
    </row>
    <row r="4399" spans="2:4" x14ac:dyDescent="0.35">
      <c r="B4399" s="35">
        <v>39497</v>
      </c>
      <c r="C4399" s="34">
        <v>7002.29</v>
      </c>
      <c r="D4399" s="200"/>
    </row>
    <row r="4400" spans="2:4" x14ac:dyDescent="0.35">
      <c r="B4400" s="35">
        <v>39498</v>
      </c>
      <c r="C4400" s="34">
        <v>6899.68</v>
      </c>
      <c r="D4400" s="200"/>
    </row>
    <row r="4401" spans="2:4" x14ac:dyDescent="0.35">
      <c r="B4401" s="35">
        <v>39499</v>
      </c>
      <c r="C4401" s="34">
        <v>6904.85</v>
      </c>
      <c r="D4401" s="200"/>
    </row>
    <row r="4402" spans="2:4" x14ac:dyDescent="0.35">
      <c r="B4402" s="35">
        <v>39500</v>
      </c>
      <c r="C4402" s="34">
        <v>6806.29</v>
      </c>
      <c r="D4402" s="200"/>
    </row>
    <row r="4403" spans="2:4" x14ac:dyDescent="0.35">
      <c r="B4403" s="35">
        <v>39503</v>
      </c>
      <c r="C4403" s="34">
        <v>6882.56</v>
      </c>
      <c r="D4403" s="200"/>
    </row>
    <row r="4404" spans="2:4" x14ac:dyDescent="0.35">
      <c r="B4404" s="35">
        <v>39504</v>
      </c>
      <c r="C4404" s="34">
        <v>6985.97</v>
      </c>
      <c r="D4404" s="200"/>
    </row>
    <row r="4405" spans="2:4" x14ac:dyDescent="0.35">
      <c r="B4405" s="35">
        <v>39505</v>
      </c>
      <c r="C4405" s="34">
        <v>6997.85</v>
      </c>
      <c r="D4405" s="200"/>
    </row>
    <row r="4406" spans="2:4" x14ac:dyDescent="0.35">
      <c r="B4406" s="35">
        <v>39506</v>
      </c>
      <c r="C4406" s="34">
        <v>6862.52</v>
      </c>
      <c r="D4406" s="200"/>
    </row>
    <row r="4407" spans="2:4" x14ac:dyDescent="0.35">
      <c r="B4407" s="35">
        <v>39507</v>
      </c>
      <c r="C4407" s="34">
        <v>6748.13</v>
      </c>
      <c r="D4407" s="200"/>
    </row>
    <row r="4408" spans="2:4" x14ac:dyDescent="0.35">
      <c r="B4408" s="35">
        <v>39510</v>
      </c>
      <c r="C4408" s="34">
        <v>6689.95</v>
      </c>
      <c r="D4408" s="200"/>
    </row>
    <row r="4409" spans="2:4" x14ac:dyDescent="0.35">
      <c r="B4409" s="35">
        <v>39511</v>
      </c>
      <c r="C4409" s="34">
        <v>6545.04</v>
      </c>
      <c r="D4409" s="200"/>
    </row>
    <row r="4410" spans="2:4" x14ac:dyDescent="0.35">
      <c r="B4410" s="35">
        <v>39512</v>
      </c>
      <c r="C4410" s="34">
        <v>6683.71</v>
      </c>
      <c r="D4410" s="200"/>
    </row>
    <row r="4411" spans="2:4" x14ac:dyDescent="0.35">
      <c r="B4411" s="35">
        <v>39513</v>
      </c>
      <c r="C4411" s="34">
        <v>6591.31</v>
      </c>
      <c r="D4411" s="200"/>
    </row>
    <row r="4412" spans="2:4" x14ac:dyDescent="0.35">
      <c r="B4412" s="35">
        <v>39514</v>
      </c>
      <c r="C4412" s="34">
        <v>6513.99</v>
      </c>
      <c r="D4412" s="200"/>
    </row>
    <row r="4413" spans="2:4" x14ac:dyDescent="0.35">
      <c r="B4413" s="35">
        <v>39517</v>
      </c>
      <c r="C4413" s="34">
        <v>6448.08</v>
      </c>
      <c r="D4413" s="200"/>
    </row>
    <row r="4414" spans="2:4" x14ac:dyDescent="0.35">
      <c r="B4414" s="35">
        <v>39518</v>
      </c>
      <c r="C4414" s="34">
        <v>6524.57</v>
      </c>
      <c r="D4414" s="200"/>
    </row>
    <row r="4415" spans="2:4" x14ac:dyDescent="0.35">
      <c r="B4415" s="35">
        <v>39519</v>
      </c>
      <c r="C4415" s="34">
        <v>6599.37</v>
      </c>
      <c r="D4415" s="200"/>
    </row>
    <row r="4416" spans="2:4" x14ac:dyDescent="0.35">
      <c r="B4416" s="35">
        <v>39520</v>
      </c>
      <c r="C4416" s="34">
        <v>6500.56</v>
      </c>
      <c r="D4416" s="200"/>
    </row>
    <row r="4417" spans="2:4" x14ac:dyDescent="0.35">
      <c r="B4417" s="35">
        <v>39521</v>
      </c>
      <c r="C4417" s="34">
        <v>6451.9</v>
      </c>
      <c r="D4417" s="200"/>
    </row>
    <row r="4418" spans="2:4" x14ac:dyDescent="0.35">
      <c r="B4418" s="35">
        <v>39524</v>
      </c>
      <c r="C4418" s="34">
        <v>6182.3</v>
      </c>
      <c r="D4418" s="200"/>
    </row>
    <row r="4419" spans="2:4" x14ac:dyDescent="0.35">
      <c r="B4419" s="35">
        <v>39525</v>
      </c>
      <c r="C4419" s="34">
        <v>6393.39</v>
      </c>
      <c r="D4419" s="200"/>
    </row>
    <row r="4420" spans="2:4" x14ac:dyDescent="0.35">
      <c r="B4420" s="35">
        <v>39526</v>
      </c>
      <c r="C4420" s="34">
        <v>6361.22</v>
      </c>
      <c r="D4420" s="200"/>
    </row>
    <row r="4421" spans="2:4" x14ac:dyDescent="0.35">
      <c r="B4421" s="35">
        <v>39527</v>
      </c>
      <c r="C4421" s="34">
        <v>6319.99</v>
      </c>
      <c r="D4421" s="200"/>
    </row>
    <row r="4422" spans="2:4" x14ac:dyDescent="0.35">
      <c r="B4422" s="35">
        <v>39532</v>
      </c>
      <c r="C4422" s="34">
        <v>6524.71</v>
      </c>
      <c r="D4422" s="200"/>
    </row>
    <row r="4423" spans="2:4" x14ac:dyDescent="0.35">
      <c r="B4423" s="35">
        <v>39533</v>
      </c>
      <c r="C4423" s="34">
        <v>6489.26</v>
      </c>
      <c r="D4423" s="200"/>
    </row>
    <row r="4424" spans="2:4" x14ac:dyDescent="0.35">
      <c r="B4424" s="35">
        <v>39534</v>
      </c>
      <c r="C4424" s="34">
        <v>6578.06</v>
      </c>
      <c r="D4424" s="200"/>
    </row>
    <row r="4425" spans="2:4" x14ac:dyDescent="0.35">
      <c r="B4425" s="35">
        <v>39535</v>
      </c>
      <c r="C4425" s="34">
        <v>6559.9</v>
      </c>
      <c r="D4425" s="200"/>
    </row>
    <row r="4426" spans="2:4" x14ac:dyDescent="0.35">
      <c r="B4426" s="35">
        <v>39538</v>
      </c>
      <c r="C4426" s="34">
        <v>6534.97</v>
      </c>
      <c r="D4426" s="200"/>
    </row>
    <row r="4427" spans="2:4" x14ac:dyDescent="0.35">
      <c r="B4427" s="35">
        <v>39539</v>
      </c>
      <c r="C4427" s="34">
        <v>6720.33</v>
      </c>
      <c r="D4427" s="200"/>
    </row>
    <row r="4428" spans="2:4" x14ac:dyDescent="0.35">
      <c r="B4428" s="35">
        <v>39540</v>
      </c>
      <c r="C4428" s="34">
        <v>6777.44</v>
      </c>
      <c r="D4428" s="200"/>
    </row>
    <row r="4429" spans="2:4" x14ac:dyDescent="0.35">
      <c r="B4429" s="35">
        <v>39541</v>
      </c>
      <c r="C4429" s="34">
        <v>6741.72</v>
      </c>
      <c r="D4429" s="200"/>
    </row>
    <row r="4430" spans="2:4" x14ac:dyDescent="0.35">
      <c r="B4430" s="35">
        <v>39542</v>
      </c>
      <c r="C4430" s="34">
        <v>6763.39</v>
      </c>
      <c r="D4430" s="200"/>
    </row>
    <row r="4431" spans="2:4" x14ac:dyDescent="0.35">
      <c r="B4431" s="35">
        <v>39545</v>
      </c>
      <c r="C4431" s="34">
        <v>6821.03</v>
      </c>
      <c r="D4431" s="200"/>
    </row>
    <row r="4432" spans="2:4" x14ac:dyDescent="0.35">
      <c r="B4432" s="35">
        <v>39546</v>
      </c>
      <c r="C4432" s="34">
        <v>6771.98</v>
      </c>
      <c r="D4432" s="200"/>
    </row>
    <row r="4433" spans="2:4" x14ac:dyDescent="0.35">
      <c r="B4433" s="35">
        <v>39547</v>
      </c>
      <c r="C4433" s="34">
        <v>6721.36</v>
      </c>
      <c r="D4433" s="200"/>
    </row>
    <row r="4434" spans="2:4" x14ac:dyDescent="0.35">
      <c r="B4434" s="35">
        <v>39548</v>
      </c>
      <c r="C4434" s="34">
        <v>6704.32</v>
      </c>
      <c r="D4434" s="200"/>
    </row>
    <row r="4435" spans="2:4" x14ac:dyDescent="0.35">
      <c r="B4435" s="35">
        <v>39549</v>
      </c>
      <c r="C4435" s="34">
        <v>6603.57</v>
      </c>
      <c r="D4435" s="200"/>
    </row>
    <row r="4436" spans="2:4" x14ac:dyDescent="0.35">
      <c r="B4436" s="35">
        <v>39552</v>
      </c>
      <c r="C4436" s="34">
        <v>6554.49</v>
      </c>
      <c r="D4436" s="200"/>
    </row>
    <row r="4437" spans="2:4" x14ac:dyDescent="0.35">
      <c r="B4437" s="35">
        <v>39553</v>
      </c>
      <c r="C4437" s="34">
        <v>6585.05</v>
      </c>
      <c r="D4437" s="200"/>
    </row>
    <row r="4438" spans="2:4" x14ac:dyDescent="0.35">
      <c r="B4438" s="35">
        <v>39554</v>
      </c>
      <c r="C4438" s="34">
        <v>6702.84</v>
      </c>
      <c r="D4438" s="200"/>
    </row>
    <row r="4439" spans="2:4" x14ac:dyDescent="0.35">
      <c r="B4439" s="35">
        <v>39555</v>
      </c>
      <c r="C4439" s="34">
        <v>6681.81</v>
      </c>
      <c r="D4439" s="200"/>
    </row>
    <row r="4440" spans="2:4" x14ac:dyDescent="0.35">
      <c r="B4440" s="35">
        <v>39556</v>
      </c>
      <c r="C4440" s="34">
        <v>6843.08</v>
      </c>
      <c r="D4440" s="200"/>
    </row>
    <row r="4441" spans="2:4" x14ac:dyDescent="0.35">
      <c r="B4441" s="35">
        <v>39559</v>
      </c>
      <c r="C4441" s="34">
        <v>6786.55</v>
      </c>
      <c r="D4441" s="200"/>
    </row>
    <row r="4442" spans="2:4" x14ac:dyDescent="0.35">
      <c r="B4442" s="35">
        <v>39560</v>
      </c>
      <c r="C4442" s="34">
        <v>6728.3</v>
      </c>
      <c r="D4442" s="200"/>
    </row>
    <row r="4443" spans="2:4" x14ac:dyDescent="0.35">
      <c r="B4443" s="35">
        <v>39561</v>
      </c>
      <c r="C4443" s="34">
        <v>6795.03</v>
      </c>
      <c r="D4443" s="200"/>
    </row>
    <row r="4444" spans="2:4" x14ac:dyDescent="0.35">
      <c r="B4444" s="35">
        <v>39562</v>
      </c>
      <c r="C4444" s="34">
        <v>6821.32</v>
      </c>
      <c r="D4444" s="200"/>
    </row>
    <row r="4445" spans="2:4" x14ac:dyDescent="0.35">
      <c r="B4445" s="35">
        <v>39563</v>
      </c>
      <c r="C4445" s="34">
        <v>6896.58</v>
      </c>
      <c r="D4445" s="200"/>
    </row>
    <row r="4446" spans="2:4" x14ac:dyDescent="0.35">
      <c r="B4446" s="35">
        <v>39566</v>
      </c>
      <c r="C4446" s="34">
        <v>6925.33</v>
      </c>
      <c r="D4446" s="200"/>
    </row>
    <row r="4447" spans="2:4" x14ac:dyDescent="0.35">
      <c r="B4447" s="35">
        <v>39567</v>
      </c>
      <c r="C4447" s="34">
        <v>6885.34</v>
      </c>
      <c r="D4447" s="200"/>
    </row>
    <row r="4448" spans="2:4" x14ac:dyDescent="0.35">
      <c r="B4448" s="35">
        <v>39568</v>
      </c>
      <c r="C4448" s="34">
        <v>6948.82</v>
      </c>
      <c r="D4448" s="200"/>
    </row>
    <row r="4449" spans="2:4" x14ac:dyDescent="0.35">
      <c r="B4449" s="35">
        <v>39570</v>
      </c>
      <c r="C4449" s="34">
        <v>7043.23</v>
      </c>
      <c r="D4449" s="200"/>
    </row>
    <row r="4450" spans="2:4" x14ac:dyDescent="0.35">
      <c r="B4450" s="35">
        <v>39573</v>
      </c>
      <c r="C4450" s="34">
        <v>7052.08</v>
      </c>
      <c r="D4450" s="200"/>
    </row>
    <row r="4451" spans="2:4" x14ac:dyDescent="0.35">
      <c r="B4451" s="35">
        <v>39574</v>
      </c>
      <c r="C4451" s="34">
        <v>7017.1</v>
      </c>
      <c r="D4451" s="200"/>
    </row>
    <row r="4452" spans="2:4" x14ac:dyDescent="0.35">
      <c r="B4452" s="35">
        <v>39575</v>
      </c>
      <c r="C4452" s="34">
        <v>7076.25</v>
      </c>
      <c r="D4452" s="200"/>
    </row>
    <row r="4453" spans="2:4" x14ac:dyDescent="0.35">
      <c r="B4453" s="35">
        <v>39576</v>
      </c>
      <c r="C4453" s="34">
        <v>7071.9</v>
      </c>
      <c r="D4453" s="200"/>
    </row>
    <row r="4454" spans="2:4" x14ac:dyDescent="0.35">
      <c r="B4454" s="35">
        <v>39577</v>
      </c>
      <c r="C4454" s="34">
        <v>7003.17</v>
      </c>
      <c r="D4454" s="200"/>
    </row>
    <row r="4455" spans="2:4" x14ac:dyDescent="0.35">
      <c r="B4455" s="35">
        <v>39580</v>
      </c>
      <c r="C4455" s="34">
        <v>7035.95</v>
      </c>
      <c r="D4455" s="200"/>
    </row>
    <row r="4456" spans="2:4" x14ac:dyDescent="0.35">
      <c r="B4456" s="35">
        <v>39581</v>
      </c>
      <c r="C4456" s="34">
        <v>7060.19</v>
      </c>
      <c r="D4456" s="200"/>
    </row>
    <row r="4457" spans="2:4" x14ac:dyDescent="0.35">
      <c r="B4457" s="35">
        <v>39582</v>
      </c>
      <c r="C4457" s="34">
        <v>7083.24</v>
      </c>
      <c r="D4457" s="200"/>
    </row>
    <row r="4458" spans="2:4" x14ac:dyDescent="0.35">
      <c r="B4458" s="35">
        <v>39583</v>
      </c>
      <c r="C4458" s="34">
        <v>7081.05</v>
      </c>
      <c r="D4458" s="200"/>
    </row>
    <row r="4459" spans="2:4" x14ac:dyDescent="0.35">
      <c r="B4459" s="35">
        <v>39584</v>
      </c>
      <c r="C4459" s="34">
        <v>7156.55</v>
      </c>
      <c r="D4459" s="200"/>
    </row>
    <row r="4460" spans="2:4" x14ac:dyDescent="0.35">
      <c r="B4460" s="35">
        <v>39587</v>
      </c>
      <c r="C4460" s="34">
        <v>7225.94</v>
      </c>
      <c r="D4460" s="200"/>
    </row>
    <row r="4461" spans="2:4" x14ac:dyDescent="0.35">
      <c r="B4461" s="35">
        <v>39588</v>
      </c>
      <c r="C4461" s="34">
        <v>7118.5</v>
      </c>
      <c r="D4461" s="200"/>
    </row>
    <row r="4462" spans="2:4" x14ac:dyDescent="0.35">
      <c r="B4462" s="35">
        <v>39589</v>
      </c>
      <c r="C4462" s="34">
        <v>7040.83</v>
      </c>
      <c r="D4462" s="200"/>
    </row>
    <row r="4463" spans="2:4" x14ac:dyDescent="0.35">
      <c r="B4463" s="35">
        <v>39590</v>
      </c>
      <c r="C4463" s="34">
        <v>7070.33</v>
      </c>
      <c r="D4463" s="200"/>
    </row>
    <row r="4464" spans="2:4" x14ac:dyDescent="0.35">
      <c r="B4464" s="35">
        <v>39591</v>
      </c>
      <c r="C4464" s="34">
        <v>6944.05</v>
      </c>
      <c r="D4464" s="200"/>
    </row>
    <row r="4465" spans="2:4" x14ac:dyDescent="0.35">
      <c r="B4465" s="35">
        <v>39594</v>
      </c>
      <c r="C4465" s="34">
        <v>6953.84</v>
      </c>
      <c r="D4465" s="200"/>
    </row>
    <row r="4466" spans="2:4" x14ac:dyDescent="0.35">
      <c r="B4466" s="35">
        <v>39595</v>
      </c>
      <c r="C4466" s="34">
        <v>6958.66</v>
      </c>
      <c r="D4466" s="200"/>
    </row>
    <row r="4467" spans="2:4" x14ac:dyDescent="0.35">
      <c r="B4467" s="35">
        <v>39596</v>
      </c>
      <c r="C4467" s="34">
        <v>7033.84</v>
      </c>
      <c r="D4467" s="200"/>
    </row>
    <row r="4468" spans="2:4" x14ac:dyDescent="0.35">
      <c r="B4468" s="35">
        <v>39597</v>
      </c>
      <c r="C4468" s="34">
        <v>7055.03</v>
      </c>
      <c r="D4468" s="200"/>
    </row>
    <row r="4469" spans="2:4" x14ac:dyDescent="0.35">
      <c r="B4469" s="35">
        <v>39598</v>
      </c>
      <c r="C4469" s="34">
        <v>7096.79</v>
      </c>
      <c r="D4469" s="200"/>
    </row>
    <row r="4470" spans="2:4" x14ac:dyDescent="0.35">
      <c r="B4470" s="35">
        <v>39601</v>
      </c>
      <c r="C4470" s="34">
        <v>7008.77</v>
      </c>
      <c r="D4470" s="200"/>
    </row>
    <row r="4471" spans="2:4" x14ac:dyDescent="0.35">
      <c r="B4471" s="35">
        <v>39602</v>
      </c>
      <c r="C4471" s="34">
        <v>7019.13</v>
      </c>
      <c r="D4471" s="200"/>
    </row>
    <row r="4472" spans="2:4" x14ac:dyDescent="0.35">
      <c r="B4472" s="35">
        <v>39603</v>
      </c>
      <c r="C4472" s="34">
        <v>6965.43</v>
      </c>
      <c r="D4472" s="200"/>
    </row>
    <row r="4473" spans="2:4" x14ac:dyDescent="0.35">
      <c r="B4473" s="35">
        <v>39604</v>
      </c>
      <c r="C4473" s="34">
        <v>6941.83</v>
      </c>
      <c r="D4473" s="200"/>
    </row>
    <row r="4474" spans="2:4" x14ac:dyDescent="0.35">
      <c r="B4474" s="35">
        <v>39605</v>
      </c>
      <c r="C4474" s="34">
        <v>6803.81</v>
      </c>
      <c r="D4474" s="200"/>
    </row>
    <row r="4475" spans="2:4" x14ac:dyDescent="0.35">
      <c r="B4475" s="35">
        <v>39608</v>
      </c>
      <c r="C4475" s="34">
        <v>6815.63</v>
      </c>
      <c r="D4475" s="200"/>
    </row>
    <row r="4476" spans="2:4" x14ac:dyDescent="0.35">
      <c r="B4476" s="35">
        <v>39609</v>
      </c>
      <c r="C4476" s="34">
        <v>6771.1</v>
      </c>
      <c r="D4476" s="200"/>
    </row>
    <row r="4477" spans="2:4" x14ac:dyDescent="0.35">
      <c r="B4477" s="35">
        <v>39610</v>
      </c>
      <c r="C4477" s="34">
        <v>6650.26</v>
      </c>
      <c r="D4477" s="200"/>
    </row>
    <row r="4478" spans="2:4" x14ac:dyDescent="0.35">
      <c r="B4478" s="35">
        <v>39611</v>
      </c>
      <c r="C4478" s="34">
        <v>6714.52</v>
      </c>
      <c r="D4478" s="200"/>
    </row>
    <row r="4479" spans="2:4" x14ac:dyDescent="0.35">
      <c r="B4479" s="35">
        <v>39612</v>
      </c>
      <c r="C4479" s="34">
        <v>6765.32</v>
      </c>
      <c r="D4479" s="200"/>
    </row>
    <row r="4480" spans="2:4" x14ac:dyDescent="0.35">
      <c r="B4480" s="35">
        <v>39615</v>
      </c>
      <c r="C4480" s="34">
        <v>6729.88</v>
      </c>
      <c r="D4480" s="200"/>
    </row>
    <row r="4481" spans="2:4" x14ac:dyDescent="0.35">
      <c r="B4481" s="35">
        <v>39616</v>
      </c>
      <c r="C4481" s="34">
        <v>6796.16</v>
      </c>
      <c r="D4481" s="200"/>
    </row>
    <row r="4482" spans="2:4" x14ac:dyDescent="0.35">
      <c r="B4482" s="35">
        <v>39617</v>
      </c>
      <c r="C4482" s="34">
        <v>6728.91</v>
      </c>
      <c r="D4482" s="200"/>
    </row>
    <row r="4483" spans="2:4" x14ac:dyDescent="0.35">
      <c r="B4483" s="35">
        <v>39618</v>
      </c>
      <c r="C4483" s="34">
        <v>6721.17</v>
      </c>
      <c r="D4483" s="200"/>
    </row>
    <row r="4484" spans="2:4" x14ac:dyDescent="0.35">
      <c r="B4484" s="35">
        <v>39619</v>
      </c>
      <c r="C4484" s="34">
        <v>6578.44</v>
      </c>
      <c r="D4484" s="200"/>
    </row>
    <row r="4485" spans="2:4" x14ac:dyDescent="0.35">
      <c r="B4485" s="35">
        <v>39622</v>
      </c>
      <c r="C4485" s="34">
        <v>6589.46</v>
      </c>
      <c r="D4485" s="200"/>
    </row>
    <row r="4486" spans="2:4" x14ac:dyDescent="0.35">
      <c r="B4486" s="35">
        <v>39623</v>
      </c>
      <c r="C4486" s="34">
        <v>6536.06</v>
      </c>
      <c r="D4486" s="200"/>
    </row>
    <row r="4487" spans="2:4" x14ac:dyDescent="0.35">
      <c r="B4487" s="35">
        <v>39624</v>
      </c>
      <c r="C4487" s="34">
        <v>6617.84</v>
      </c>
      <c r="D4487" s="200"/>
    </row>
    <row r="4488" spans="2:4" x14ac:dyDescent="0.35">
      <c r="B4488" s="35">
        <v>39625</v>
      </c>
      <c r="C4488" s="34">
        <v>6459.6</v>
      </c>
      <c r="D4488" s="200"/>
    </row>
    <row r="4489" spans="2:4" x14ac:dyDescent="0.35">
      <c r="B4489" s="35">
        <v>39626</v>
      </c>
      <c r="C4489" s="34">
        <v>6421.91</v>
      </c>
      <c r="D4489" s="200"/>
    </row>
    <row r="4490" spans="2:4" x14ac:dyDescent="0.35">
      <c r="B4490" s="35">
        <v>39629</v>
      </c>
      <c r="C4490" s="34">
        <v>6418.32</v>
      </c>
      <c r="D4490" s="200"/>
    </row>
    <row r="4491" spans="2:4" x14ac:dyDescent="0.35">
      <c r="B4491" s="35">
        <v>39630</v>
      </c>
      <c r="C4491" s="34">
        <v>6315.94</v>
      </c>
      <c r="D4491" s="200"/>
    </row>
    <row r="4492" spans="2:4" x14ac:dyDescent="0.35">
      <c r="B4492" s="35">
        <v>39631</v>
      </c>
      <c r="C4492" s="34">
        <v>6305.42</v>
      </c>
      <c r="D4492" s="200"/>
    </row>
    <row r="4493" spans="2:4" x14ac:dyDescent="0.35">
      <c r="B4493" s="35">
        <v>39632</v>
      </c>
      <c r="C4493" s="34">
        <v>6353.74</v>
      </c>
      <c r="D4493" s="200"/>
    </row>
    <row r="4494" spans="2:4" x14ac:dyDescent="0.35">
      <c r="B4494" s="35">
        <v>39633</v>
      </c>
      <c r="C4494" s="34">
        <v>6272.21</v>
      </c>
      <c r="D4494" s="200"/>
    </row>
    <row r="4495" spans="2:4" x14ac:dyDescent="0.35">
      <c r="B4495" s="35">
        <v>39636</v>
      </c>
      <c r="C4495" s="34">
        <v>6395.75</v>
      </c>
      <c r="D4495" s="200"/>
    </row>
    <row r="4496" spans="2:4" x14ac:dyDescent="0.35">
      <c r="B4496" s="35">
        <v>39637</v>
      </c>
      <c r="C4496" s="34">
        <v>6304.41</v>
      </c>
      <c r="D4496" s="200"/>
    </row>
    <row r="4497" spans="2:4" x14ac:dyDescent="0.35">
      <c r="B4497" s="35">
        <v>39638</v>
      </c>
      <c r="C4497" s="34">
        <v>6386.46</v>
      </c>
      <c r="D4497" s="200"/>
    </row>
    <row r="4498" spans="2:4" x14ac:dyDescent="0.35">
      <c r="B4498" s="35">
        <v>39639</v>
      </c>
      <c r="C4498" s="34">
        <v>6305</v>
      </c>
      <c r="D4498" s="200"/>
    </row>
    <row r="4499" spans="2:4" x14ac:dyDescent="0.35">
      <c r="B4499" s="35">
        <v>39640</v>
      </c>
      <c r="C4499" s="34">
        <v>6153.3</v>
      </c>
      <c r="D4499" s="200"/>
    </row>
    <row r="4500" spans="2:4" x14ac:dyDescent="0.35">
      <c r="B4500" s="35">
        <v>39643</v>
      </c>
      <c r="C4500" s="34">
        <v>6200.25</v>
      </c>
      <c r="D4500" s="200"/>
    </row>
    <row r="4501" spans="2:4" x14ac:dyDescent="0.35">
      <c r="B4501" s="35">
        <v>39644</v>
      </c>
      <c r="C4501" s="34">
        <v>6081.7</v>
      </c>
      <c r="D4501" s="200"/>
    </row>
    <row r="4502" spans="2:4" x14ac:dyDescent="0.35">
      <c r="B4502" s="35">
        <v>39645</v>
      </c>
      <c r="C4502" s="34">
        <v>6155.37</v>
      </c>
      <c r="D4502" s="200"/>
    </row>
    <row r="4503" spans="2:4" x14ac:dyDescent="0.35">
      <c r="B4503" s="35">
        <v>39646</v>
      </c>
      <c r="C4503" s="34">
        <v>6271.27</v>
      </c>
      <c r="D4503" s="200"/>
    </row>
    <row r="4504" spans="2:4" x14ac:dyDescent="0.35">
      <c r="B4504" s="35">
        <v>39647</v>
      </c>
      <c r="C4504" s="34">
        <v>6382.65</v>
      </c>
      <c r="D4504" s="200"/>
    </row>
    <row r="4505" spans="2:4" x14ac:dyDescent="0.35">
      <c r="B4505" s="35">
        <v>39650</v>
      </c>
      <c r="C4505" s="34">
        <v>6424.84</v>
      </c>
      <c r="D4505" s="200"/>
    </row>
    <row r="4506" spans="2:4" x14ac:dyDescent="0.35">
      <c r="B4506" s="35">
        <v>39651</v>
      </c>
      <c r="C4506" s="34">
        <v>6442.79</v>
      </c>
      <c r="D4506" s="200"/>
    </row>
    <row r="4507" spans="2:4" x14ac:dyDescent="0.35">
      <c r="B4507" s="35">
        <v>39652</v>
      </c>
      <c r="C4507" s="34">
        <v>6536.09</v>
      </c>
      <c r="D4507" s="200"/>
    </row>
    <row r="4508" spans="2:4" x14ac:dyDescent="0.35">
      <c r="B4508" s="35">
        <v>39653</v>
      </c>
      <c r="C4508" s="34">
        <v>6440.7</v>
      </c>
      <c r="D4508" s="200"/>
    </row>
    <row r="4509" spans="2:4" x14ac:dyDescent="0.35">
      <c r="B4509" s="35">
        <v>39654</v>
      </c>
      <c r="C4509" s="34">
        <v>6436.71</v>
      </c>
      <c r="D4509" s="200"/>
    </row>
    <row r="4510" spans="2:4" x14ac:dyDescent="0.35">
      <c r="B4510" s="35">
        <v>39657</v>
      </c>
      <c r="C4510" s="34">
        <v>6351.15</v>
      </c>
      <c r="D4510" s="200"/>
    </row>
    <row r="4511" spans="2:4" x14ac:dyDescent="0.35">
      <c r="B4511" s="35">
        <v>39658</v>
      </c>
      <c r="C4511" s="34">
        <v>6398.8</v>
      </c>
      <c r="D4511" s="200"/>
    </row>
    <row r="4512" spans="2:4" x14ac:dyDescent="0.35">
      <c r="B4512" s="35">
        <v>39659</v>
      </c>
      <c r="C4512" s="34">
        <v>6460.12</v>
      </c>
      <c r="D4512" s="200"/>
    </row>
    <row r="4513" spans="2:4" x14ac:dyDescent="0.35">
      <c r="B4513" s="35">
        <v>39660</v>
      </c>
      <c r="C4513" s="34">
        <v>6479.56</v>
      </c>
      <c r="D4513" s="200"/>
    </row>
    <row r="4514" spans="2:4" x14ac:dyDescent="0.35">
      <c r="B4514" s="35">
        <v>39661</v>
      </c>
      <c r="C4514" s="34">
        <v>6396.46</v>
      </c>
      <c r="D4514" s="200"/>
    </row>
    <row r="4515" spans="2:4" x14ac:dyDescent="0.35">
      <c r="B4515" s="35">
        <v>39664</v>
      </c>
      <c r="C4515" s="34">
        <v>6349.81</v>
      </c>
      <c r="D4515" s="200"/>
    </row>
    <row r="4516" spans="2:4" x14ac:dyDescent="0.35">
      <c r="B4516" s="35">
        <v>39665</v>
      </c>
      <c r="C4516" s="34">
        <v>6518.7</v>
      </c>
      <c r="D4516" s="200"/>
    </row>
    <row r="4517" spans="2:4" x14ac:dyDescent="0.35">
      <c r="B4517" s="35">
        <v>39666</v>
      </c>
      <c r="C4517" s="34">
        <v>6561.39</v>
      </c>
      <c r="D4517" s="200"/>
    </row>
    <row r="4518" spans="2:4" x14ac:dyDescent="0.35">
      <c r="B4518" s="35">
        <v>39667</v>
      </c>
      <c r="C4518" s="34">
        <v>6543.49</v>
      </c>
      <c r="D4518" s="200"/>
    </row>
    <row r="4519" spans="2:4" x14ac:dyDescent="0.35">
      <c r="B4519" s="35">
        <v>39668</v>
      </c>
      <c r="C4519" s="34">
        <v>6561.65</v>
      </c>
      <c r="D4519" s="200"/>
    </row>
    <row r="4520" spans="2:4" x14ac:dyDescent="0.35">
      <c r="B4520" s="35">
        <v>39671</v>
      </c>
      <c r="C4520" s="34">
        <v>6609.63</v>
      </c>
      <c r="D4520" s="200"/>
    </row>
    <row r="4521" spans="2:4" x14ac:dyDescent="0.35">
      <c r="B4521" s="35">
        <v>39672</v>
      </c>
      <c r="C4521" s="34">
        <v>6585.87</v>
      </c>
      <c r="D4521" s="200"/>
    </row>
    <row r="4522" spans="2:4" x14ac:dyDescent="0.35">
      <c r="B4522" s="35">
        <v>39673</v>
      </c>
      <c r="C4522" s="34">
        <v>6422.19</v>
      </c>
      <c r="D4522" s="200"/>
    </row>
    <row r="4523" spans="2:4" x14ac:dyDescent="0.35">
      <c r="B4523" s="35">
        <v>39674</v>
      </c>
      <c r="C4523" s="34">
        <v>6442.21</v>
      </c>
      <c r="D4523" s="200"/>
    </row>
    <row r="4524" spans="2:4" x14ac:dyDescent="0.35">
      <c r="B4524" s="35">
        <v>39675</v>
      </c>
      <c r="C4524" s="34">
        <v>6446.02</v>
      </c>
      <c r="D4524" s="200"/>
    </row>
    <row r="4525" spans="2:4" x14ac:dyDescent="0.35">
      <c r="B4525" s="35">
        <v>39678</v>
      </c>
      <c r="C4525" s="34">
        <v>6432.88</v>
      </c>
      <c r="D4525" s="200"/>
    </row>
    <row r="4526" spans="2:4" x14ac:dyDescent="0.35">
      <c r="B4526" s="35">
        <v>39679</v>
      </c>
      <c r="C4526" s="34">
        <v>6282.43</v>
      </c>
      <c r="D4526" s="200"/>
    </row>
    <row r="4527" spans="2:4" x14ac:dyDescent="0.35">
      <c r="B4527" s="35">
        <v>39680</v>
      </c>
      <c r="C4527" s="34">
        <v>6317.8</v>
      </c>
      <c r="D4527" s="200"/>
    </row>
    <row r="4528" spans="2:4" x14ac:dyDescent="0.35">
      <c r="B4528" s="35">
        <v>39681</v>
      </c>
      <c r="C4528" s="34">
        <v>6236.96</v>
      </c>
      <c r="D4528" s="200"/>
    </row>
    <row r="4529" spans="2:4" x14ac:dyDescent="0.35">
      <c r="B4529" s="35">
        <v>39682</v>
      </c>
      <c r="C4529" s="34">
        <v>6342.42</v>
      </c>
      <c r="D4529" s="200"/>
    </row>
    <row r="4530" spans="2:4" x14ac:dyDescent="0.35">
      <c r="B4530" s="35">
        <v>39685</v>
      </c>
      <c r="C4530" s="34">
        <v>6296.95</v>
      </c>
      <c r="D4530" s="200"/>
    </row>
    <row r="4531" spans="2:4" x14ac:dyDescent="0.35">
      <c r="B4531" s="35">
        <v>39686</v>
      </c>
      <c r="C4531" s="34">
        <v>6340.52</v>
      </c>
      <c r="D4531" s="200"/>
    </row>
    <row r="4532" spans="2:4" x14ac:dyDescent="0.35">
      <c r="B4532" s="35">
        <v>39687</v>
      </c>
      <c r="C4532" s="34">
        <v>6321.03</v>
      </c>
      <c r="D4532" s="200"/>
    </row>
    <row r="4533" spans="2:4" x14ac:dyDescent="0.35">
      <c r="B4533" s="35">
        <v>39688</v>
      </c>
      <c r="C4533" s="34">
        <v>6420.54</v>
      </c>
      <c r="D4533" s="200"/>
    </row>
    <row r="4534" spans="2:4" x14ac:dyDescent="0.35">
      <c r="B4534" s="35">
        <v>39689</v>
      </c>
      <c r="C4534" s="34">
        <v>6422.3</v>
      </c>
      <c r="D4534" s="200"/>
    </row>
    <row r="4535" spans="2:4" x14ac:dyDescent="0.35">
      <c r="B4535" s="35">
        <v>39692</v>
      </c>
      <c r="C4535" s="34">
        <v>6421.8</v>
      </c>
      <c r="D4535" s="200"/>
    </row>
    <row r="4536" spans="2:4" x14ac:dyDescent="0.35">
      <c r="B4536" s="35">
        <v>39693</v>
      </c>
      <c r="C4536" s="34">
        <v>6518.47</v>
      </c>
      <c r="D4536" s="200"/>
    </row>
    <row r="4537" spans="2:4" x14ac:dyDescent="0.35">
      <c r="B4537" s="35">
        <v>39694</v>
      </c>
      <c r="C4537" s="34">
        <v>6467.49</v>
      </c>
      <c r="D4537" s="200"/>
    </row>
    <row r="4538" spans="2:4" x14ac:dyDescent="0.35">
      <c r="B4538" s="35">
        <v>39695</v>
      </c>
      <c r="C4538" s="34">
        <v>6279.57</v>
      </c>
      <c r="D4538" s="200"/>
    </row>
    <row r="4539" spans="2:4" x14ac:dyDescent="0.35">
      <c r="B4539" s="35">
        <v>39696</v>
      </c>
      <c r="C4539" s="34">
        <v>6127.44</v>
      </c>
      <c r="D4539" s="200"/>
    </row>
    <row r="4540" spans="2:4" x14ac:dyDescent="0.35">
      <c r="B4540" s="35">
        <v>39699</v>
      </c>
      <c r="C4540" s="34">
        <v>6263.74</v>
      </c>
      <c r="D4540" s="200"/>
    </row>
    <row r="4541" spans="2:4" x14ac:dyDescent="0.35">
      <c r="B4541" s="35">
        <v>39700</v>
      </c>
      <c r="C4541" s="34">
        <v>6233.41</v>
      </c>
      <c r="D4541" s="200"/>
    </row>
    <row r="4542" spans="2:4" x14ac:dyDescent="0.35">
      <c r="B4542" s="35">
        <v>39701</v>
      </c>
      <c r="C4542" s="34">
        <v>6210.32</v>
      </c>
      <c r="D4542" s="200"/>
    </row>
    <row r="4543" spans="2:4" x14ac:dyDescent="0.35">
      <c r="B4543" s="35">
        <v>39702</v>
      </c>
      <c r="C4543" s="34">
        <v>6178.9</v>
      </c>
      <c r="D4543" s="200"/>
    </row>
    <row r="4544" spans="2:4" x14ac:dyDescent="0.35">
      <c r="B4544" s="35">
        <v>39703</v>
      </c>
      <c r="C4544" s="34">
        <v>6234.89</v>
      </c>
      <c r="D4544" s="200"/>
    </row>
    <row r="4545" spans="2:4" x14ac:dyDescent="0.35">
      <c r="B4545" s="35">
        <v>39706</v>
      </c>
      <c r="C4545" s="34">
        <v>6064.16</v>
      </c>
      <c r="D4545" s="200"/>
    </row>
    <row r="4546" spans="2:4" x14ac:dyDescent="0.35">
      <c r="B4546" s="35">
        <v>39707</v>
      </c>
      <c r="C4546" s="34">
        <v>5965.17</v>
      </c>
      <c r="D4546" s="200"/>
    </row>
    <row r="4547" spans="2:4" x14ac:dyDescent="0.35">
      <c r="B4547" s="35">
        <v>39708</v>
      </c>
      <c r="C4547" s="34">
        <v>5860.98</v>
      </c>
      <c r="D4547" s="200"/>
    </row>
    <row r="4548" spans="2:4" x14ac:dyDescent="0.35">
      <c r="B4548" s="35">
        <v>39709</v>
      </c>
      <c r="C4548" s="34">
        <v>5863.42</v>
      </c>
      <c r="D4548" s="200"/>
    </row>
    <row r="4549" spans="2:4" x14ac:dyDescent="0.35">
      <c r="B4549" s="35">
        <v>39710</v>
      </c>
      <c r="C4549" s="34">
        <v>6143.42</v>
      </c>
      <c r="D4549" s="200"/>
    </row>
    <row r="4550" spans="2:4" x14ac:dyDescent="0.35">
      <c r="B4550" s="35">
        <v>39713</v>
      </c>
      <c r="C4550" s="34">
        <v>6107.75</v>
      </c>
      <c r="D4550" s="200"/>
    </row>
    <row r="4551" spans="2:4" x14ac:dyDescent="0.35">
      <c r="B4551" s="35">
        <v>39714</v>
      </c>
      <c r="C4551" s="34">
        <v>6068.53</v>
      </c>
      <c r="D4551" s="200"/>
    </row>
    <row r="4552" spans="2:4" x14ac:dyDescent="0.35">
      <c r="B4552" s="35">
        <v>39715</v>
      </c>
      <c r="C4552" s="34">
        <v>6052.87</v>
      </c>
      <c r="D4552" s="200"/>
    </row>
    <row r="4553" spans="2:4" x14ac:dyDescent="0.35">
      <c r="B4553" s="35">
        <v>39716</v>
      </c>
      <c r="C4553" s="34">
        <v>6173.03</v>
      </c>
      <c r="D4553" s="200"/>
    </row>
    <row r="4554" spans="2:4" x14ac:dyDescent="0.35">
      <c r="B4554" s="35">
        <v>39717</v>
      </c>
      <c r="C4554" s="34">
        <v>6063.5</v>
      </c>
      <c r="D4554" s="200"/>
    </row>
    <row r="4555" spans="2:4" x14ac:dyDescent="0.35">
      <c r="B4555" s="35">
        <v>39720</v>
      </c>
      <c r="C4555" s="34">
        <v>5807.08</v>
      </c>
      <c r="D4555" s="200"/>
    </row>
    <row r="4556" spans="2:4" x14ac:dyDescent="0.35">
      <c r="B4556" s="35">
        <v>39721</v>
      </c>
      <c r="C4556" s="34">
        <v>5831.02</v>
      </c>
      <c r="D4556" s="200"/>
    </row>
    <row r="4557" spans="2:4" x14ac:dyDescent="0.35">
      <c r="B4557" s="35">
        <v>39722</v>
      </c>
      <c r="C4557" s="34">
        <v>5806.33</v>
      </c>
      <c r="D4557" s="200"/>
    </row>
    <row r="4558" spans="2:4" x14ac:dyDescent="0.35">
      <c r="B4558" s="35">
        <v>39723</v>
      </c>
      <c r="C4558" s="34">
        <v>5660.63</v>
      </c>
      <c r="D4558" s="200"/>
    </row>
    <row r="4559" spans="2:4" x14ac:dyDescent="0.35">
      <c r="B4559" s="35">
        <v>39724</v>
      </c>
      <c r="C4559" s="34">
        <v>5797.03</v>
      </c>
      <c r="D4559" s="200"/>
    </row>
    <row r="4560" spans="2:4" x14ac:dyDescent="0.35">
      <c r="B4560" s="35">
        <v>39727</v>
      </c>
      <c r="C4560" s="34">
        <v>5387.01</v>
      </c>
      <c r="D4560" s="200"/>
    </row>
    <row r="4561" spans="2:4" x14ac:dyDescent="0.35">
      <c r="B4561" s="35">
        <v>39728</v>
      </c>
      <c r="C4561" s="34">
        <v>5326.63</v>
      </c>
      <c r="D4561" s="200"/>
    </row>
    <row r="4562" spans="2:4" x14ac:dyDescent="0.35">
      <c r="B4562" s="35">
        <v>39729</v>
      </c>
      <c r="C4562" s="34">
        <v>5013.62</v>
      </c>
      <c r="D4562" s="200"/>
    </row>
    <row r="4563" spans="2:4" x14ac:dyDescent="0.35">
      <c r="B4563" s="35">
        <v>39730</v>
      </c>
      <c r="C4563" s="34">
        <v>4887</v>
      </c>
      <c r="D4563" s="200"/>
    </row>
    <row r="4564" spans="2:4" x14ac:dyDescent="0.35">
      <c r="B4564" s="35">
        <v>39731</v>
      </c>
      <c r="C4564" s="34">
        <v>4544.3100000000004</v>
      </c>
      <c r="D4564" s="200"/>
    </row>
    <row r="4565" spans="2:4" x14ac:dyDescent="0.35">
      <c r="B4565" s="35">
        <v>39734</v>
      </c>
      <c r="C4565" s="34">
        <v>5062.45</v>
      </c>
      <c r="D4565" s="200"/>
    </row>
    <row r="4566" spans="2:4" x14ac:dyDescent="0.35">
      <c r="B4566" s="35">
        <v>39735</v>
      </c>
      <c r="C4566" s="34">
        <v>5199.1899999999996</v>
      </c>
      <c r="D4566" s="200"/>
    </row>
    <row r="4567" spans="2:4" x14ac:dyDescent="0.35">
      <c r="B4567" s="35">
        <v>39736</v>
      </c>
      <c r="C4567" s="34">
        <v>4861.63</v>
      </c>
      <c r="D4567" s="200"/>
    </row>
    <row r="4568" spans="2:4" x14ac:dyDescent="0.35">
      <c r="B4568" s="35">
        <v>39737</v>
      </c>
      <c r="C4568" s="34">
        <v>4622.8100000000004</v>
      </c>
      <c r="D4568" s="200"/>
    </row>
    <row r="4569" spans="2:4" x14ac:dyDescent="0.35">
      <c r="B4569" s="35">
        <v>39738</v>
      </c>
      <c r="C4569" s="34">
        <v>4781.33</v>
      </c>
      <c r="D4569" s="200"/>
    </row>
    <row r="4570" spans="2:4" x14ac:dyDescent="0.35">
      <c r="B4570" s="35">
        <v>39741</v>
      </c>
      <c r="C4570" s="34">
        <v>4835.01</v>
      </c>
      <c r="D4570" s="200"/>
    </row>
    <row r="4571" spans="2:4" x14ac:dyDescent="0.35">
      <c r="B4571" s="35">
        <v>39742</v>
      </c>
      <c r="C4571" s="34">
        <v>4784.41</v>
      </c>
      <c r="D4571" s="200"/>
    </row>
    <row r="4572" spans="2:4" x14ac:dyDescent="0.35">
      <c r="B4572" s="35">
        <v>39743</v>
      </c>
      <c r="C4572" s="34">
        <v>4571.07</v>
      </c>
      <c r="D4572" s="200"/>
    </row>
    <row r="4573" spans="2:4" x14ac:dyDescent="0.35">
      <c r="B4573" s="35">
        <v>39744</v>
      </c>
      <c r="C4573" s="34">
        <v>4519.7</v>
      </c>
      <c r="D4573" s="200"/>
    </row>
    <row r="4574" spans="2:4" x14ac:dyDescent="0.35">
      <c r="B4574" s="35">
        <v>39745</v>
      </c>
      <c r="C4574" s="34">
        <v>4295.67</v>
      </c>
      <c r="D4574" s="200"/>
    </row>
    <row r="4575" spans="2:4" x14ac:dyDescent="0.35">
      <c r="B4575" s="35">
        <v>39748</v>
      </c>
      <c r="C4575" s="34">
        <v>4334.6400000000003</v>
      </c>
      <c r="D4575" s="200"/>
    </row>
    <row r="4576" spans="2:4" x14ac:dyDescent="0.35">
      <c r="B4576" s="35">
        <v>39749</v>
      </c>
      <c r="C4576" s="34">
        <v>4823.45</v>
      </c>
      <c r="D4576" s="200"/>
    </row>
    <row r="4577" spans="2:4" x14ac:dyDescent="0.35">
      <c r="B4577" s="35">
        <v>39750</v>
      </c>
      <c r="C4577" s="34">
        <v>4808.6899999999996</v>
      </c>
      <c r="D4577" s="200"/>
    </row>
    <row r="4578" spans="2:4" x14ac:dyDescent="0.35">
      <c r="B4578" s="35">
        <v>39751</v>
      </c>
      <c r="C4578" s="34">
        <v>4869.3</v>
      </c>
      <c r="D4578" s="200"/>
    </row>
    <row r="4579" spans="2:4" x14ac:dyDescent="0.35">
      <c r="B4579" s="35">
        <v>39752</v>
      </c>
      <c r="C4579" s="34">
        <v>4987.97</v>
      </c>
      <c r="D4579" s="200"/>
    </row>
    <row r="4580" spans="2:4" x14ac:dyDescent="0.35">
      <c r="B4580" s="35">
        <v>39755</v>
      </c>
      <c r="C4580" s="34">
        <v>5026.84</v>
      </c>
      <c r="D4580" s="200"/>
    </row>
    <row r="4581" spans="2:4" x14ac:dyDescent="0.35">
      <c r="B4581" s="35">
        <v>39756</v>
      </c>
      <c r="C4581" s="34">
        <v>5278.04</v>
      </c>
      <c r="D4581" s="200"/>
    </row>
    <row r="4582" spans="2:4" x14ac:dyDescent="0.35">
      <c r="B4582" s="35">
        <v>39757</v>
      </c>
      <c r="C4582" s="34">
        <v>5166.87</v>
      </c>
      <c r="D4582" s="200"/>
    </row>
    <row r="4583" spans="2:4" x14ac:dyDescent="0.35">
      <c r="B4583" s="35">
        <v>39758</v>
      </c>
      <c r="C4583" s="34">
        <v>4813.57</v>
      </c>
      <c r="D4583" s="200"/>
    </row>
    <row r="4584" spans="2:4" x14ac:dyDescent="0.35">
      <c r="B4584" s="35">
        <v>39759</v>
      </c>
      <c r="C4584" s="34">
        <v>4938.46</v>
      </c>
      <c r="D4584" s="200"/>
    </row>
    <row r="4585" spans="2:4" x14ac:dyDescent="0.35">
      <c r="B4585" s="35">
        <v>39762</v>
      </c>
      <c r="C4585" s="34">
        <v>5025.53</v>
      </c>
      <c r="D4585" s="200"/>
    </row>
    <row r="4586" spans="2:4" x14ac:dyDescent="0.35">
      <c r="B4586" s="35">
        <v>39763</v>
      </c>
      <c r="C4586" s="34">
        <v>4761.58</v>
      </c>
      <c r="D4586" s="200"/>
    </row>
    <row r="4587" spans="2:4" x14ac:dyDescent="0.35">
      <c r="B4587" s="35">
        <v>39764</v>
      </c>
      <c r="C4587" s="34">
        <v>4620.8</v>
      </c>
      <c r="D4587" s="200"/>
    </row>
    <row r="4588" spans="2:4" x14ac:dyDescent="0.35">
      <c r="B4588" s="35">
        <v>39765</v>
      </c>
      <c r="C4588" s="34">
        <v>4649.5200000000004</v>
      </c>
      <c r="D4588" s="200"/>
    </row>
    <row r="4589" spans="2:4" x14ac:dyDescent="0.35">
      <c r="B4589" s="35">
        <v>39766</v>
      </c>
      <c r="C4589" s="34">
        <v>4710.24</v>
      </c>
      <c r="D4589" s="200"/>
    </row>
    <row r="4590" spans="2:4" x14ac:dyDescent="0.35">
      <c r="B4590" s="35">
        <v>39769</v>
      </c>
      <c r="C4590" s="34">
        <v>4557.2700000000004</v>
      </c>
      <c r="D4590" s="200"/>
    </row>
    <row r="4591" spans="2:4" x14ac:dyDescent="0.35">
      <c r="B4591" s="35">
        <v>39770</v>
      </c>
      <c r="C4591" s="34">
        <v>4579.47</v>
      </c>
      <c r="D4591" s="200"/>
    </row>
    <row r="4592" spans="2:4" x14ac:dyDescent="0.35">
      <c r="B4592" s="35">
        <v>39771</v>
      </c>
      <c r="C4592" s="34">
        <v>4354.09</v>
      </c>
      <c r="D4592" s="200"/>
    </row>
    <row r="4593" spans="2:4" x14ac:dyDescent="0.35">
      <c r="B4593" s="35">
        <v>39772</v>
      </c>
      <c r="C4593" s="34">
        <v>4220.2</v>
      </c>
      <c r="D4593" s="200"/>
    </row>
    <row r="4594" spans="2:4" x14ac:dyDescent="0.35">
      <c r="B4594" s="35">
        <v>39773</v>
      </c>
      <c r="C4594" s="34">
        <v>4127.41</v>
      </c>
      <c r="D4594" s="200"/>
    </row>
    <row r="4595" spans="2:4" x14ac:dyDescent="0.35">
      <c r="B4595" s="35">
        <v>39776</v>
      </c>
      <c r="C4595" s="34">
        <v>4554.33</v>
      </c>
      <c r="D4595" s="200"/>
    </row>
    <row r="4596" spans="2:4" x14ac:dyDescent="0.35">
      <c r="B4596" s="35">
        <v>39777</v>
      </c>
      <c r="C4596" s="34">
        <v>4560.42</v>
      </c>
      <c r="D4596" s="200"/>
    </row>
    <row r="4597" spans="2:4" x14ac:dyDescent="0.35">
      <c r="B4597" s="35">
        <v>39778</v>
      </c>
      <c r="C4597" s="34">
        <v>4560.5</v>
      </c>
      <c r="D4597" s="200"/>
    </row>
    <row r="4598" spans="2:4" x14ac:dyDescent="0.35">
      <c r="B4598" s="35">
        <v>39779</v>
      </c>
      <c r="C4598" s="34">
        <v>4665.2700000000004</v>
      </c>
      <c r="D4598" s="200"/>
    </row>
    <row r="4599" spans="2:4" x14ac:dyDescent="0.35">
      <c r="B4599" s="35">
        <v>39780</v>
      </c>
      <c r="C4599" s="34">
        <v>4669.4399999999996</v>
      </c>
      <c r="D4599" s="200"/>
    </row>
    <row r="4600" spans="2:4" x14ac:dyDescent="0.35">
      <c r="B4600" s="35">
        <v>39783</v>
      </c>
      <c r="C4600" s="34">
        <v>4394.79</v>
      </c>
      <c r="D4600" s="200"/>
    </row>
    <row r="4601" spans="2:4" x14ac:dyDescent="0.35">
      <c r="B4601" s="35">
        <v>39784</v>
      </c>
      <c r="C4601" s="34">
        <v>4531.79</v>
      </c>
      <c r="D4601" s="200"/>
    </row>
    <row r="4602" spans="2:4" x14ac:dyDescent="0.35">
      <c r="B4602" s="35">
        <v>39785</v>
      </c>
      <c r="C4602" s="34">
        <v>4567.24</v>
      </c>
      <c r="D4602" s="200"/>
    </row>
    <row r="4603" spans="2:4" x14ac:dyDescent="0.35">
      <c r="B4603" s="35">
        <v>39786</v>
      </c>
      <c r="C4603" s="34">
        <v>4564.2299999999996</v>
      </c>
      <c r="D4603" s="200"/>
    </row>
    <row r="4604" spans="2:4" x14ac:dyDescent="0.35">
      <c r="B4604" s="35">
        <v>39787</v>
      </c>
      <c r="C4604" s="34">
        <v>4381.47</v>
      </c>
      <c r="D4604" s="200"/>
    </row>
    <row r="4605" spans="2:4" x14ac:dyDescent="0.35">
      <c r="B4605" s="35">
        <v>39790</v>
      </c>
      <c r="C4605" s="34">
        <v>4715.88</v>
      </c>
      <c r="D4605" s="200"/>
    </row>
    <row r="4606" spans="2:4" x14ac:dyDescent="0.35">
      <c r="B4606" s="35">
        <v>39791</v>
      </c>
      <c r="C4606" s="34">
        <v>4779.1099999999997</v>
      </c>
      <c r="D4606" s="200"/>
    </row>
    <row r="4607" spans="2:4" x14ac:dyDescent="0.35">
      <c r="B4607" s="35">
        <v>39792</v>
      </c>
      <c r="C4607" s="34">
        <v>4804.88</v>
      </c>
      <c r="D4607" s="200"/>
    </row>
    <row r="4608" spans="2:4" x14ac:dyDescent="0.35">
      <c r="B4608" s="35">
        <v>39793</v>
      </c>
      <c r="C4608" s="34">
        <v>4767.2</v>
      </c>
      <c r="D4608" s="200"/>
    </row>
    <row r="4609" spans="2:4" x14ac:dyDescent="0.35">
      <c r="B4609" s="35">
        <v>39794</v>
      </c>
      <c r="C4609" s="34">
        <v>4663.37</v>
      </c>
      <c r="D4609" s="200"/>
    </row>
    <row r="4610" spans="2:4" x14ac:dyDescent="0.35">
      <c r="B4610" s="35">
        <v>39797</v>
      </c>
      <c r="C4610" s="34">
        <v>4654.82</v>
      </c>
      <c r="D4610" s="200"/>
    </row>
    <row r="4611" spans="2:4" x14ac:dyDescent="0.35">
      <c r="B4611" s="35">
        <v>39798</v>
      </c>
      <c r="C4611" s="34">
        <v>4729.91</v>
      </c>
      <c r="D4611" s="200"/>
    </row>
    <row r="4612" spans="2:4" x14ac:dyDescent="0.35">
      <c r="B4612" s="35">
        <v>39799</v>
      </c>
      <c r="C4612" s="34">
        <v>4708.38</v>
      </c>
      <c r="D4612" s="200"/>
    </row>
    <row r="4613" spans="2:4" x14ac:dyDescent="0.35">
      <c r="B4613" s="35">
        <v>39800</v>
      </c>
      <c r="C4613" s="34">
        <v>4756.3999999999996</v>
      </c>
      <c r="D4613" s="200"/>
    </row>
    <row r="4614" spans="2:4" x14ac:dyDescent="0.35">
      <c r="B4614" s="35">
        <v>39801</v>
      </c>
      <c r="C4614" s="34">
        <v>4696.7</v>
      </c>
      <c r="D4614" s="200"/>
    </row>
    <row r="4615" spans="2:4" x14ac:dyDescent="0.35">
      <c r="B4615" s="35">
        <v>39804</v>
      </c>
      <c r="C4615" s="34">
        <v>4639.0200000000004</v>
      </c>
      <c r="D4615" s="200"/>
    </row>
    <row r="4616" spans="2:4" x14ac:dyDescent="0.35">
      <c r="B4616" s="35">
        <v>39805</v>
      </c>
      <c r="C4616" s="34">
        <v>4629.38</v>
      </c>
      <c r="D4616" s="200"/>
    </row>
    <row r="4617" spans="2:4" x14ac:dyDescent="0.35">
      <c r="B4617" s="35">
        <v>39806</v>
      </c>
      <c r="C4617" s="34">
        <v>4629.38</v>
      </c>
      <c r="D4617" s="200"/>
    </row>
    <row r="4618" spans="2:4" x14ac:dyDescent="0.35">
      <c r="B4618" s="35">
        <v>39808</v>
      </c>
      <c r="C4618" s="34">
        <v>4629.38</v>
      </c>
      <c r="D4618" s="200"/>
    </row>
    <row r="4619" spans="2:4" x14ac:dyDescent="0.35">
      <c r="B4619" s="35">
        <v>39811</v>
      </c>
      <c r="C4619" s="34">
        <v>4704.8599999999997</v>
      </c>
      <c r="D4619" s="200"/>
    </row>
    <row r="4620" spans="2:4" x14ac:dyDescent="0.35">
      <c r="B4620" s="35">
        <v>39812</v>
      </c>
      <c r="C4620" s="34">
        <v>4810.2</v>
      </c>
      <c r="D4620" s="200"/>
    </row>
    <row r="4621" spans="2:4" x14ac:dyDescent="0.35">
      <c r="B4621" s="35">
        <v>39815</v>
      </c>
      <c r="C4621" s="34">
        <v>4973.07</v>
      </c>
      <c r="D4621" s="200"/>
    </row>
    <row r="4622" spans="2:4" x14ac:dyDescent="0.35">
      <c r="B4622" s="35">
        <v>39818</v>
      </c>
      <c r="C4622" s="34">
        <v>4983.99</v>
      </c>
      <c r="D4622" s="200"/>
    </row>
    <row r="4623" spans="2:4" x14ac:dyDescent="0.35">
      <c r="B4623" s="35">
        <v>39819</v>
      </c>
      <c r="C4623" s="34">
        <v>5026.3100000000004</v>
      </c>
      <c r="D4623" s="200"/>
    </row>
    <row r="4624" spans="2:4" x14ac:dyDescent="0.35">
      <c r="B4624" s="35">
        <v>39820</v>
      </c>
      <c r="C4624" s="34">
        <v>4937.47</v>
      </c>
      <c r="D4624" s="200"/>
    </row>
    <row r="4625" spans="2:4" x14ac:dyDescent="0.35">
      <c r="B4625" s="35">
        <v>39821</v>
      </c>
      <c r="C4625" s="34">
        <v>4879.91</v>
      </c>
      <c r="D4625" s="200"/>
    </row>
    <row r="4626" spans="2:4" x14ac:dyDescent="0.35">
      <c r="B4626" s="35">
        <v>39822</v>
      </c>
      <c r="C4626" s="34">
        <v>4783.8900000000003</v>
      </c>
      <c r="D4626" s="200"/>
    </row>
    <row r="4627" spans="2:4" x14ac:dyDescent="0.35">
      <c r="B4627" s="35">
        <v>39825</v>
      </c>
      <c r="C4627" s="34">
        <v>4719.62</v>
      </c>
      <c r="D4627" s="200"/>
    </row>
    <row r="4628" spans="2:4" x14ac:dyDescent="0.35">
      <c r="B4628" s="35">
        <v>39826</v>
      </c>
      <c r="C4628" s="34">
        <v>4636.9399999999996</v>
      </c>
      <c r="D4628" s="200"/>
    </row>
    <row r="4629" spans="2:4" x14ac:dyDescent="0.35">
      <c r="B4629" s="35">
        <v>39827</v>
      </c>
      <c r="C4629" s="34">
        <v>4422.3500000000004</v>
      </c>
      <c r="D4629" s="200"/>
    </row>
    <row r="4630" spans="2:4" x14ac:dyDescent="0.35">
      <c r="B4630" s="35">
        <v>39828</v>
      </c>
      <c r="C4630" s="34">
        <v>4336.7299999999996</v>
      </c>
      <c r="D4630" s="200"/>
    </row>
    <row r="4631" spans="2:4" x14ac:dyDescent="0.35">
      <c r="B4631" s="35">
        <v>39829</v>
      </c>
      <c r="C4631" s="34">
        <v>4366.28</v>
      </c>
      <c r="D4631" s="200"/>
    </row>
    <row r="4632" spans="2:4" x14ac:dyDescent="0.35">
      <c r="B4632" s="35">
        <v>39832</v>
      </c>
      <c r="C4632" s="34">
        <v>4316.1400000000003</v>
      </c>
      <c r="D4632" s="200"/>
    </row>
    <row r="4633" spans="2:4" x14ac:dyDescent="0.35">
      <c r="B4633" s="35">
        <v>39833</v>
      </c>
      <c r="C4633" s="34">
        <v>4239.8500000000004</v>
      </c>
      <c r="D4633" s="200"/>
    </row>
    <row r="4634" spans="2:4" x14ac:dyDescent="0.35">
      <c r="B4634" s="35">
        <v>39834</v>
      </c>
      <c r="C4634" s="34">
        <v>4261.1499999999996</v>
      </c>
      <c r="D4634" s="200"/>
    </row>
    <row r="4635" spans="2:4" x14ac:dyDescent="0.35">
      <c r="B4635" s="35">
        <v>39835</v>
      </c>
      <c r="C4635" s="34">
        <v>4219.42</v>
      </c>
      <c r="D4635" s="200"/>
    </row>
    <row r="4636" spans="2:4" x14ac:dyDescent="0.35">
      <c r="B4636" s="35">
        <v>39836</v>
      </c>
      <c r="C4636" s="34">
        <v>4178.9399999999996</v>
      </c>
      <c r="D4636" s="200"/>
    </row>
    <row r="4637" spans="2:4" x14ac:dyDescent="0.35">
      <c r="B4637" s="35">
        <v>39839</v>
      </c>
      <c r="C4637" s="34">
        <v>4326.87</v>
      </c>
      <c r="D4637" s="200"/>
    </row>
    <row r="4638" spans="2:4" x14ac:dyDescent="0.35">
      <c r="B4638" s="35">
        <v>39840</v>
      </c>
      <c r="C4638" s="34">
        <v>4323.42</v>
      </c>
      <c r="D4638" s="200"/>
    </row>
    <row r="4639" spans="2:4" x14ac:dyDescent="0.35">
      <c r="B4639" s="35">
        <v>39841</v>
      </c>
      <c r="C4639" s="34">
        <v>4518.72</v>
      </c>
      <c r="D4639" s="200"/>
    </row>
    <row r="4640" spans="2:4" x14ac:dyDescent="0.35">
      <c r="B4640" s="35">
        <v>39842</v>
      </c>
      <c r="C4640" s="34">
        <v>4428.1099999999997</v>
      </c>
      <c r="D4640" s="200"/>
    </row>
    <row r="4641" spans="2:4" x14ac:dyDescent="0.35">
      <c r="B4641" s="35">
        <v>39843</v>
      </c>
      <c r="C4641" s="34">
        <v>4338.3500000000004</v>
      </c>
      <c r="D4641" s="200"/>
    </row>
    <row r="4642" spans="2:4" x14ac:dyDescent="0.35">
      <c r="B4642" s="35">
        <v>39846</v>
      </c>
      <c r="C4642" s="34">
        <v>4271.04</v>
      </c>
      <c r="D4642" s="200"/>
    </row>
    <row r="4643" spans="2:4" x14ac:dyDescent="0.35">
      <c r="B4643" s="35">
        <v>39847</v>
      </c>
      <c r="C4643" s="34">
        <v>4374.96</v>
      </c>
      <c r="D4643" s="200"/>
    </row>
    <row r="4644" spans="2:4" x14ac:dyDescent="0.35">
      <c r="B4644" s="35">
        <v>39848</v>
      </c>
      <c r="C4644" s="34">
        <v>4492.79</v>
      </c>
      <c r="D4644" s="200"/>
    </row>
    <row r="4645" spans="2:4" x14ac:dyDescent="0.35">
      <c r="B4645" s="35">
        <v>39849</v>
      </c>
      <c r="C4645" s="34">
        <v>4510.49</v>
      </c>
      <c r="D4645" s="200"/>
    </row>
    <row r="4646" spans="2:4" x14ac:dyDescent="0.35">
      <c r="B4646" s="35">
        <v>39850</v>
      </c>
      <c r="C4646" s="34">
        <v>4644.63</v>
      </c>
      <c r="D4646" s="200"/>
    </row>
    <row r="4647" spans="2:4" x14ac:dyDescent="0.35">
      <c r="B4647" s="35">
        <v>39853</v>
      </c>
      <c r="C4647" s="34">
        <v>4666.82</v>
      </c>
      <c r="D4647" s="200"/>
    </row>
    <row r="4648" spans="2:4" x14ac:dyDescent="0.35">
      <c r="B4648" s="35">
        <v>39854</v>
      </c>
      <c r="C4648" s="34">
        <v>4505.54</v>
      </c>
      <c r="D4648" s="200"/>
    </row>
    <row r="4649" spans="2:4" x14ac:dyDescent="0.35">
      <c r="B4649" s="35">
        <v>39855</v>
      </c>
      <c r="C4649" s="34">
        <v>4530.09</v>
      </c>
      <c r="D4649" s="200"/>
    </row>
    <row r="4650" spans="2:4" x14ac:dyDescent="0.35">
      <c r="B4650" s="35">
        <v>39856</v>
      </c>
      <c r="C4650" s="34">
        <v>4407.5600000000004</v>
      </c>
      <c r="D4650" s="200"/>
    </row>
    <row r="4651" spans="2:4" x14ac:dyDescent="0.35">
      <c r="B4651" s="35">
        <v>39857</v>
      </c>
      <c r="C4651" s="34">
        <v>4413.3900000000003</v>
      </c>
      <c r="D4651" s="200"/>
    </row>
    <row r="4652" spans="2:4" x14ac:dyDescent="0.35">
      <c r="B4652" s="35">
        <v>39861</v>
      </c>
      <c r="C4652" s="34">
        <v>4216.6000000000004</v>
      </c>
      <c r="D4652" s="200"/>
    </row>
    <row r="4653" spans="2:4" x14ac:dyDescent="0.35">
      <c r="B4653" s="35">
        <v>39862</v>
      </c>
      <c r="C4653" s="34">
        <v>4204.96</v>
      </c>
      <c r="D4653" s="200"/>
    </row>
    <row r="4654" spans="2:4" x14ac:dyDescent="0.35">
      <c r="B4654" s="35">
        <v>39863</v>
      </c>
      <c r="C4654" s="34">
        <v>4215.21</v>
      </c>
      <c r="D4654" s="200"/>
    </row>
    <row r="4655" spans="2:4" x14ac:dyDescent="0.35">
      <c r="B4655" s="35">
        <v>39864</v>
      </c>
      <c r="C4655" s="34">
        <v>4014.66</v>
      </c>
      <c r="D4655" s="200"/>
    </row>
    <row r="4656" spans="2:4" x14ac:dyDescent="0.35">
      <c r="B4656" s="35">
        <v>39867</v>
      </c>
      <c r="C4656" s="34">
        <v>3936.45</v>
      </c>
      <c r="D4656" s="200"/>
    </row>
    <row r="4657" spans="2:4" x14ac:dyDescent="0.35">
      <c r="B4657" s="35">
        <v>39868</v>
      </c>
      <c r="C4657" s="34">
        <v>3895.75</v>
      </c>
      <c r="D4657" s="200"/>
    </row>
    <row r="4658" spans="2:4" x14ac:dyDescent="0.35">
      <c r="B4658" s="35">
        <v>39869</v>
      </c>
      <c r="C4658" s="34">
        <v>3846.21</v>
      </c>
      <c r="D4658" s="200"/>
    </row>
    <row r="4659" spans="2:4" x14ac:dyDescent="0.35">
      <c r="B4659" s="35">
        <v>39870</v>
      </c>
      <c r="C4659" s="34">
        <v>3942.62</v>
      </c>
      <c r="D4659" s="200"/>
    </row>
    <row r="4660" spans="2:4" x14ac:dyDescent="0.35">
      <c r="B4660" s="35">
        <v>39871</v>
      </c>
      <c r="C4660" s="34">
        <v>3843.74</v>
      </c>
      <c r="D4660" s="200"/>
    </row>
    <row r="4661" spans="2:4" x14ac:dyDescent="0.35">
      <c r="B4661" s="35">
        <v>39874</v>
      </c>
      <c r="C4661" s="34">
        <v>3710.07</v>
      </c>
      <c r="D4661" s="200"/>
    </row>
    <row r="4662" spans="2:4" x14ac:dyDescent="0.35">
      <c r="B4662" s="35">
        <v>39875</v>
      </c>
      <c r="C4662" s="34">
        <v>3690.72</v>
      </c>
      <c r="D4662" s="200"/>
    </row>
    <row r="4663" spans="2:4" x14ac:dyDescent="0.35">
      <c r="B4663" s="35">
        <v>39876</v>
      </c>
      <c r="C4663" s="34">
        <v>3890.94</v>
      </c>
      <c r="D4663" s="200"/>
    </row>
    <row r="4664" spans="2:4" x14ac:dyDescent="0.35">
      <c r="B4664" s="35">
        <v>39877</v>
      </c>
      <c r="C4664" s="34">
        <v>3695.49</v>
      </c>
      <c r="D4664" s="200"/>
    </row>
    <row r="4665" spans="2:4" x14ac:dyDescent="0.35">
      <c r="B4665" s="35">
        <v>39878</v>
      </c>
      <c r="C4665" s="34">
        <v>3666.41</v>
      </c>
      <c r="D4665" s="200"/>
    </row>
    <row r="4666" spans="2:4" x14ac:dyDescent="0.35">
      <c r="B4666" s="35">
        <v>39881</v>
      </c>
      <c r="C4666" s="34">
        <v>3692.03</v>
      </c>
      <c r="D4666" s="200"/>
    </row>
    <row r="4667" spans="2:4" x14ac:dyDescent="0.35">
      <c r="B4667" s="35">
        <v>39882</v>
      </c>
      <c r="C4667" s="34">
        <v>3886.98</v>
      </c>
      <c r="D4667" s="200"/>
    </row>
    <row r="4668" spans="2:4" x14ac:dyDescent="0.35">
      <c r="B4668" s="35">
        <v>39883</v>
      </c>
      <c r="C4668" s="34">
        <v>3914.1</v>
      </c>
      <c r="D4668" s="200"/>
    </row>
    <row r="4669" spans="2:4" x14ac:dyDescent="0.35">
      <c r="B4669" s="35">
        <v>39884</v>
      </c>
      <c r="C4669" s="34">
        <v>3956.22</v>
      </c>
      <c r="D4669" s="200"/>
    </row>
    <row r="4670" spans="2:4" x14ac:dyDescent="0.35">
      <c r="B4670" s="35">
        <v>39885</v>
      </c>
      <c r="C4670" s="34">
        <v>3953.6</v>
      </c>
      <c r="D4670" s="200"/>
    </row>
    <row r="4671" spans="2:4" x14ac:dyDescent="0.35">
      <c r="B4671" s="35">
        <v>39888</v>
      </c>
      <c r="C4671" s="34">
        <v>4044.54</v>
      </c>
      <c r="D4671" s="200"/>
    </row>
    <row r="4672" spans="2:4" x14ac:dyDescent="0.35">
      <c r="B4672" s="35">
        <v>39889</v>
      </c>
      <c r="C4672" s="34">
        <v>3987.77</v>
      </c>
      <c r="D4672" s="200"/>
    </row>
    <row r="4673" spans="2:4" x14ac:dyDescent="0.35">
      <c r="B4673" s="35">
        <v>39890</v>
      </c>
      <c r="C4673" s="34">
        <v>3996.32</v>
      </c>
      <c r="D4673" s="200"/>
    </row>
    <row r="4674" spans="2:4" x14ac:dyDescent="0.35">
      <c r="B4674" s="35">
        <v>39891</v>
      </c>
      <c r="C4674" s="34">
        <v>4043.46</v>
      </c>
      <c r="D4674" s="200"/>
    </row>
    <row r="4675" spans="2:4" x14ac:dyDescent="0.35">
      <c r="B4675" s="35">
        <v>39892</v>
      </c>
      <c r="C4675" s="34">
        <v>4068.74</v>
      </c>
      <c r="D4675" s="200"/>
    </row>
    <row r="4676" spans="2:4" x14ac:dyDescent="0.35">
      <c r="B4676" s="35">
        <v>39895</v>
      </c>
      <c r="C4676" s="34">
        <v>4176.37</v>
      </c>
      <c r="D4676" s="200"/>
    </row>
    <row r="4677" spans="2:4" x14ac:dyDescent="0.35">
      <c r="B4677" s="35">
        <v>39896</v>
      </c>
      <c r="C4677" s="34">
        <v>4187.3599999999997</v>
      </c>
      <c r="D4677" s="200"/>
    </row>
    <row r="4678" spans="2:4" x14ac:dyDescent="0.35">
      <c r="B4678" s="35">
        <v>39897</v>
      </c>
      <c r="C4678" s="34">
        <v>4223.29</v>
      </c>
      <c r="D4678" s="200"/>
    </row>
    <row r="4679" spans="2:4" x14ac:dyDescent="0.35">
      <c r="B4679" s="35">
        <v>39898</v>
      </c>
      <c r="C4679" s="34">
        <v>4259.37</v>
      </c>
      <c r="D4679" s="200"/>
    </row>
    <row r="4680" spans="2:4" x14ac:dyDescent="0.35">
      <c r="B4680" s="35">
        <v>39899</v>
      </c>
      <c r="C4680" s="34">
        <v>4203.55</v>
      </c>
      <c r="D4680" s="200"/>
    </row>
    <row r="4681" spans="2:4" x14ac:dyDescent="0.35">
      <c r="B4681" s="35">
        <v>39902</v>
      </c>
      <c r="C4681" s="34">
        <v>3989.23</v>
      </c>
      <c r="D4681" s="200"/>
    </row>
    <row r="4682" spans="2:4" x14ac:dyDescent="0.35">
      <c r="B4682" s="35">
        <v>39903</v>
      </c>
      <c r="C4682" s="34">
        <v>4084.76</v>
      </c>
      <c r="D4682" s="200"/>
    </row>
    <row r="4683" spans="2:4" x14ac:dyDescent="0.35">
      <c r="B4683" s="35">
        <v>39904</v>
      </c>
      <c r="C4683" s="34">
        <v>4131.07</v>
      </c>
      <c r="D4683" s="200"/>
    </row>
    <row r="4684" spans="2:4" x14ac:dyDescent="0.35">
      <c r="B4684" s="35">
        <v>39905</v>
      </c>
      <c r="C4684" s="34">
        <v>4381.92</v>
      </c>
      <c r="D4684" s="200"/>
    </row>
    <row r="4685" spans="2:4" x14ac:dyDescent="0.35">
      <c r="B4685" s="35">
        <v>39906</v>
      </c>
      <c r="C4685" s="34">
        <v>4384.99</v>
      </c>
      <c r="D4685" s="200"/>
    </row>
    <row r="4686" spans="2:4" x14ac:dyDescent="0.35">
      <c r="B4686" s="35">
        <v>39909</v>
      </c>
      <c r="C4686" s="34">
        <v>4349.8100000000004</v>
      </c>
      <c r="D4686" s="200"/>
    </row>
    <row r="4687" spans="2:4" x14ac:dyDescent="0.35">
      <c r="B4687" s="35">
        <v>39910</v>
      </c>
      <c r="C4687" s="34">
        <v>4322.5</v>
      </c>
      <c r="D4687" s="200"/>
    </row>
    <row r="4688" spans="2:4" x14ac:dyDescent="0.35">
      <c r="B4688" s="35">
        <v>39911</v>
      </c>
      <c r="C4688" s="34">
        <v>4357.92</v>
      </c>
      <c r="D4688" s="200"/>
    </row>
    <row r="4689" spans="2:4" x14ac:dyDescent="0.35">
      <c r="B4689" s="35">
        <v>39912</v>
      </c>
      <c r="C4689" s="34">
        <v>4491.12</v>
      </c>
      <c r="D4689" s="200"/>
    </row>
    <row r="4690" spans="2:4" x14ac:dyDescent="0.35">
      <c r="B4690" s="35">
        <v>39916</v>
      </c>
      <c r="C4690" s="34">
        <v>4491.12</v>
      </c>
      <c r="D4690" s="200"/>
    </row>
    <row r="4691" spans="2:4" x14ac:dyDescent="0.35">
      <c r="B4691" s="35">
        <v>39917</v>
      </c>
      <c r="C4691" s="34">
        <v>4557.01</v>
      </c>
      <c r="D4691" s="200"/>
    </row>
    <row r="4692" spans="2:4" x14ac:dyDescent="0.35">
      <c r="B4692" s="35">
        <v>39918</v>
      </c>
      <c r="C4692" s="34">
        <v>4549.79</v>
      </c>
      <c r="D4692" s="200"/>
    </row>
    <row r="4693" spans="2:4" x14ac:dyDescent="0.35">
      <c r="B4693" s="35">
        <v>39919</v>
      </c>
      <c r="C4693" s="34">
        <v>4609.46</v>
      </c>
      <c r="D4693" s="200"/>
    </row>
    <row r="4694" spans="2:4" x14ac:dyDescent="0.35">
      <c r="B4694" s="35">
        <v>39920</v>
      </c>
      <c r="C4694" s="34">
        <v>4676.84</v>
      </c>
      <c r="D4694" s="200"/>
    </row>
    <row r="4695" spans="2:4" x14ac:dyDescent="0.35">
      <c r="B4695" s="35">
        <v>39923</v>
      </c>
      <c r="C4695" s="34">
        <v>4486.3</v>
      </c>
      <c r="D4695" s="200"/>
    </row>
    <row r="4696" spans="2:4" x14ac:dyDescent="0.35">
      <c r="B4696" s="35">
        <v>39924</v>
      </c>
      <c r="C4696" s="34">
        <v>4501.63</v>
      </c>
      <c r="D4696" s="200"/>
    </row>
    <row r="4697" spans="2:4" x14ac:dyDescent="0.35">
      <c r="B4697" s="35">
        <v>39925</v>
      </c>
      <c r="C4697" s="34">
        <v>4594.42</v>
      </c>
      <c r="D4697" s="200"/>
    </row>
    <row r="4698" spans="2:4" x14ac:dyDescent="0.35">
      <c r="B4698" s="35">
        <v>39926</v>
      </c>
      <c r="C4698" s="34">
        <v>4538.21</v>
      </c>
      <c r="D4698" s="200"/>
    </row>
    <row r="4699" spans="2:4" x14ac:dyDescent="0.35">
      <c r="B4699" s="35">
        <v>39927</v>
      </c>
      <c r="C4699" s="34">
        <v>4674.32</v>
      </c>
      <c r="D4699" s="200"/>
    </row>
    <row r="4700" spans="2:4" x14ac:dyDescent="0.35">
      <c r="B4700" s="35">
        <v>39930</v>
      </c>
      <c r="C4700" s="34">
        <v>4694.07</v>
      </c>
      <c r="D4700" s="200"/>
    </row>
    <row r="4701" spans="2:4" x14ac:dyDescent="0.35">
      <c r="B4701" s="35">
        <v>39931</v>
      </c>
      <c r="C4701" s="34">
        <v>4607.42</v>
      </c>
      <c r="D4701" s="200"/>
    </row>
    <row r="4702" spans="2:4" x14ac:dyDescent="0.35">
      <c r="B4702" s="35">
        <v>39932</v>
      </c>
      <c r="C4702" s="34">
        <v>4704.5600000000004</v>
      </c>
      <c r="D4702" s="200"/>
    </row>
    <row r="4703" spans="2:4" x14ac:dyDescent="0.35">
      <c r="B4703" s="35">
        <v>39933</v>
      </c>
      <c r="C4703" s="34">
        <v>4769.45</v>
      </c>
      <c r="D4703" s="200"/>
    </row>
    <row r="4704" spans="2:4" x14ac:dyDescent="0.35">
      <c r="B4704" s="35">
        <v>39934</v>
      </c>
      <c r="C4704" s="34">
        <v>4769.45</v>
      </c>
      <c r="D4704" s="200"/>
    </row>
    <row r="4705" spans="2:4" x14ac:dyDescent="0.35">
      <c r="B4705" s="35">
        <v>39937</v>
      </c>
      <c r="C4705" s="34">
        <v>4902.45</v>
      </c>
      <c r="D4705" s="200"/>
    </row>
    <row r="4706" spans="2:4" x14ac:dyDescent="0.35">
      <c r="B4706" s="35">
        <v>39938</v>
      </c>
      <c r="C4706" s="34">
        <v>4853.03</v>
      </c>
      <c r="D4706" s="200"/>
    </row>
    <row r="4707" spans="2:4" x14ac:dyDescent="0.35">
      <c r="B4707" s="35">
        <v>39939</v>
      </c>
      <c r="C4707" s="34">
        <v>4880.71</v>
      </c>
      <c r="D4707" s="200"/>
    </row>
    <row r="4708" spans="2:4" x14ac:dyDescent="0.35">
      <c r="B4708" s="35">
        <v>39940</v>
      </c>
      <c r="C4708" s="34">
        <v>4804.1000000000004</v>
      </c>
      <c r="D4708" s="200"/>
    </row>
    <row r="4709" spans="2:4" x14ac:dyDescent="0.35">
      <c r="B4709" s="35">
        <v>39941</v>
      </c>
      <c r="C4709" s="34">
        <v>4913.8999999999996</v>
      </c>
      <c r="D4709" s="200"/>
    </row>
    <row r="4710" spans="2:4" x14ac:dyDescent="0.35">
      <c r="B4710" s="35">
        <v>39944</v>
      </c>
      <c r="C4710" s="34">
        <v>4866.91</v>
      </c>
      <c r="D4710" s="200"/>
    </row>
    <row r="4711" spans="2:4" x14ac:dyDescent="0.35">
      <c r="B4711" s="35">
        <v>39945</v>
      </c>
      <c r="C4711" s="34">
        <v>4854.1099999999997</v>
      </c>
      <c r="D4711" s="200"/>
    </row>
    <row r="4712" spans="2:4" x14ac:dyDescent="0.35">
      <c r="B4712" s="35">
        <v>39946</v>
      </c>
      <c r="C4712" s="34">
        <v>4727.6099999999997</v>
      </c>
      <c r="D4712" s="200"/>
    </row>
    <row r="4713" spans="2:4" x14ac:dyDescent="0.35">
      <c r="B4713" s="35">
        <v>39947</v>
      </c>
      <c r="C4713" s="34">
        <v>4738.47</v>
      </c>
      <c r="D4713" s="200"/>
    </row>
    <row r="4714" spans="2:4" x14ac:dyDescent="0.35">
      <c r="B4714" s="35">
        <v>39948</v>
      </c>
      <c r="C4714" s="34">
        <v>4737.5</v>
      </c>
      <c r="D4714" s="200"/>
    </row>
    <row r="4715" spans="2:4" x14ac:dyDescent="0.35">
      <c r="B4715" s="35">
        <v>39951</v>
      </c>
      <c r="C4715" s="34">
        <v>4851.96</v>
      </c>
      <c r="D4715" s="200"/>
    </row>
    <row r="4716" spans="2:4" x14ac:dyDescent="0.35">
      <c r="B4716" s="35">
        <v>39952</v>
      </c>
      <c r="C4716" s="34">
        <v>4959.62</v>
      </c>
      <c r="D4716" s="200"/>
    </row>
    <row r="4717" spans="2:4" x14ac:dyDescent="0.35">
      <c r="B4717" s="35">
        <v>39953</v>
      </c>
      <c r="C4717" s="34">
        <v>5038.9399999999996</v>
      </c>
      <c r="D4717" s="200"/>
    </row>
    <row r="4718" spans="2:4" x14ac:dyDescent="0.35">
      <c r="B4718" s="35">
        <v>39954</v>
      </c>
      <c r="C4718" s="34">
        <v>4900.67</v>
      </c>
      <c r="D4718" s="200"/>
    </row>
    <row r="4719" spans="2:4" x14ac:dyDescent="0.35">
      <c r="B4719" s="35">
        <v>39955</v>
      </c>
      <c r="C4719" s="34">
        <v>4918.75</v>
      </c>
      <c r="D4719" s="200"/>
    </row>
    <row r="4720" spans="2:4" x14ac:dyDescent="0.35">
      <c r="B4720" s="35">
        <v>39958</v>
      </c>
      <c r="C4720" s="34">
        <v>4918.45</v>
      </c>
      <c r="D4720" s="200"/>
    </row>
    <row r="4721" spans="2:4" x14ac:dyDescent="0.35">
      <c r="B4721" s="35">
        <v>39959</v>
      </c>
      <c r="C4721" s="34">
        <v>4985.6000000000004</v>
      </c>
      <c r="D4721" s="200"/>
    </row>
    <row r="4722" spans="2:4" x14ac:dyDescent="0.35">
      <c r="B4722" s="35">
        <v>39960</v>
      </c>
      <c r="C4722" s="34">
        <v>5000.7700000000004</v>
      </c>
      <c r="D4722" s="200"/>
    </row>
    <row r="4723" spans="2:4" x14ac:dyDescent="0.35">
      <c r="B4723" s="35">
        <v>39961</v>
      </c>
      <c r="C4723" s="34">
        <v>4932.88</v>
      </c>
      <c r="D4723" s="200"/>
    </row>
    <row r="4724" spans="2:4" x14ac:dyDescent="0.35">
      <c r="B4724" s="35">
        <v>39962</v>
      </c>
      <c r="C4724" s="34">
        <v>4940.82</v>
      </c>
      <c r="D4724" s="200"/>
    </row>
    <row r="4725" spans="2:4" x14ac:dyDescent="0.35">
      <c r="B4725" s="35">
        <v>39965</v>
      </c>
      <c r="C4725" s="34">
        <v>5142.5600000000004</v>
      </c>
      <c r="D4725" s="200"/>
    </row>
    <row r="4726" spans="2:4" x14ac:dyDescent="0.35">
      <c r="B4726" s="35">
        <v>39966</v>
      </c>
      <c r="C4726" s="34">
        <v>5144.0600000000004</v>
      </c>
      <c r="D4726" s="200"/>
    </row>
    <row r="4727" spans="2:4" x14ac:dyDescent="0.35">
      <c r="B4727" s="35">
        <v>39967</v>
      </c>
      <c r="C4727" s="34">
        <v>5054.53</v>
      </c>
      <c r="D4727" s="200"/>
    </row>
    <row r="4728" spans="2:4" x14ac:dyDescent="0.35">
      <c r="B4728" s="35">
        <v>39968</v>
      </c>
      <c r="C4728" s="34">
        <v>5064.8</v>
      </c>
      <c r="D4728" s="200"/>
    </row>
    <row r="4729" spans="2:4" x14ac:dyDescent="0.35">
      <c r="B4729" s="35">
        <v>39969</v>
      </c>
      <c r="C4729" s="34">
        <v>5077.03</v>
      </c>
      <c r="D4729" s="200"/>
    </row>
    <row r="4730" spans="2:4" x14ac:dyDescent="0.35">
      <c r="B4730" s="35">
        <v>39972</v>
      </c>
      <c r="C4730" s="34">
        <v>5004.72</v>
      </c>
      <c r="D4730" s="200"/>
    </row>
    <row r="4731" spans="2:4" x14ac:dyDescent="0.35">
      <c r="B4731" s="35">
        <v>39973</v>
      </c>
      <c r="C4731" s="34">
        <v>4997.8599999999997</v>
      </c>
      <c r="D4731" s="200"/>
    </row>
    <row r="4732" spans="2:4" x14ac:dyDescent="0.35">
      <c r="B4732" s="35">
        <v>39974</v>
      </c>
      <c r="C4732" s="34">
        <v>5051.18</v>
      </c>
      <c r="D4732" s="200"/>
    </row>
    <row r="4733" spans="2:4" x14ac:dyDescent="0.35">
      <c r="B4733" s="35">
        <v>39975</v>
      </c>
      <c r="C4733" s="34">
        <v>5107.26</v>
      </c>
      <c r="D4733" s="200"/>
    </row>
    <row r="4734" spans="2:4" x14ac:dyDescent="0.35">
      <c r="B4734" s="35">
        <v>39976</v>
      </c>
      <c r="C4734" s="34">
        <v>5069.24</v>
      </c>
      <c r="D4734" s="200"/>
    </row>
    <row r="4735" spans="2:4" x14ac:dyDescent="0.35">
      <c r="B4735" s="35">
        <v>39979</v>
      </c>
      <c r="C4735" s="34">
        <v>4889.9399999999996</v>
      </c>
      <c r="D4735" s="200"/>
    </row>
    <row r="4736" spans="2:4" x14ac:dyDescent="0.35">
      <c r="B4736" s="35">
        <v>39980</v>
      </c>
      <c r="C4736" s="34">
        <v>4890.72</v>
      </c>
      <c r="D4736" s="200"/>
    </row>
    <row r="4737" spans="2:4" x14ac:dyDescent="0.35">
      <c r="B4737" s="35">
        <v>39981</v>
      </c>
      <c r="C4737" s="34">
        <v>4799.9799999999996</v>
      </c>
      <c r="D4737" s="200"/>
    </row>
    <row r="4738" spans="2:4" x14ac:dyDescent="0.35">
      <c r="B4738" s="35">
        <v>39982</v>
      </c>
      <c r="C4738" s="34">
        <v>4837.4799999999996</v>
      </c>
      <c r="D4738" s="200"/>
    </row>
    <row r="4739" spans="2:4" x14ac:dyDescent="0.35">
      <c r="B4739" s="35">
        <v>39983</v>
      </c>
      <c r="C4739" s="34">
        <v>4839.46</v>
      </c>
      <c r="D4739" s="200"/>
    </row>
    <row r="4740" spans="2:4" x14ac:dyDescent="0.35">
      <c r="B4740" s="35">
        <v>39986</v>
      </c>
      <c r="C4740" s="34">
        <v>4693.3999999999996</v>
      </c>
      <c r="D4740" s="200"/>
    </row>
    <row r="4741" spans="2:4" x14ac:dyDescent="0.35">
      <c r="B4741" s="35">
        <v>39987</v>
      </c>
      <c r="C4741" s="34">
        <v>4707.1499999999996</v>
      </c>
      <c r="D4741" s="200"/>
    </row>
    <row r="4742" spans="2:4" x14ac:dyDescent="0.35">
      <c r="B4742" s="35">
        <v>39988</v>
      </c>
      <c r="C4742" s="34">
        <v>4836.01</v>
      </c>
      <c r="D4742" s="200"/>
    </row>
    <row r="4743" spans="2:4" x14ac:dyDescent="0.35">
      <c r="B4743" s="35">
        <v>39989</v>
      </c>
      <c r="C4743" s="34">
        <v>4800.5600000000004</v>
      </c>
      <c r="D4743" s="200"/>
    </row>
    <row r="4744" spans="2:4" x14ac:dyDescent="0.35">
      <c r="B4744" s="35">
        <v>39990</v>
      </c>
      <c r="C4744" s="34">
        <v>4776.47</v>
      </c>
      <c r="D4744" s="200"/>
    </row>
    <row r="4745" spans="2:4" x14ac:dyDescent="0.35">
      <c r="B4745" s="35">
        <v>39993</v>
      </c>
      <c r="C4745" s="34">
        <v>4885.09</v>
      </c>
      <c r="D4745" s="200"/>
    </row>
    <row r="4746" spans="2:4" x14ac:dyDescent="0.35">
      <c r="B4746" s="35">
        <v>39994</v>
      </c>
      <c r="C4746" s="34">
        <v>4808.6400000000003</v>
      </c>
      <c r="D4746" s="200"/>
    </row>
    <row r="4747" spans="2:4" x14ac:dyDescent="0.35">
      <c r="B4747" s="35">
        <v>39995</v>
      </c>
      <c r="C4747" s="34">
        <v>4905.4399999999996</v>
      </c>
      <c r="D4747" s="200"/>
    </row>
    <row r="4748" spans="2:4" x14ac:dyDescent="0.35">
      <c r="B4748" s="35">
        <v>39996</v>
      </c>
      <c r="C4748" s="34">
        <v>4718.49</v>
      </c>
      <c r="D4748" s="200"/>
    </row>
    <row r="4749" spans="2:4" x14ac:dyDescent="0.35">
      <c r="B4749" s="35">
        <v>39997</v>
      </c>
      <c r="C4749" s="34">
        <v>4708.21</v>
      </c>
      <c r="D4749" s="200"/>
    </row>
    <row r="4750" spans="2:4" x14ac:dyDescent="0.35">
      <c r="B4750" s="35">
        <v>40000</v>
      </c>
      <c r="C4750" s="34">
        <v>4651.82</v>
      </c>
      <c r="D4750" s="200"/>
    </row>
    <row r="4751" spans="2:4" x14ac:dyDescent="0.35">
      <c r="B4751" s="35">
        <v>40001</v>
      </c>
      <c r="C4751" s="34">
        <v>4598.1899999999996</v>
      </c>
      <c r="D4751" s="200"/>
    </row>
    <row r="4752" spans="2:4" x14ac:dyDescent="0.35">
      <c r="B4752" s="35">
        <v>40002</v>
      </c>
      <c r="C4752" s="34">
        <v>4572.6499999999996</v>
      </c>
      <c r="D4752" s="200"/>
    </row>
    <row r="4753" spans="2:4" x14ac:dyDescent="0.35">
      <c r="B4753" s="35">
        <v>40003</v>
      </c>
      <c r="C4753" s="34">
        <v>4630.07</v>
      </c>
      <c r="D4753" s="200"/>
    </row>
    <row r="4754" spans="2:4" x14ac:dyDescent="0.35">
      <c r="B4754" s="35">
        <v>40004</v>
      </c>
      <c r="C4754" s="34">
        <v>4576.3100000000004</v>
      </c>
      <c r="D4754" s="200"/>
    </row>
    <row r="4755" spans="2:4" x14ac:dyDescent="0.35">
      <c r="B4755" s="35">
        <v>40007</v>
      </c>
      <c r="C4755" s="34">
        <v>4722.34</v>
      </c>
      <c r="D4755" s="200"/>
    </row>
    <row r="4756" spans="2:4" x14ac:dyDescent="0.35">
      <c r="B4756" s="35">
        <v>40008</v>
      </c>
      <c r="C4756" s="34">
        <v>4781.6899999999996</v>
      </c>
      <c r="D4756" s="200"/>
    </row>
    <row r="4757" spans="2:4" x14ac:dyDescent="0.35">
      <c r="B4757" s="35">
        <v>40009</v>
      </c>
      <c r="C4757" s="34">
        <v>4928.4399999999996</v>
      </c>
      <c r="D4757" s="200"/>
    </row>
    <row r="4758" spans="2:4" x14ac:dyDescent="0.35">
      <c r="B4758" s="35">
        <v>40010</v>
      </c>
      <c r="C4758" s="34">
        <v>4957.1899999999996</v>
      </c>
      <c r="D4758" s="200"/>
    </row>
    <row r="4759" spans="2:4" x14ac:dyDescent="0.35">
      <c r="B4759" s="35">
        <v>40011</v>
      </c>
      <c r="C4759" s="34">
        <v>4978.3999999999996</v>
      </c>
      <c r="D4759" s="200"/>
    </row>
    <row r="4760" spans="2:4" x14ac:dyDescent="0.35">
      <c r="B4760" s="35">
        <v>40014</v>
      </c>
      <c r="C4760" s="34">
        <v>5030.1499999999996</v>
      </c>
      <c r="D4760" s="200"/>
    </row>
    <row r="4761" spans="2:4" x14ac:dyDescent="0.35">
      <c r="B4761" s="35">
        <v>40015</v>
      </c>
      <c r="C4761" s="34">
        <v>5093.97</v>
      </c>
      <c r="D4761" s="200"/>
    </row>
    <row r="4762" spans="2:4" x14ac:dyDescent="0.35">
      <c r="B4762" s="35">
        <v>40016</v>
      </c>
      <c r="C4762" s="34">
        <v>5121.5600000000004</v>
      </c>
      <c r="D4762" s="200"/>
    </row>
    <row r="4763" spans="2:4" x14ac:dyDescent="0.35">
      <c r="B4763" s="35">
        <v>40017</v>
      </c>
      <c r="C4763" s="34">
        <v>5247.28</v>
      </c>
      <c r="D4763" s="200"/>
    </row>
    <row r="4764" spans="2:4" x14ac:dyDescent="0.35">
      <c r="B4764" s="35">
        <v>40018</v>
      </c>
      <c r="C4764" s="34">
        <v>5229.3599999999997</v>
      </c>
      <c r="D4764" s="200"/>
    </row>
    <row r="4765" spans="2:4" x14ac:dyDescent="0.35">
      <c r="B4765" s="35">
        <v>40021</v>
      </c>
      <c r="C4765" s="34">
        <v>5251.55</v>
      </c>
      <c r="D4765" s="200"/>
    </row>
    <row r="4766" spans="2:4" x14ac:dyDescent="0.35">
      <c r="B4766" s="35">
        <v>40022</v>
      </c>
      <c r="C4766" s="34">
        <v>5174.74</v>
      </c>
      <c r="D4766" s="200"/>
    </row>
    <row r="4767" spans="2:4" x14ac:dyDescent="0.35">
      <c r="B4767" s="35">
        <v>40023</v>
      </c>
      <c r="C4767" s="34">
        <v>5270.32</v>
      </c>
      <c r="D4767" s="200"/>
    </row>
    <row r="4768" spans="2:4" x14ac:dyDescent="0.35">
      <c r="B4768" s="35">
        <v>40024</v>
      </c>
      <c r="C4768" s="34">
        <v>5360.66</v>
      </c>
      <c r="D4768" s="200"/>
    </row>
    <row r="4769" spans="2:4" x14ac:dyDescent="0.35">
      <c r="B4769" s="35">
        <v>40025</v>
      </c>
      <c r="C4769" s="34">
        <v>5332.14</v>
      </c>
      <c r="D4769" s="200"/>
    </row>
    <row r="4770" spans="2:4" x14ac:dyDescent="0.35">
      <c r="B4770" s="35">
        <v>40028</v>
      </c>
      <c r="C4770" s="34">
        <v>5426.85</v>
      </c>
      <c r="D4770" s="200"/>
    </row>
    <row r="4771" spans="2:4" x14ac:dyDescent="0.35">
      <c r="B4771" s="35">
        <v>40029</v>
      </c>
      <c r="C4771" s="34">
        <v>5417.02</v>
      </c>
      <c r="D4771" s="200"/>
    </row>
    <row r="4772" spans="2:4" x14ac:dyDescent="0.35">
      <c r="B4772" s="35">
        <v>40030</v>
      </c>
      <c r="C4772" s="34">
        <v>5353.01</v>
      </c>
      <c r="D4772" s="200"/>
    </row>
    <row r="4773" spans="2:4" x14ac:dyDescent="0.35">
      <c r="B4773" s="35">
        <v>40031</v>
      </c>
      <c r="C4773" s="34">
        <v>5369.98</v>
      </c>
      <c r="D4773" s="200"/>
    </row>
    <row r="4774" spans="2:4" x14ac:dyDescent="0.35">
      <c r="B4774" s="35">
        <v>40032</v>
      </c>
      <c r="C4774" s="34">
        <v>5458.96</v>
      </c>
      <c r="D4774" s="200"/>
    </row>
    <row r="4775" spans="2:4" x14ac:dyDescent="0.35">
      <c r="B4775" s="35">
        <v>40035</v>
      </c>
      <c r="C4775" s="34">
        <v>5418.12</v>
      </c>
      <c r="D4775" s="200"/>
    </row>
    <row r="4776" spans="2:4" x14ac:dyDescent="0.35">
      <c r="B4776" s="35">
        <v>40036</v>
      </c>
      <c r="C4776" s="34">
        <v>5285.81</v>
      </c>
      <c r="D4776" s="200"/>
    </row>
    <row r="4777" spans="2:4" x14ac:dyDescent="0.35">
      <c r="B4777" s="35">
        <v>40037</v>
      </c>
      <c r="C4777" s="34">
        <v>5350.09</v>
      </c>
      <c r="D4777" s="200"/>
    </row>
    <row r="4778" spans="2:4" x14ac:dyDescent="0.35">
      <c r="B4778" s="35">
        <v>40038</v>
      </c>
      <c r="C4778" s="34">
        <v>5401.11</v>
      </c>
      <c r="D4778" s="200"/>
    </row>
    <row r="4779" spans="2:4" x14ac:dyDescent="0.35">
      <c r="B4779" s="35">
        <v>40039</v>
      </c>
      <c r="C4779" s="34">
        <v>5309.11</v>
      </c>
      <c r="D4779" s="200"/>
    </row>
    <row r="4780" spans="2:4" x14ac:dyDescent="0.35">
      <c r="B4780" s="35">
        <v>40042</v>
      </c>
      <c r="C4780" s="34">
        <v>5201.6099999999997</v>
      </c>
      <c r="D4780" s="200"/>
    </row>
    <row r="4781" spans="2:4" x14ac:dyDescent="0.35">
      <c r="B4781" s="35">
        <v>40043</v>
      </c>
      <c r="C4781" s="34">
        <v>5250.74</v>
      </c>
      <c r="D4781" s="200"/>
    </row>
    <row r="4782" spans="2:4" x14ac:dyDescent="0.35">
      <c r="B4782" s="35">
        <v>40044</v>
      </c>
      <c r="C4782" s="34">
        <v>5231.9799999999996</v>
      </c>
      <c r="D4782" s="200"/>
    </row>
    <row r="4783" spans="2:4" x14ac:dyDescent="0.35">
      <c r="B4783" s="35">
        <v>40045</v>
      </c>
      <c r="C4783" s="34">
        <v>5311.06</v>
      </c>
      <c r="D4783" s="200"/>
    </row>
    <row r="4784" spans="2:4" x14ac:dyDescent="0.35">
      <c r="B4784" s="35">
        <v>40046</v>
      </c>
      <c r="C4784" s="34">
        <v>5462.74</v>
      </c>
      <c r="D4784" s="200"/>
    </row>
    <row r="4785" spans="2:4" x14ac:dyDescent="0.35">
      <c r="B4785" s="35">
        <v>40049</v>
      </c>
      <c r="C4785" s="34">
        <v>5519.75</v>
      </c>
      <c r="D4785" s="200"/>
    </row>
    <row r="4786" spans="2:4" x14ac:dyDescent="0.35">
      <c r="B4786" s="35">
        <v>40050</v>
      </c>
      <c r="C4786" s="34">
        <v>5557.09</v>
      </c>
      <c r="D4786" s="200"/>
    </row>
    <row r="4787" spans="2:4" x14ac:dyDescent="0.35">
      <c r="B4787" s="35">
        <v>40051</v>
      </c>
      <c r="C4787" s="34">
        <v>5521.97</v>
      </c>
      <c r="D4787" s="200"/>
    </row>
    <row r="4788" spans="2:4" x14ac:dyDescent="0.35">
      <c r="B4788" s="35">
        <v>40052</v>
      </c>
      <c r="C4788" s="34">
        <v>5470.33</v>
      </c>
      <c r="D4788" s="200"/>
    </row>
    <row r="4789" spans="2:4" x14ac:dyDescent="0.35">
      <c r="B4789" s="35">
        <v>40053</v>
      </c>
      <c r="C4789" s="34">
        <v>5517.35</v>
      </c>
      <c r="D4789" s="200"/>
    </row>
    <row r="4790" spans="2:4" x14ac:dyDescent="0.35">
      <c r="B4790" s="35">
        <v>40056</v>
      </c>
      <c r="C4790" s="34">
        <v>5458.04</v>
      </c>
      <c r="D4790" s="200"/>
    </row>
    <row r="4791" spans="2:4" x14ac:dyDescent="0.35">
      <c r="B4791" s="35">
        <v>40057</v>
      </c>
      <c r="C4791" s="34">
        <v>5327.29</v>
      </c>
      <c r="D4791" s="200"/>
    </row>
    <row r="4792" spans="2:4" x14ac:dyDescent="0.35">
      <c r="B4792" s="35">
        <v>40058</v>
      </c>
      <c r="C4792" s="34">
        <v>5319.84</v>
      </c>
      <c r="D4792" s="200"/>
    </row>
    <row r="4793" spans="2:4" x14ac:dyDescent="0.35">
      <c r="B4793" s="35">
        <v>40059</v>
      </c>
      <c r="C4793" s="34">
        <v>5301.42</v>
      </c>
      <c r="D4793" s="200"/>
    </row>
    <row r="4794" spans="2:4" x14ac:dyDescent="0.35">
      <c r="B4794" s="35">
        <v>40060</v>
      </c>
      <c r="C4794" s="34">
        <v>5384.43</v>
      </c>
      <c r="D4794" s="200"/>
    </row>
    <row r="4795" spans="2:4" x14ac:dyDescent="0.35">
      <c r="B4795" s="35">
        <v>40063</v>
      </c>
      <c r="C4795" s="34">
        <v>5463.51</v>
      </c>
      <c r="D4795" s="200"/>
    </row>
    <row r="4796" spans="2:4" x14ac:dyDescent="0.35">
      <c r="B4796" s="35">
        <v>40064</v>
      </c>
      <c r="C4796" s="34">
        <v>5481.73</v>
      </c>
      <c r="D4796" s="200"/>
    </row>
    <row r="4797" spans="2:4" x14ac:dyDescent="0.35">
      <c r="B4797" s="35">
        <v>40065</v>
      </c>
      <c r="C4797" s="34">
        <v>5574.26</v>
      </c>
      <c r="D4797" s="200"/>
    </row>
    <row r="4798" spans="2:4" x14ac:dyDescent="0.35">
      <c r="B4798" s="35">
        <v>40066</v>
      </c>
      <c r="C4798" s="34">
        <v>5594.77</v>
      </c>
      <c r="D4798" s="200"/>
    </row>
    <row r="4799" spans="2:4" x14ac:dyDescent="0.35">
      <c r="B4799" s="35">
        <v>40067</v>
      </c>
      <c r="C4799" s="34">
        <v>5624.02</v>
      </c>
      <c r="D4799" s="200"/>
    </row>
    <row r="4800" spans="2:4" x14ac:dyDescent="0.35">
      <c r="B4800" s="35">
        <v>40070</v>
      </c>
      <c r="C4800" s="34">
        <v>5620.24</v>
      </c>
      <c r="D4800" s="200"/>
    </row>
    <row r="4801" spans="2:4" x14ac:dyDescent="0.35">
      <c r="B4801" s="35">
        <v>40071</v>
      </c>
      <c r="C4801" s="34">
        <v>5628.98</v>
      </c>
      <c r="D4801" s="200"/>
    </row>
    <row r="4802" spans="2:4" x14ac:dyDescent="0.35">
      <c r="B4802" s="35">
        <v>40072</v>
      </c>
      <c r="C4802" s="34">
        <v>5700.26</v>
      </c>
      <c r="D4802" s="200"/>
    </row>
    <row r="4803" spans="2:4" x14ac:dyDescent="0.35">
      <c r="B4803" s="35">
        <v>40073</v>
      </c>
      <c r="C4803" s="34">
        <v>5731.14</v>
      </c>
      <c r="D4803" s="200"/>
    </row>
    <row r="4804" spans="2:4" x14ac:dyDescent="0.35">
      <c r="B4804" s="35">
        <v>40074</v>
      </c>
      <c r="C4804" s="34">
        <v>5703.83</v>
      </c>
      <c r="D4804" s="200"/>
    </row>
    <row r="4805" spans="2:4" x14ac:dyDescent="0.35">
      <c r="B4805" s="35">
        <v>40077</v>
      </c>
      <c r="C4805" s="34">
        <v>5668.65</v>
      </c>
      <c r="D4805" s="200"/>
    </row>
    <row r="4806" spans="2:4" x14ac:dyDescent="0.35">
      <c r="B4806" s="35">
        <v>40078</v>
      </c>
      <c r="C4806" s="34">
        <v>5709.38</v>
      </c>
      <c r="D4806" s="200"/>
    </row>
    <row r="4807" spans="2:4" x14ac:dyDescent="0.35">
      <c r="B4807" s="35">
        <v>40079</v>
      </c>
      <c r="C4807" s="34">
        <v>5702.05</v>
      </c>
      <c r="D4807" s="200"/>
    </row>
    <row r="4808" spans="2:4" x14ac:dyDescent="0.35">
      <c r="B4808" s="35">
        <v>40080</v>
      </c>
      <c r="C4808" s="34">
        <v>5605.21</v>
      </c>
      <c r="D4808" s="200"/>
    </row>
    <row r="4809" spans="2:4" x14ac:dyDescent="0.35">
      <c r="B4809" s="35">
        <v>40081</v>
      </c>
      <c r="C4809" s="34">
        <v>5581.41</v>
      </c>
      <c r="D4809" s="200"/>
    </row>
    <row r="4810" spans="2:4" x14ac:dyDescent="0.35">
      <c r="B4810" s="35">
        <v>40084</v>
      </c>
      <c r="C4810" s="34">
        <v>5736.31</v>
      </c>
      <c r="D4810" s="200"/>
    </row>
    <row r="4811" spans="2:4" x14ac:dyDescent="0.35">
      <c r="B4811" s="35">
        <v>40085</v>
      </c>
      <c r="C4811" s="34">
        <v>5713.52</v>
      </c>
      <c r="D4811" s="200"/>
    </row>
    <row r="4812" spans="2:4" x14ac:dyDescent="0.35">
      <c r="B4812" s="35">
        <v>40086</v>
      </c>
      <c r="C4812" s="34">
        <v>5675.16</v>
      </c>
      <c r="D4812" s="200"/>
    </row>
    <row r="4813" spans="2:4" x14ac:dyDescent="0.35">
      <c r="B4813" s="35">
        <v>40087</v>
      </c>
      <c r="C4813" s="34">
        <v>5554.55</v>
      </c>
      <c r="D4813" s="200"/>
    </row>
    <row r="4814" spans="2:4" x14ac:dyDescent="0.35">
      <c r="B4814" s="35">
        <v>40088</v>
      </c>
      <c r="C4814" s="34">
        <v>5467.9</v>
      </c>
      <c r="D4814" s="200"/>
    </row>
    <row r="4815" spans="2:4" x14ac:dyDescent="0.35">
      <c r="B4815" s="35">
        <v>40091</v>
      </c>
      <c r="C4815" s="34">
        <v>5508.85</v>
      </c>
      <c r="D4815" s="200"/>
    </row>
    <row r="4816" spans="2:4" x14ac:dyDescent="0.35">
      <c r="B4816" s="35">
        <v>40092</v>
      </c>
      <c r="C4816" s="34">
        <v>5657.64</v>
      </c>
      <c r="D4816" s="200"/>
    </row>
    <row r="4817" spans="2:4" x14ac:dyDescent="0.35">
      <c r="B4817" s="35">
        <v>40093</v>
      </c>
      <c r="C4817" s="34">
        <v>5640.75</v>
      </c>
      <c r="D4817" s="200"/>
    </row>
    <row r="4818" spans="2:4" x14ac:dyDescent="0.35">
      <c r="B4818" s="35">
        <v>40094</v>
      </c>
      <c r="C4818" s="34">
        <v>5716.54</v>
      </c>
      <c r="D4818" s="200"/>
    </row>
    <row r="4819" spans="2:4" x14ac:dyDescent="0.35">
      <c r="B4819" s="35">
        <v>40095</v>
      </c>
      <c r="C4819" s="34">
        <v>5711.88</v>
      </c>
      <c r="D4819" s="200"/>
    </row>
    <row r="4820" spans="2:4" x14ac:dyDescent="0.35">
      <c r="B4820" s="35">
        <v>40098</v>
      </c>
      <c r="C4820" s="34">
        <v>5783.23</v>
      </c>
      <c r="D4820" s="200"/>
    </row>
    <row r="4821" spans="2:4" x14ac:dyDescent="0.35">
      <c r="B4821" s="35">
        <v>40099</v>
      </c>
      <c r="C4821" s="34">
        <v>5714.31</v>
      </c>
      <c r="D4821" s="200"/>
    </row>
    <row r="4822" spans="2:4" x14ac:dyDescent="0.35">
      <c r="B4822" s="35">
        <v>40100</v>
      </c>
      <c r="C4822" s="34">
        <v>5854.14</v>
      </c>
      <c r="D4822" s="200"/>
    </row>
    <row r="4823" spans="2:4" x14ac:dyDescent="0.35">
      <c r="B4823" s="35">
        <v>40101</v>
      </c>
      <c r="C4823" s="34">
        <v>5830.77</v>
      </c>
      <c r="D4823" s="200"/>
    </row>
    <row r="4824" spans="2:4" x14ac:dyDescent="0.35">
      <c r="B4824" s="35">
        <v>40102</v>
      </c>
      <c r="C4824" s="34">
        <v>5743.39</v>
      </c>
      <c r="D4824" s="200"/>
    </row>
    <row r="4825" spans="2:4" x14ac:dyDescent="0.35">
      <c r="B4825" s="35">
        <v>40105</v>
      </c>
      <c r="C4825" s="34">
        <v>5852.56</v>
      </c>
      <c r="D4825" s="200"/>
    </row>
    <row r="4826" spans="2:4" x14ac:dyDescent="0.35">
      <c r="B4826" s="35">
        <v>40106</v>
      </c>
      <c r="C4826" s="34">
        <v>5811.77</v>
      </c>
      <c r="D4826" s="200"/>
    </row>
    <row r="4827" spans="2:4" x14ac:dyDescent="0.35">
      <c r="B4827" s="35">
        <v>40107</v>
      </c>
      <c r="C4827" s="34">
        <v>5833.49</v>
      </c>
      <c r="D4827" s="200"/>
    </row>
    <row r="4828" spans="2:4" x14ac:dyDescent="0.35">
      <c r="B4828" s="35">
        <v>40108</v>
      </c>
      <c r="C4828" s="34">
        <v>5762.93</v>
      </c>
      <c r="D4828" s="200"/>
    </row>
    <row r="4829" spans="2:4" x14ac:dyDescent="0.35">
      <c r="B4829" s="35">
        <v>40109</v>
      </c>
      <c r="C4829" s="34">
        <v>5740.25</v>
      </c>
      <c r="D4829" s="200"/>
    </row>
    <row r="4830" spans="2:4" x14ac:dyDescent="0.35">
      <c r="B4830" s="35">
        <v>40112</v>
      </c>
      <c r="C4830" s="34">
        <v>5642.16</v>
      </c>
      <c r="D4830" s="200"/>
    </row>
    <row r="4831" spans="2:4" x14ac:dyDescent="0.35">
      <c r="B4831" s="35">
        <v>40113</v>
      </c>
      <c r="C4831" s="34">
        <v>5635.02</v>
      </c>
      <c r="D4831" s="200"/>
    </row>
    <row r="4832" spans="2:4" x14ac:dyDescent="0.35">
      <c r="B4832" s="35">
        <v>40114</v>
      </c>
      <c r="C4832" s="34">
        <v>5496.27</v>
      </c>
      <c r="D4832" s="200"/>
    </row>
    <row r="4833" spans="2:4" x14ac:dyDescent="0.35">
      <c r="B4833" s="35">
        <v>40115</v>
      </c>
      <c r="C4833" s="34">
        <v>5587.45</v>
      </c>
      <c r="D4833" s="200"/>
    </row>
    <row r="4834" spans="2:4" x14ac:dyDescent="0.35">
      <c r="B4834" s="35">
        <v>40116</v>
      </c>
      <c r="C4834" s="34">
        <v>5414.96</v>
      </c>
      <c r="D4834" s="200"/>
    </row>
    <row r="4835" spans="2:4" x14ac:dyDescent="0.35">
      <c r="B4835" s="35">
        <v>40119</v>
      </c>
      <c r="C4835" s="34">
        <v>5430.82</v>
      </c>
      <c r="D4835" s="200"/>
    </row>
    <row r="4836" spans="2:4" x14ac:dyDescent="0.35">
      <c r="B4836" s="35">
        <v>40120</v>
      </c>
      <c r="C4836" s="34">
        <v>5353.35</v>
      </c>
      <c r="D4836" s="200"/>
    </row>
    <row r="4837" spans="2:4" x14ac:dyDescent="0.35">
      <c r="B4837" s="35">
        <v>40121</v>
      </c>
      <c r="C4837" s="34">
        <v>5444.23</v>
      </c>
      <c r="D4837" s="200"/>
    </row>
    <row r="4838" spans="2:4" x14ac:dyDescent="0.35">
      <c r="B4838" s="35">
        <v>40122</v>
      </c>
      <c r="C4838" s="34">
        <v>5480.92</v>
      </c>
      <c r="D4838" s="200"/>
    </row>
    <row r="4839" spans="2:4" x14ac:dyDescent="0.35">
      <c r="B4839" s="35">
        <v>40123</v>
      </c>
      <c r="C4839" s="34">
        <v>5488.25</v>
      </c>
      <c r="D4839" s="200"/>
    </row>
    <row r="4840" spans="2:4" x14ac:dyDescent="0.35">
      <c r="B4840" s="35">
        <v>40126</v>
      </c>
      <c r="C4840" s="34">
        <v>5619.72</v>
      </c>
      <c r="D4840" s="200"/>
    </row>
    <row r="4841" spans="2:4" x14ac:dyDescent="0.35">
      <c r="B4841" s="35">
        <v>40127</v>
      </c>
      <c r="C4841" s="34">
        <v>5613.2</v>
      </c>
      <c r="D4841" s="200"/>
    </row>
    <row r="4842" spans="2:4" x14ac:dyDescent="0.35">
      <c r="B4842" s="35">
        <v>40128</v>
      </c>
      <c r="C4842" s="34">
        <v>5668.35</v>
      </c>
      <c r="D4842" s="200"/>
    </row>
    <row r="4843" spans="2:4" x14ac:dyDescent="0.35">
      <c r="B4843" s="35">
        <v>40129</v>
      </c>
      <c r="C4843" s="34">
        <v>5663.96</v>
      </c>
      <c r="D4843" s="200"/>
    </row>
    <row r="4844" spans="2:4" x14ac:dyDescent="0.35">
      <c r="B4844" s="35">
        <v>40130</v>
      </c>
      <c r="C4844" s="34">
        <v>5686.83</v>
      </c>
      <c r="D4844" s="200"/>
    </row>
    <row r="4845" spans="2:4" x14ac:dyDescent="0.35">
      <c r="B4845" s="35">
        <v>40133</v>
      </c>
      <c r="C4845" s="34">
        <v>5804.82</v>
      </c>
      <c r="D4845" s="200"/>
    </row>
    <row r="4846" spans="2:4" x14ac:dyDescent="0.35">
      <c r="B4846" s="35">
        <v>40134</v>
      </c>
      <c r="C4846" s="34">
        <v>5778.43</v>
      </c>
      <c r="D4846" s="200"/>
    </row>
    <row r="4847" spans="2:4" x14ac:dyDescent="0.35">
      <c r="B4847" s="35">
        <v>40135</v>
      </c>
      <c r="C4847" s="34">
        <v>5787.61</v>
      </c>
      <c r="D4847" s="200"/>
    </row>
    <row r="4848" spans="2:4" x14ac:dyDescent="0.35">
      <c r="B4848" s="35">
        <v>40136</v>
      </c>
      <c r="C4848" s="34">
        <v>5702.18</v>
      </c>
      <c r="D4848" s="200"/>
    </row>
    <row r="4849" spans="2:4" x14ac:dyDescent="0.35">
      <c r="B4849" s="35">
        <v>40137</v>
      </c>
      <c r="C4849" s="34">
        <v>5663.15</v>
      </c>
      <c r="D4849" s="200"/>
    </row>
    <row r="4850" spans="2:4" x14ac:dyDescent="0.35">
      <c r="B4850" s="35">
        <v>40140</v>
      </c>
      <c r="C4850" s="34">
        <v>5801.48</v>
      </c>
      <c r="D4850" s="200"/>
    </row>
    <row r="4851" spans="2:4" x14ac:dyDescent="0.35">
      <c r="B4851" s="35">
        <v>40141</v>
      </c>
      <c r="C4851" s="34">
        <v>5769.31</v>
      </c>
      <c r="D4851" s="200"/>
    </row>
    <row r="4852" spans="2:4" x14ac:dyDescent="0.35">
      <c r="B4852" s="35">
        <v>40142</v>
      </c>
      <c r="C4852" s="34">
        <v>5803.02</v>
      </c>
      <c r="D4852" s="200"/>
    </row>
    <row r="4853" spans="2:4" x14ac:dyDescent="0.35">
      <c r="B4853" s="35">
        <v>40143</v>
      </c>
      <c r="C4853" s="34">
        <v>5614.17</v>
      </c>
      <c r="D4853" s="200"/>
    </row>
    <row r="4854" spans="2:4" x14ac:dyDescent="0.35">
      <c r="B4854" s="35">
        <v>40144</v>
      </c>
      <c r="C4854" s="34">
        <v>5685.61</v>
      </c>
      <c r="D4854" s="200"/>
    </row>
    <row r="4855" spans="2:4" x14ac:dyDescent="0.35">
      <c r="B4855" s="35">
        <v>40147</v>
      </c>
      <c r="C4855" s="34">
        <v>5625.95</v>
      </c>
      <c r="D4855" s="200"/>
    </row>
    <row r="4856" spans="2:4" x14ac:dyDescent="0.35">
      <c r="B4856" s="35">
        <v>40148</v>
      </c>
      <c r="C4856" s="34">
        <v>5776.61</v>
      </c>
      <c r="D4856" s="200"/>
    </row>
    <row r="4857" spans="2:4" x14ac:dyDescent="0.35">
      <c r="B4857" s="35">
        <v>40149</v>
      </c>
      <c r="C4857" s="34">
        <v>5781.68</v>
      </c>
      <c r="D4857" s="200"/>
    </row>
    <row r="4858" spans="2:4" x14ac:dyDescent="0.35">
      <c r="B4858" s="35">
        <v>40150</v>
      </c>
      <c r="C4858" s="34">
        <v>5770.35</v>
      </c>
      <c r="D4858" s="200"/>
    </row>
    <row r="4859" spans="2:4" x14ac:dyDescent="0.35">
      <c r="B4859" s="35">
        <v>40151</v>
      </c>
      <c r="C4859" s="34">
        <v>5817.65</v>
      </c>
      <c r="D4859" s="200"/>
    </row>
    <row r="4860" spans="2:4" x14ac:dyDescent="0.35">
      <c r="B4860" s="35">
        <v>40154</v>
      </c>
      <c r="C4860" s="34">
        <v>5784.75</v>
      </c>
      <c r="D4860" s="200"/>
    </row>
    <row r="4861" spans="2:4" x14ac:dyDescent="0.35">
      <c r="B4861" s="35">
        <v>40155</v>
      </c>
      <c r="C4861" s="34">
        <v>5688.58</v>
      </c>
      <c r="D4861" s="200"/>
    </row>
    <row r="4862" spans="2:4" x14ac:dyDescent="0.35">
      <c r="B4862" s="35">
        <v>40156</v>
      </c>
      <c r="C4862" s="34">
        <v>5647.84</v>
      </c>
      <c r="D4862" s="200"/>
    </row>
    <row r="4863" spans="2:4" x14ac:dyDescent="0.35">
      <c r="B4863" s="35">
        <v>40157</v>
      </c>
      <c r="C4863" s="34">
        <v>5709.02</v>
      </c>
      <c r="D4863" s="200"/>
    </row>
    <row r="4864" spans="2:4" x14ac:dyDescent="0.35">
      <c r="B4864" s="35">
        <v>40158</v>
      </c>
      <c r="C4864" s="34">
        <v>5756.29</v>
      </c>
      <c r="D4864" s="200"/>
    </row>
    <row r="4865" spans="2:4" x14ac:dyDescent="0.35">
      <c r="B4865" s="35">
        <v>40161</v>
      </c>
      <c r="C4865" s="34">
        <v>5802.26</v>
      </c>
      <c r="D4865" s="200"/>
    </row>
    <row r="4866" spans="2:4" x14ac:dyDescent="0.35">
      <c r="B4866" s="35">
        <v>40162</v>
      </c>
      <c r="C4866" s="34">
        <v>5811.34</v>
      </c>
      <c r="D4866" s="200"/>
    </row>
    <row r="4867" spans="2:4" x14ac:dyDescent="0.35">
      <c r="B4867" s="35">
        <v>40163</v>
      </c>
      <c r="C4867" s="34">
        <v>5903.43</v>
      </c>
      <c r="D4867" s="200"/>
    </row>
    <row r="4868" spans="2:4" x14ac:dyDescent="0.35">
      <c r="B4868" s="35">
        <v>40164</v>
      </c>
      <c r="C4868" s="34">
        <v>5844.44</v>
      </c>
      <c r="D4868" s="200"/>
    </row>
    <row r="4869" spans="2:4" x14ac:dyDescent="0.35">
      <c r="B4869" s="35">
        <v>40165</v>
      </c>
      <c r="C4869" s="34">
        <v>5831.21</v>
      </c>
      <c r="D4869" s="200"/>
    </row>
    <row r="4870" spans="2:4" x14ac:dyDescent="0.35">
      <c r="B4870" s="35">
        <v>40168</v>
      </c>
      <c r="C4870" s="34">
        <v>5930.53</v>
      </c>
      <c r="D4870" s="200"/>
    </row>
    <row r="4871" spans="2:4" x14ac:dyDescent="0.35">
      <c r="B4871" s="35">
        <v>40169</v>
      </c>
      <c r="C4871" s="34">
        <v>5945.69</v>
      </c>
      <c r="D4871" s="200"/>
    </row>
    <row r="4872" spans="2:4" x14ac:dyDescent="0.35">
      <c r="B4872" s="35">
        <v>40170</v>
      </c>
      <c r="C4872" s="34">
        <v>5957.44</v>
      </c>
      <c r="D4872" s="200"/>
    </row>
    <row r="4873" spans="2:4" x14ac:dyDescent="0.35">
      <c r="B4873" s="35">
        <v>40175</v>
      </c>
      <c r="C4873" s="34">
        <v>6002.92</v>
      </c>
      <c r="D4873" s="200"/>
    </row>
    <row r="4874" spans="2:4" x14ac:dyDescent="0.35">
      <c r="B4874" s="35">
        <v>40176</v>
      </c>
      <c r="C4874" s="34">
        <v>6011.55</v>
      </c>
      <c r="D4874" s="200"/>
    </row>
    <row r="4875" spans="2:4" x14ac:dyDescent="0.35">
      <c r="B4875" s="35">
        <v>40177</v>
      </c>
      <c r="C4875" s="34">
        <v>5957.43</v>
      </c>
      <c r="D4875" s="200"/>
    </row>
    <row r="4876" spans="2:4" x14ac:dyDescent="0.35">
      <c r="B4876" s="35">
        <v>40182</v>
      </c>
      <c r="C4876" s="34">
        <v>6048.3</v>
      </c>
      <c r="D4876" s="200"/>
    </row>
    <row r="4877" spans="2:4" x14ac:dyDescent="0.35">
      <c r="B4877" s="35">
        <v>40183</v>
      </c>
      <c r="C4877" s="34">
        <v>6031.86</v>
      </c>
      <c r="D4877" s="200"/>
    </row>
    <row r="4878" spans="2:4" x14ac:dyDescent="0.35">
      <c r="B4878" s="35">
        <v>40184</v>
      </c>
      <c r="C4878" s="34">
        <v>6034.33</v>
      </c>
      <c r="D4878" s="200"/>
    </row>
    <row r="4879" spans="2:4" x14ac:dyDescent="0.35">
      <c r="B4879" s="35">
        <v>40185</v>
      </c>
      <c r="C4879" s="34">
        <v>6019.36</v>
      </c>
      <c r="D4879" s="200"/>
    </row>
    <row r="4880" spans="2:4" x14ac:dyDescent="0.35">
      <c r="B4880" s="35">
        <v>40186</v>
      </c>
      <c r="C4880" s="34">
        <v>6037.61</v>
      </c>
      <c r="D4880" s="200"/>
    </row>
    <row r="4881" spans="2:4" x14ac:dyDescent="0.35">
      <c r="B4881" s="35">
        <v>40189</v>
      </c>
      <c r="C4881" s="34">
        <v>6040.5</v>
      </c>
      <c r="D4881" s="200"/>
    </row>
    <row r="4882" spans="2:4" x14ac:dyDescent="0.35">
      <c r="B4882" s="35">
        <v>40190</v>
      </c>
      <c r="C4882" s="34">
        <v>5943</v>
      </c>
      <c r="D4882" s="200"/>
    </row>
    <row r="4883" spans="2:4" x14ac:dyDescent="0.35">
      <c r="B4883" s="35">
        <v>40191</v>
      </c>
      <c r="C4883" s="34">
        <v>5963.14</v>
      </c>
      <c r="D4883" s="200"/>
    </row>
    <row r="4884" spans="2:4" x14ac:dyDescent="0.35">
      <c r="B4884" s="35">
        <v>40192</v>
      </c>
      <c r="C4884" s="34">
        <v>5988.88</v>
      </c>
      <c r="D4884" s="200"/>
    </row>
    <row r="4885" spans="2:4" x14ac:dyDescent="0.35">
      <c r="B4885" s="35">
        <v>40193</v>
      </c>
      <c r="C4885" s="34">
        <v>5875.97</v>
      </c>
      <c r="D4885" s="200"/>
    </row>
    <row r="4886" spans="2:4" x14ac:dyDescent="0.35">
      <c r="B4886" s="35">
        <v>40196</v>
      </c>
      <c r="C4886" s="34">
        <v>5918.55</v>
      </c>
      <c r="D4886" s="200"/>
    </row>
    <row r="4887" spans="2:4" x14ac:dyDescent="0.35">
      <c r="B4887" s="35">
        <v>40197</v>
      </c>
      <c r="C4887" s="34">
        <v>5976.48</v>
      </c>
      <c r="D4887" s="200"/>
    </row>
    <row r="4888" spans="2:4" x14ac:dyDescent="0.35">
      <c r="B4888" s="35">
        <v>40198</v>
      </c>
      <c r="C4888" s="34">
        <v>5851.53</v>
      </c>
      <c r="D4888" s="200"/>
    </row>
    <row r="4889" spans="2:4" x14ac:dyDescent="0.35">
      <c r="B4889" s="35">
        <v>40199</v>
      </c>
      <c r="C4889" s="34">
        <v>5746.97</v>
      </c>
      <c r="D4889" s="200"/>
    </row>
    <row r="4890" spans="2:4" x14ac:dyDescent="0.35">
      <c r="B4890" s="35">
        <v>40200</v>
      </c>
      <c r="C4890" s="34">
        <v>5695.32</v>
      </c>
      <c r="D4890" s="200"/>
    </row>
    <row r="4891" spans="2:4" x14ac:dyDescent="0.35">
      <c r="B4891" s="35">
        <v>40203</v>
      </c>
      <c r="C4891" s="34">
        <v>5631.37</v>
      </c>
      <c r="D4891" s="200"/>
    </row>
    <row r="4892" spans="2:4" x14ac:dyDescent="0.35">
      <c r="B4892" s="35">
        <v>40204</v>
      </c>
      <c r="C4892" s="34">
        <v>5668.93</v>
      </c>
      <c r="D4892" s="200"/>
    </row>
    <row r="4893" spans="2:4" x14ac:dyDescent="0.35">
      <c r="B4893" s="35">
        <v>40205</v>
      </c>
      <c r="C4893" s="34">
        <v>5643.2</v>
      </c>
      <c r="D4893" s="200"/>
    </row>
    <row r="4894" spans="2:4" x14ac:dyDescent="0.35">
      <c r="B4894" s="35">
        <v>40206</v>
      </c>
      <c r="C4894" s="34">
        <v>5540.33</v>
      </c>
      <c r="D4894" s="200"/>
    </row>
    <row r="4895" spans="2:4" x14ac:dyDescent="0.35">
      <c r="B4895" s="35">
        <v>40207</v>
      </c>
      <c r="C4895" s="34">
        <v>5608.79</v>
      </c>
      <c r="D4895" s="200"/>
    </row>
    <row r="4896" spans="2:4" x14ac:dyDescent="0.35">
      <c r="B4896" s="35">
        <v>40210</v>
      </c>
      <c r="C4896" s="34">
        <v>5654.48</v>
      </c>
      <c r="D4896" s="200"/>
    </row>
    <row r="4897" spans="2:4" x14ac:dyDescent="0.35">
      <c r="B4897" s="35">
        <v>40211</v>
      </c>
      <c r="C4897" s="34">
        <v>5709.66</v>
      </c>
      <c r="D4897" s="200"/>
    </row>
    <row r="4898" spans="2:4" x14ac:dyDescent="0.35">
      <c r="B4898" s="35">
        <v>40212</v>
      </c>
      <c r="C4898" s="34">
        <v>5672.09</v>
      </c>
      <c r="D4898" s="200"/>
    </row>
    <row r="4899" spans="2:4" x14ac:dyDescent="0.35">
      <c r="B4899" s="35">
        <v>40213</v>
      </c>
      <c r="C4899" s="34">
        <v>5533.24</v>
      </c>
      <c r="D4899" s="200"/>
    </row>
    <row r="4900" spans="2:4" x14ac:dyDescent="0.35">
      <c r="B4900" s="35">
        <v>40214</v>
      </c>
      <c r="C4900" s="34">
        <v>5434.34</v>
      </c>
      <c r="D4900" s="200"/>
    </row>
    <row r="4901" spans="2:4" x14ac:dyDescent="0.35">
      <c r="B4901" s="35">
        <v>40217</v>
      </c>
      <c r="C4901" s="34">
        <v>5484.85</v>
      </c>
      <c r="D4901" s="200"/>
    </row>
    <row r="4902" spans="2:4" x14ac:dyDescent="0.35">
      <c r="B4902" s="35">
        <v>40218</v>
      </c>
      <c r="C4902" s="34">
        <v>5498.26</v>
      </c>
      <c r="D4902" s="200"/>
    </row>
    <row r="4903" spans="2:4" x14ac:dyDescent="0.35">
      <c r="B4903" s="35">
        <v>40219</v>
      </c>
      <c r="C4903" s="34">
        <v>5536.37</v>
      </c>
      <c r="D4903" s="200"/>
    </row>
    <row r="4904" spans="2:4" x14ac:dyDescent="0.35">
      <c r="B4904" s="35">
        <v>40220</v>
      </c>
      <c r="C4904" s="34">
        <v>5503.93</v>
      </c>
      <c r="D4904" s="200"/>
    </row>
    <row r="4905" spans="2:4" x14ac:dyDescent="0.35">
      <c r="B4905" s="35">
        <v>40221</v>
      </c>
      <c r="C4905" s="34">
        <v>5500.39</v>
      </c>
      <c r="D4905" s="200"/>
    </row>
    <row r="4906" spans="2:4" x14ac:dyDescent="0.35">
      <c r="B4906" s="35">
        <v>40224</v>
      </c>
      <c r="C4906" s="34">
        <v>5511.1</v>
      </c>
      <c r="D4906" s="200"/>
    </row>
    <row r="4907" spans="2:4" x14ac:dyDescent="0.35">
      <c r="B4907" s="35">
        <v>40225</v>
      </c>
      <c r="C4907" s="34">
        <v>5592.12</v>
      </c>
      <c r="D4907" s="200"/>
    </row>
    <row r="4908" spans="2:4" x14ac:dyDescent="0.35">
      <c r="B4908" s="35">
        <v>40226</v>
      </c>
      <c r="C4908" s="34">
        <v>5648.34</v>
      </c>
      <c r="D4908" s="200"/>
    </row>
    <row r="4909" spans="2:4" x14ac:dyDescent="0.35">
      <c r="B4909" s="35">
        <v>40227</v>
      </c>
      <c r="C4909" s="34">
        <v>5680.41</v>
      </c>
      <c r="D4909" s="200"/>
    </row>
    <row r="4910" spans="2:4" x14ac:dyDescent="0.35">
      <c r="B4910" s="35">
        <v>40228</v>
      </c>
      <c r="C4910" s="34">
        <v>5722.05</v>
      </c>
      <c r="D4910" s="200"/>
    </row>
    <row r="4911" spans="2:4" x14ac:dyDescent="0.35">
      <c r="B4911" s="35">
        <v>40231</v>
      </c>
      <c r="C4911" s="34">
        <v>5688.44</v>
      </c>
      <c r="D4911" s="200"/>
    </row>
    <row r="4912" spans="2:4" x14ac:dyDescent="0.35">
      <c r="B4912" s="35">
        <v>40232</v>
      </c>
      <c r="C4912" s="34">
        <v>5604.07</v>
      </c>
      <c r="D4912" s="200"/>
    </row>
    <row r="4913" spans="2:4" x14ac:dyDescent="0.35">
      <c r="B4913" s="35">
        <v>40233</v>
      </c>
      <c r="C4913" s="34">
        <v>5615.51</v>
      </c>
      <c r="D4913" s="200"/>
    </row>
    <row r="4914" spans="2:4" x14ac:dyDescent="0.35">
      <c r="B4914" s="35">
        <v>40234</v>
      </c>
      <c r="C4914" s="34">
        <v>5532.33</v>
      </c>
      <c r="D4914" s="200"/>
    </row>
    <row r="4915" spans="2:4" x14ac:dyDescent="0.35">
      <c r="B4915" s="35">
        <v>40235</v>
      </c>
      <c r="C4915" s="34">
        <v>5598.46</v>
      </c>
      <c r="D4915" s="200"/>
    </row>
    <row r="4916" spans="2:4" x14ac:dyDescent="0.35">
      <c r="B4916" s="35">
        <v>40238</v>
      </c>
      <c r="C4916" s="34">
        <v>5713.51</v>
      </c>
      <c r="D4916" s="200"/>
    </row>
    <row r="4917" spans="2:4" x14ac:dyDescent="0.35">
      <c r="B4917" s="35">
        <v>40239</v>
      </c>
      <c r="C4917" s="34">
        <v>5776.56</v>
      </c>
      <c r="D4917" s="200"/>
    </row>
    <row r="4918" spans="2:4" x14ac:dyDescent="0.35">
      <c r="B4918" s="35">
        <v>40240</v>
      </c>
      <c r="C4918" s="34">
        <v>5817.88</v>
      </c>
      <c r="D4918" s="200"/>
    </row>
    <row r="4919" spans="2:4" x14ac:dyDescent="0.35">
      <c r="B4919" s="35">
        <v>40241</v>
      </c>
      <c r="C4919" s="34">
        <v>5795.32</v>
      </c>
      <c r="D4919" s="200"/>
    </row>
    <row r="4920" spans="2:4" x14ac:dyDescent="0.35">
      <c r="B4920" s="35">
        <v>40242</v>
      </c>
      <c r="C4920" s="34">
        <v>5877.36</v>
      </c>
      <c r="D4920" s="200"/>
    </row>
    <row r="4921" spans="2:4" x14ac:dyDescent="0.35">
      <c r="B4921" s="35">
        <v>40245</v>
      </c>
      <c r="C4921" s="34">
        <v>5875.91</v>
      </c>
      <c r="D4921" s="200"/>
    </row>
    <row r="4922" spans="2:4" x14ac:dyDescent="0.35">
      <c r="B4922" s="35">
        <v>40246</v>
      </c>
      <c r="C4922" s="34">
        <v>5885.89</v>
      </c>
      <c r="D4922" s="200"/>
    </row>
    <row r="4923" spans="2:4" x14ac:dyDescent="0.35">
      <c r="B4923" s="35">
        <v>40247</v>
      </c>
      <c r="C4923" s="34">
        <v>5936.72</v>
      </c>
      <c r="D4923" s="200"/>
    </row>
    <row r="4924" spans="2:4" x14ac:dyDescent="0.35">
      <c r="B4924" s="35">
        <v>40248</v>
      </c>
      <c r="C4924" s="34">
        <v>5928.63</v>
      </c>
      <c r="D4924" s="200"/>
    </row>
    <row r="4925" spans="2:4" x14ac:dyDescent="0.35">
      <c r="B4925" s="35">
        <v>40249</v>
      </c>
      <c r="C4925" s="34">
        <v>5945.11</v>
      </c>
      <c r="D4925" s="200"/>
    </row>
    <row r="4926" spans="2:4" x14ac:dyDescent="0.35">
      <c r="B4926" s="35">
        <v>40252</v>
      </c>
      <c r="C4926" s="34">
        <v>5903.56</v>
      </c>
      <c r="D4926" s="200"/>
    </row>
    <row r="4927" spans="2:4" x14ac:dyDescent="0.35">
      <c r="B4927" s="35">
        <v>40253</v>
      </c>
      <c r="C4927" s="34">
        <v>5970.99</v>
      </c>
      <c r="D4927" s="200"/>
    </row>
    <row r="4928" spans="2:4" x14ac:dyDescent="0.35">
      <c r="B4928" s="35">
        <v>40254</v>
      </c>
      <c r="C4928" s="34">
        <v>6024.28</v>
      </c>
      <c r="D4928" s="200"/>
    </row>
    <row r="4929" spans="2:4" x14ac:dyDescent="0.35">
      <c r="B4929" s="35">
        <v>40255</v>
      </c>
      <c r="C4929" s="34">
        <v>6012.31</v>
      </c>
      <c r="D4929" s="200"/>
    </row>
    <row r="4930" spans="2:4" x14ac:dyDescent="0.35">
      <c r="B4930" s="35">
        <v>40256</v>
      </c>
      <c r="C4930" s="34">
        <v>5982.43</v>
      </c>
      <c r="D4930" s="200"/>
    </row>
    <row r="4931" spans="2:4" x14ac:dyDescent="0.35">
      <c r="B4931" s="35">
        <v>40259</v>
      </c>
      <c r="C4931" s="34">
        <v>5987.5</v>
      </c>
      <c r="D4931" s="200"/>
    </row>
    <row r="4932" spans="2:4" x14ac:dyDescent="0.35">
      <c r="B4932" s="35">
        <v>40260</v>
      </c>
      <c r="C4932" s="34">
        <v>6017.27</v>
      </c>
      <c r="D4932" s="200"/>
    </row>
    <row r="4933" spans="2:4" x14ac:dyDescent="0.35">
      <c r="B4933" s="35">
        <v>40261</v>
      </c>
      <c r="C4933" s="34">
        <v>6039</v>
      </c>
      <c r="D4933" s="200"/>
    </row>
    <row r="4934" spans="2:4" x14ac:dyDescent="0.35">
      <c r="B4934" s="35">
        <v>40262</v>
      </c>
      <c r="C4934" s="34">
        <v>6132.95</v>
      </c>
      <c r="D4934" s="200"/>
    </row>
    <row r="4935" spans="2:4" x14ac:dyDescent="0.35">
      <c r="B4935" s="35">
        <v>40263</v>
      </c>
      <c r="C4935" s="34">
        <v>6120.05</v>
      </c>
      <c r="D4935" s="200"/>
    </row>
    <row r="4936" spans="2:4" x14ac:dyDescent="0.35">
      <c r="B4936" s="35">
        <v>40266</v>
      </c>
      <c r="C4936" s="34">
        <v>6156.85</v>
      </c>
      <c r="D4936" s="200"/>
    </row>
    <row r="4937" spans="2:4" x14ac:dyDescent="0.35">
      <c r="B4937" s="35">
        <v>40267</v>
      </c>
      <c r="C4937" s="34">
        <v>6142.45</v>
      </c>
      <c r="D4937" s="200"/>
    </row>
    <row r="4938" spans="2:4" x14ac:dyDescent="0.35">
      <c r="B4938" s="35">
        <v>40268</v>
      </c>
      <c r="C4938" s="34">
        <v>6153.55</v>
      </c>
      <c r="D4938" s="200"/>
    </row>
    <row r="4939" spans="2:4" x14ac:dyDescent="0.35">
      <c r="B4939" s="35">
        <v>40269</v>
      </c>
      <c r="C4939" s="34">
        <v>6235.56</v>
      </c>
      <c r="D4939" s="200"/>
    </row>
    <row r="4940" spans="2:4" x14ac:dyDescent="0.35">
      <c r="B4940" s="35">
        <v>40273</v>
      </c>
      <c r="C4940" s="34">
        <v>6235.56</v>
      </c>
      <c r="D4940" s="200"/>
    </row>
    <row r="4941" spans="2:4" x14ac:dyDescent="0.35">
      <c r="B4941" s="35">
        <v>40274</v>
      </c>
      <c r="C4941" s="34">
        <v>6252.21</v>
      </c>
      <c r="D4941" s="200"/>
    </row>
    <row r="4942" spans="2:4" x14ac:dyDescent="0.35">
      <c r="B4942" s="35">
        <v>40275</v>
      </c>
      <c r="C4942" s="34">
        <v>6222.41</v>
      </c>
      <c r="D4942" s="200"/>
    </row>
    <row r="4943" spans="2:4" x14ac:dyDescent="0.35">
      <c r="B4943" s="35">
        <v>40276</v>
      </c>
      <c r="C4943" s="34">
        <v>6171.83</v>
      </c>
      <c r="D4943" s="200"/>
    </row>
    <row r="4944" spans="2:4" x14ac:dyDescent="0.35">
      <c r="B4944" s="35">
        <v>40277</v>
      </c>
      <c r="C4944" s="34">
        <v>6249.7</v>
      </c>
      <c r="D4944" s="200"/>
    </row>
    <row r="4945" spans="2:4" x14ac:dyDescent="0.35">
      <c r="B4945" s="35">
        <v>40280</v>
      </c>
      <c r="C4945" s="34">
        <v>6250.69</v>
      </c>
      <c r="D4945" s="200"/>
    </row>
    <row r="4946" spans="2:4" x14ac:dyDescent="0.35">
      <c r="B4946" s="35">
        <v>40281</v>
      </c>
      <c r="C4946" s="34">
        <v>6230.83</v>
      </c>
      <c r="D4946" s="200"/>
    </row>
    <row r="4947" spans="2:4" x14ac:dyDescent="0.35">
      <c r="B4947" s="35">
        <v>40282</v>
      </c>
      <c r="C4947" s="34">
        <v>6278.4</v>
      </c>
      <c r="D4947" s="200"/>
    </row>
    <row r="4948" spans="2:4" x14ac:dyDescent="0.35">
      <c r="B4948" s="35">
        <v>40283</v>
      </c>
      <c r="C4948" s="34">
        <v>6291.45</v>
      </c>
      <c r="D4948" s="200"/>
    </row>
    <row r="4949" spans="2:4" x14ac:dyDescent="0.35">
      <c r="B4949" s="35">
        <v>40284</v>
      </c>
      <c r="C4949" s="34">
        <v>6180.9</v>
      </c>
      <c r="D4949" s="200"/>
    </row>
    <row r="4950" spans="2:4" x14ac:dyDescent="0.35">
      <c r="B4950" s="35">
        <v>40287</v>
      </c>
      <c r="C4950" s="34">
        <v>6162.44</v>
      </c>
      <c r="D4950" s="200"/>
    </row>
    <row r="4951" spans="2:4" x14ac:dyDescent="0.35">
      <c r="B4951" s="35">
        <v>40288</v>
      </c>
      <c r="C4951" s="34">
        <v>6264.23</v>
      </c>
      <c r="D4951" s="200"/>
    </row>
    <row r="4952" spans="2:4" x14ac:dyDescent="0.35">
      <c r="B4952" s="35">
        <v>40289</v>
      </c>
      <c r="C4952" s="34">
        <v>6230.38</v>
      </c>
      <c r="D4952" s="200"/>
    </row>
    <row r="4953" spans="2:4" x14ac:dyDescent="0.35">
      <c r="B4953" s="35">
        <v>40290</v>
      </c>
      <c r="C4953" s="34">
        <v>6168.72</v>
      </c>
      <c r="D4953" s="200"/>
    </row>
    <row r="4954" spans="2:4" x14ac:dyDescent="0.35">
      <c r="B4954" s="35">
        <v>40291</v>
      </c>
      <c r="C4954" s="34">
        <v>6259.53</v>
      </c>
      <c r="D4954" s="200"/>
    </row>
    <row r="4955" spans="2:4" x14ac:dyDescent="0.35">
      <c r="B4955" s="35">
        <v>40294</v>
      </c>
      <c r="C4955" s="34">
        <v>6332.1</v>
      </c>
      <c r="D4955" s="200"/>
    </row>
  </sheetData>
  <dataConsolidate/>
  <mergeCells count="11">
    <mergeCell ref="C21:D21"/>
    <mergeCell ref="C27:E27"/>
    <mergeCell ref="B6:J6"/>
    <mergeCell ref="B9:J9"/>
    <mergeCell ref="B10:J10"/>
    <mergeCell ref="B14:J14"/>
    <mergeCell ref="B16:J16"/>
    <mergeCell ref="B18:J18"/>
    <mergeCell ref="C22:D22"/>
    <mergeCell ref="C23:D23"/>
    <mergeCell ref="C24:D24"/>
  </mergeCells>
  <pageMargins left="0.7" right="0.7" top="0.78740157499999996" bottom="0.78740157499999996"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3</vt:i4>
      </vt:variant>
    </vt:vector>
  </HeadingPairs>
  <TitlesOfParts>
    <vt:vector size="10" baseType="lpstr">
      <vt:lpstr>Überblick</vt:lpstr>
      <vt:lpstr>Summewenn &amp; Zählenwenn</vt:lpstr>
      <vt:lpstr>Div. Funktionen</vt:lpstr>
      <vt:lpstr>Aufgabe1</vt:lpstr>
      <vt:lpstr>Aufgabe2</vt:lpstr>
      <vt:lpstr>Aufgabe3</vt:lpstr>
      <vt:lpstr>Aufgabe 4</vt:lpstr>
      <vt:lpstr>knie</vt:lpstr>
      <vt:lpstr>schmerz</vt:lpstr>
      <vt:lpstr>tag</vt:lpstr>
    </vt:vector>
  </TitlesOfParts>
  <Company>Universitaet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Philipp Hofer</cp:lastModifiedBy>
  <dcterms:created xsi:type="dcterms:W3CDTF">2007-04-17T13:05:51Z</dcterms:created>
  <dcterms:modified xsi:type="dcterms:W3CDTF">2026-05-14T13:19:40Z</dcterms:modified>
</cp:coreProperties>
</file>