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uniaugsburg-my.sharepoint.com/personal/lennart_droege_uni-a_de/Documents/Lehre/SFE/SS25/Vorlesung/Sitzung_2/"/>
    </mc:Choice>
  </mc:AlternateContent>
  <xr:revisionPtr revIDLastSave="2" documentId="13_ncr:1_{7527411D-DD46-471B-8C89-58E219A6C79B}" xr6:coauthVersionLast="47" xr6:coauthVersionMax="47" xr10:uidLastSave="{F44EE0C7-C1F6-43FE-B77A-F0D0F189B772}"/>
  <bookViews>
    <workbookView xWindow="-120" yWindow="-120" windowWidth="29040" windowHeight="17520" xr2:uid="{00000000-000D-0000-FFFF-FFFF00000000}"/>
  </bookViews>
  <sheets>
    <sheet name="Überblick" sheetId="4" r:id="rId1"/>
    <sheet name="Einführungsaufgaben" sheetId="1" r:id="rId2"/>
    <sheet name="Datums- und Zeitfunktionen" sheetId="5" r:id="rId3"/>
  </sheets>
  <externalReferences>
    <externalReference r:id="rId4"/>
    <externalReference r:id="rId5"/>
  </externalReferences>
  <definedNames>
    <definedName name="A">'[1]mit Solver'!$F$2</definedName>
    <definedName name="b">'[1]mit Solver'!$F$3</definedName>
    <definedName name="knie">'[2]Summewenn &amp; Zählenwenn'!$D$47:$D$53</definedName>
    <definedName name="schmerz?">'[2]Summewenn &amp; Zählenwenn'!$E$47:$E$53</definedName>
    <definedName name="tag">'[2]Summewenn &amp; Zählenwenn'!$B$47:$B$53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33" i="1" l="1"/>
  <c r="D133" i="1"/>
  <c r="A134" i="1"/>
  <c r="D134" i="1"/>
  <c r="A135" i="1"/>
  <c r="D135" i="1"/>
  <c r="A136" i="1"/>
  <c r="D136" i="1"/>
  <c r="A137" i="1"/>
  <c r="D137" i="1"/>
  <c r="A138" i="1"/>
  <c r="D138" i="1"/>
  <c r="A139" i="1"/>
  <c r="D139" i="1"/>
  <c r="A140" i="1"/>
  <c r="D140" i="1"/>
  <c r="D144" i="1"/>
  <c r="D161" i="1"/>
  <c r="D165" i="1"/>
  <c r="D175" i="1"/>
  <c r="D179" i="1"/>
  <c r="G179" i="1"/>
  <c r="F180" i="5"/>
  <c r="F182" i="5" s="1"/>
  <c r="F179" i="5"/>
  <c r="F178" i="5"/>
  <c r="F177" i="5"/>
  <c r="F176" i="5"/>
  <c r="E166" i="5"/>
  <c r="D166" i="5"/>
  <c r="E165" i="5"/>
  <c r="D165" i="5"/>
  <c r="E164" i="5"/>
  <c r="D164" i="5"/>
  <c r="E163" i="5"/>
  <c r="D163" i="5"/>
  <c r="E162" i="5"/>
  <c r="E169" i="5" s="1"/>
  <c r="D162" i="5"/>
  <c r="F152" i="5"/>
  <c r="F151" i="5"/>
  <c r="F147" i="5"/>
  <c r="F146" i="5"/>
  <c r="F145" i="5"/>
  <c r="D138" i="5"/>
  <c r="C138" i="5"/>
  <c r="D137" i="5"/>
  <c r="C137" i="5"/>
  <c r="I131" i="5"/>
  <c r="H131" i="5"/>
  <c r="G131" i="5"/>
  <c r="E131" i="5"/>
  <c r="D131" i="5"/>
  <c r="I130" i="5"/>
  <c r="H130" i="5"/>
  <c r="G130" i="5"/>
  <c r="E130" i="5"/>
  <c r="D130" i="5"/>
  <c r="I129" i="5"/>
  <c r="H129" i="5"/>
  <c r="G129" i="5"/>
  <c r="E129" i="5"/>
  <c r="D129" i="5"/>
  <c r="I128" i="5"/>
  <c r="H128" i="5"/>
  <c r="G128" i="5"/>
  <c r="E128" i="5"/>
  <c r="D128" i="5"/>
  <c r="I127" i="5"/>
  <c r="H127" i="5"/>
  <c r="G127" i="5"/>
  <c r="E127" i="5"/>
  <c r="D127" i="5"/>
  <c r="I126" i="5"/>
  <c r="H126" i="5"/>
  <c r="G126" i="5"/>
  <c r="E126" i="5"/>
  <c r="D126" i="5"/>
  <c r="I125" i="5"/>
  <c r="H125" i="5"/>
  <c r="G125" i="5"/>
  <c r="E125" i="5"/>
  <c r="D125" i="5"/>
  <c r="I124" i="5"/>
  <c r="H124" i="5"/>
  <c r="G124" i="5"/>
  <c r="E124" i="5"/>
  <c r="D124" i="5"/>
  <c r="E116" i="5"/>
  <c r="D116" i="5"/>
  <c r="C116" i="5"/>
  <c r="E115" i="5"/>
  <c r="D115" i="5"/>
  <c r="C115" i="5"/>
  <c r="E114" i="5"/>
  <c r="D114" i="5"/>
  <c r="C114" i="5"/>
  <c r="E113" i="5"/>
  <c r="D113" i="5"/>
  <c r="C113" i="5"/>
  <c r="E112" i="5"/>
  <c r="D112" i="5"/>
  <c r="C112" i="5"/>
  <c r="E111" i="5"/>
  <c r="D111" i="5"/>
  <c r="C111" i="5"/>
  <c r="E110" i="5"/>
  <c r="D110" i="5"/>
  <c r="C110" i="5"/>
  <c r="E107" i="5"/>
  <c r="D107" i="5"/>
  <c r="C107" i="5"/>
  <c r="E106" i="5"/>
  <c r="D106" i="5"/>
  <c r="C106" i="5"/>
  <c r="E105" i="5"/>
  <c r="D105" i="5"/>
  <c r="C105" i="5"/>
  <c r="E104" i="5"/>
  <c r="D104" i="5"/>
  <c r="C104" i="5"/>
  <c r="E103" i="5"/>
  <c r="D103" i="5"/>
  <c r="C103" i="5"/>
  <c r="E102" i="5"/>
  <c r="D102" i="5"/>
  <c r="C102" i="5"/>
  <c r="E101" i="5"/>
  <c r="D101" i="5"/>
  <c r="C101" i="5"/>
  <c r="K93" i="5"/>
  <c r="J93" i="5"/>
  <c r="I93" i="5"/>
  <c r="K92" i="5"/>
  <c r="J92" i="5"/>
  <c r="I92" i="5"/>
  <c r="K91" i="5"/>
  <c r="J91" i="5"/>
  <c r="I91" i="5"/>
  <c r="K90" i="5"/>
  <c r="J90" i="5"/>
  <c r="I90" i="5"/>
  <c r="K89" i="5"/>
  <c r="J89" i="5"/>
  <c r="I89" i="5"/>
  <c r="K88" i="5"/>
  <c r="J88" i="5"/>
  <c r="I88" i="5"/>
  <c r="K87" i="5"/>
  <c r="J87" i="5"/>
  <c r="I87" i="5"/>
  <c r="K86" i="5"/>
  <c r="J86" i="5"/>
  <c r="I86" i="5"/>
  <c r="D74" i="5"/>
  <c r="E66" i="5"/>
  <c r="D66" i="5"/>
  <c r="C66" i="5"/>
  <c r="E63" i="5"/>
  <c r="D63" i="5"/>
  <c r="C63" i="5"/>
  <c r="E56" i="5"/>
  <c r="E55" i="5"/>
  <c r="E52" i="5"/>
  <c r="F24" i="5"/>
  <c r="F23" i="5"/>
  <c r="F19" i="5"/>
  <c r="E13" i="5"/>
  <c r="E12" i="5"/>
  <c r="C10" i="5"/>
  <c r="E10" i="5" s="1"/>
  <c r="C9" i="5"/>
  <c r="E9" i="5" s="1"/>
  <c r="E8" i="5"/>
  <c r="E138" i="5" l="1"/>
  <c r="D169" i="5"/>
  <c r="E137" i="5"/>
  <c r="D124" i="1"/>
  <c r="E124" i="1"/>
  <c r="F124" i="1"/>
  <c r="G124" i="1"/>
  <c r="C124" i="1"/>
  <c r="H120" i="1"/>
  <c r="H121" i="1"/>
  <c r="H122" i="1"/>
  <c r="H123" i="1"/>
  <c r="H124" i="1"/>
  <c r="H119" i="1"/>
  <c r="C98" i="1" l="1"/>
  <c r="E64" i="1"/>
  <c r="E65" i="1"/>
  <c r="E66" i="1"/>
  <c r="E67" i="1"/>
  <c r="E68" i="1"/>
  <c r="E69" i="1"/>
  <c r="E70" i="1"/>
  <c r="E71" i="1"/>
  <c r="E72" i="1"/>
  <c r="E73" i="1"/>
  <c r="E74" i="1"/>
  <c r="E75" i="1"/>
  <c r="E76" i="1"/>
  <c r="E77" i="1"/>
  <c r="E78" i="1"/>
  <c r="E79" i="1"/>
  <c r="E80" i="1"/>
  <c r="E81" i="1"/>
  <c r="E63" i="1"/>
  <c r="D63" i="1"/>
  <c r="D64" i="1" s="1"/>
  <c r="D65" i="1" s="1"/>
  <c r="D66" i="1" s="1"/>
  <c r="D67" i="1" s="1"/>
  <c r="D68" i="1" s="1"/>
  <c r="D69" i="1" s="1"/>
  <c r="D70" i="1" s="1"/>
  <c r="D71" i="1" s="1"/>
  <c r="D72" i="1" s="1"/>
  <c r="D73" i="1" s="1"/>
  <c r="D74" i="1" s="1"/>
  <c r="D75" i="1" s="1"/>
  <c r="D76" i="1" s="1"/>
  <c r="D77" i="1" s="1"/>
  <c r="D78" i="1" s="1"/>
  <c r="D79" i="1" s="1"/>
  <c r="D80" i="1" s="1"/>
  <c r="D81" i="1" s="1"/>
  <c r="D43" i="1"/>
  <c r="D44" i="1"/>
  <c r="D45" i="1"/>
  <c r="D46" i="1"/>
  <c r="D42" i="1"/>
  <c r="C38" i="1"/>
  <c r="C37" i="1"/>
  <c r="I19" i="1"/>
  <c r="J19" i="1" s="1"/>
  <c r="I20" i="1"/>
  <c r="J20" i="1" s="1"/>
  <c r="I21" i="1"/>
  <c r="J21" i="1" s="1"/>
  <c r="I22" i="1"/>
  <c r="J22" i="1" s="1"/>
  <c r="I23" i="1"/>
  <c r="J23" i="1" s="1"/>
  <c r="I18" i="1"/>
  <c r="J18" i="1" s="1"/>
  <c r="E22" i="1"/>
  <c r="E20" i="1"/>
  <c r="E18" i="1"/>
  <c r="E16" i="1"/>
  <c r="C11" i="1"/>
  <c r="C9" i="1"/>
  <c r="C7" i="1"/>
  <c r="C5" i="1"/>
  <c r="J24" i="1" l="1"/>
  <c r="E2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Rechenzentrum</author>
  </authors>
  <commentList>
    <comment ref="F182" authorId="0" shapeId="0" xr:uid="{B93DF8DF-E314-4C6F-8FEC-96FD83342178}">
      <text>
        <r>
          <rPr>
            <sz val="8"/>
            <color indexed="81"/>
            <rFont val="Tahoma"/>
            <family val="2"/>
          </rPr>
          <t xml:space="preserve">Formatierung mit [h]:mm
</t>
        </r>
      </text>
    </comment>
  </commentList>
</comments>
</file>

<file path=xl/sharedStrings.xml><?xml version="1.0" encoding="utf-8"?>
<sst xmlns="http://schemas.openxmlformats.org/spreadsheetml/2006/main" count="259" uniqueCount="195">
  <si>
    <t xml:space="preserve">a) </t>
  </si>
  <si>
    <t>b)</t>
  </si>
  <si>
    <t>5 plus 13,5:</t>
  </si>
  <si>
    <t>5 mal 13,5:</t>
  </si>
  <si>
    <t>c)</t>
  </si>
  <si>
    <t>5 durch  13,5:</t>
  </si>
  <si>
    <t>d)</t>
  </si>
  <si>
    <t>5 minus 13,5:</t>
  </si>
  <si>
    <t>Aufgabe 1)</t>
  </si>
  <si>
    <t>Aufgabe 2)</t>
  </si>
  <si>
    <t>a)</t>
  </si>
  <si>
    <t>oder</t>
  </si>
  <si>
    <t>Aufgabe 3)</t>
  </si>
  <si>
    <t>Summe:</t>
  </si>
  <si>
    <t>Produkt:</t>
  </si>
  <si>
    <t>b) Multiplizieren Sie die angegebene Zahl jeweils mit sich selbst:</t>
  </si>
  <si>
    <t>c) Verschieben Sie die Zahlen aus Spalte C nach Spalte E. Wenn Sie fertig sind sollten also die Zahlen nur noch in Spalte E stehen.</t>
  </si>
  <si>
    <t>Aufgabe 4)</t>
  </si>
  <si>
    <t>Datum</t>
  </si>
  <si>
    <t>Kilometer</t>
  </si>
  <si>
    <t>Liter</t>
  </si>
  <si>
    <t>Verbrauch (100 km)</t>
  </si>
  <si>
    <t>Aufgabe 5)</t>
  </si>
  <si>
    <t>a) Berechnen Sie den Benzinverbrauch pro 100 km:</t>
  </si>
  <si>
    <t>Aufgabe 6)</t>
  </si>
  <si>
    <t xml:space="preserve"> </t>
  </si>
  <si>
    <t>Aufgabe 7)</t>
  </si>
  <si>
    <t>a) Kopieren Sie untenstehende Zahlen aus Spalte C nach Spalte E. Wenn Sie fertig sind, sollten also die Zahlen sowohl in Spalte C als auch in Spalte E stehen.</t>
  </si>
  <si>
    <t>b) Erzeugen Sie - auf mind. zwei Arten - eine Zahlenfolge von 20 Zahlen, bei der jede Zahl um 5 größer ist als ihr direkter Vorgänger. Beginnen Sie jeweils mit der Ziffer 7.</t>
  </si>
  <si>
    <t>Montag</t>
  </si>
  <si>
    <t>Freitag</t>
  </si>
  <si>
    <t>Aufgabe 8)</t>
  </si>
  <si>
    <t>Hier sind die Statistik-Noten von acht Freunden:</t>
  </si>
  <si>
    <t>a) Berechnen Sie die Durchschnittsnote (= arithm. Mittel) in dieser Gruppe.</t>
  </si>
  <si>
    <t>Ergebnis:</t>
  </si>
  <si>
    <t>(187 ist das Ergebnis)</t>
  </si>
  <si>
    <t>Auf der Strecke Augsburg - Ulm fuhren letzte Woche in den Zügen…</t>
  </si>
  <si>
    <t>Zug</t>
  </si>
  <si>
    <t>Tag</t>
  </si>
  <si>
    <t>Dienstag</t>
  </si>
  <si>
    <t>Mittwoch</t>
  </si>
  <si>
    <t>Donnerstag</t>
  </si>
  <si>
    <t>ICE 671</t>
  </si>
  <si>
    <t>IC 432</t>
  </si>
  <si>
    <t>EC 112</t>
  </si>
  <si>
    <t>RB 2814</t>
  </si>
  <si>
    <t>RE 2322</t>
  </si>
  <si>
    <t>b) Berechnen Sie für jeden der fünf Züge, wie viele Fahrgäste Sie während dieser Woche beförderten.</t>
  </si>
  <si>
    <t>c) Berechnen Sie die Gesamtanzahl aller in dieser Woche beförderten Fahrgäste.</t>
  </si>
  <si>
    <t>Lösung:</t>
  </si>
  <si>
    <t>Lsg. zu a)</t>
  </si>
  <si>
    <t>Lsg. zu b)</t>
  </si>
  <si>
    <t>= Lsg. zu c)</t>
  </si>
  <si>
    <t>Im Zeitpunkt t1 haben Sie eine Porsche Aktie zum Kurs 911 EUR gekauft.</t>
  </si>
  <si>
    <t>Im Zeitpunkt t2 kostet eine Porsche Aktie 623 EUR.</t>
  </si>
  <si>
    <t>a) Wieviel % Verlust hätten Sie (bei Verkauf in t2) erlitten?</t>
  </si>
  <si>
    <t>b) Um wieviel % müsste die Aktie steigen, damit der Einstandskurs (911 EUR) wieder erreicht wird?</t>
  </si>
  <si>
    <t>a) Bilden Sie die Summe und auch das Produkt der folgenden Zahlen:</t>
  </si>
  <si>
    <t>i</t>
  </si>
  <si>
    <t>2+i</t>
  </si>
  <si>
    <t>(2+i)^(7-i)</t>
  </si>
  <si>
    <t>b) Berechnen Sie nun den gesamten durchschnittlichen Verbrauch auf 100 km, indem Sie selbst eine Formel erstellen, in der Sie die Angaben der Spalten B und C verwenden.</t>
  </si>
  <si>
    <t xml:space="preserve"> Lösungsweg zu Teilaufgabe d):</t>
  </si>
  <si>
    <t>d) Berechnen Sie die Summe der ganzen Zahlen von 12 bis 22.</t>
  </si>
  <si>
    <t>b) Man kommt schneller zum Ergebnis, wenn man die Berechnung mittels einer Excel-Funktion ausführen lässt. Rufen Sie dazu die Excel-Hilfe auf (=Funktionstaste F1) und suchen Sie nach einer geeigneten Funktion.</t>
  </si>
  <si>
    <t>Lösungsweg zu Aufgabe 4d):</t>
  </si>
  <si>
    <t>(mithilfe der Funktion "MITTELWERT")</t>
  </si>
  <si>
    <t>%</t>
  </si>
  <si>
    <t>Themen in dieser Datei</t>
  </si>
  <si>
    <t>Einführungsaufgaben zum Umgang mit Excel</t>
  </si>
  <si>
    <t>Tabellenblätter in dieser Datei</t>
  </si>
  <si>
    <t>alternativ:</t>
  </si>
  <si>
    <t>Arbeiten mit Datums- und Zeitangaben</t>
  </si>
  <si>
    <t>1. Grundlagen</t>
  </si>
  <si>
    <r>
      <t xml:space="preserve">Excel interpretiert Datumsangaben als </t>
    </r>
    <r>
      <rPr>
        <b/>
        <u/>
        <sz val="12"/>
        <rFont val="Arial"/>
        <family val="2"/>
      </rPr>
      <t>fortlaufende Zahl</t>
    </r>
    <r>
      <rPr>
        <b/>
        <sz val="12"/>
        <rFont val="Arial"/>
        <family val="2"/>
      </rPr>
      <t xml:space="preserve"> und Zeitangaben als </t>
    </r>
    <r>
      <rPr>
        <b/>
        <u/>
        <sz val="12"/>
        <rFont val="Arial"/>
        <family val="2"/>
      </rPr>
      <t>Dezimalbrüche!</t>
    </r>
  </si>
  <si>
    <t>Für Excel bedeutet das:</t>
  </si>
  <si>
    <t>Excel - Kalenderbeginn:</t>
  </si>
  <si>
    <t>Semesterbeginn:</t>
  </si>
  <si>
    <t>Weihnachten:</t>
  </si>
  <si>
    <t>Vorlesungsbeginn:</t>
  </si>
  <si>
    <t>Bescherung:</t>
  </si>
  <si>
    <r>
      <t xml:space="preserve">Da Excel Datumsangaben und Zeitangaben als Zahlen auffasst, kann man mit diesen Angaben auch rechnen. Dabei ist jedoch zu beachten, dass u.U. </t>
    </r>
    <r>
      <rPr>
        <u/>
        <sz val="12"/>
        <rFont val="Arial"/>
        <family val="2"/>
      </rPr>
      <t>bei falscher Formatierung der Ergebniszelle trotz richtiger Berechnung ein fehlerhaftes Ergebnis</t>
    </r>
    <r>
      <rPr>
        <sz val="12"/>
        <rFont val="Arial"/>
        <family val="2"/>
      </rPr>
      <t xml:space="preserve"> angezeigt werden kann!</t>
    </r>
  </si>
  <si>
    <t xml:space="preserve">Beispiele: </t>
  </si>
  <si>
    <t>(1) Verbinden von Datum und Uhrzeit</t>
  </si>
  <si>
    <t>Uhrzeit</t>
  </si>
  <si>
    <t>Verbundene Angabe</t>
  </si>
  <si>
    <t>(2) Differenz zweier Zeitangaben</t>
  </si>
  <si>
    <t>späteres Datum</t>
  </si>
  <si>
    <t>früheres Datum</t>
  </si>
  <si>
    <t>Differenz</t>
  </si>
  <si>
    <t>mit falscher Formatierung</t>
  </si>
  <si>
    <t xml:space="preserve">mit richtiger Formatierung </t>
  </si>
  <si>
    <t>(s.u.)</t>
  </si>
  <si>
    <t>Abkürzungen bei Datumsangaben:</t>
  </si>
  <si>
    <t>TT</t>
  </si>
  <si>
    <t>MM</t>
  </si>
  <si>
    <t>Monat</t>
  </si>
  <si>
    <t>JJJJ</t>
  </si>
  <si>
    <t>Jahr (vierstellig)</t>
  </si>
  <si>
    <t>hh</t>
  </si>
  <si>
    <t>Stunden</t>
  </si>
  <si>
    <t>mm</t>
  </si>
  <si>
    <t>Minuten</t>
  </si>
  <si>
    <t>ss</t>
  </si>
  <si>
    <t>Sekunden</t>
  </si>
  <si>
    <t>.</t>
  </si>
  <si>
    <t>Trennzeichen bei Datumsangaben</t>
  </si>
  <si>
    <t>:</t>
  </si>
  <si>
    <t>Ternnzeichen bei Zeitangaben</t>
  </si>
  <si>
    <t>Einige benutzerdefinierte Zellformate:</t>
  </si>
  <si>
    <t>Bsp.</t>
  </si>
  <si>
    <t>Benuzerdefiniertes Format</t>
  </si>
  <si>
    <t>Erläuterung</t>
  </si>
  <si>
    <t>27:12:2014</t>
  </si>
  <si>
    <t>TT.MM.JJJJ</t>
  </si>
  <si>
    <t>entspricht dem normalen Datumsformat</t>
  </si>
  <si>
    <t>hh:mm:ss</t>
  </si>
  <si>
    <t>entspricht dem normalen Uhrzeitformat</t>
  </si>
  <si>
    <t>TT.MM.JJJJ hh:mm:ss</t>
  </si>
  <si>
    <t>Benutzerdefinierte Kombination aus Datum und Zeit</t>
  </si>
  <si>
    <t>[hh]:mm:ss</t>
  </si>
  <si>
    <t>Bei Stundenzahlen über 24 Stunden muss die Angabe der Stunden in eckige Klammern erfolgen</t>
  </si>
  <si>
    <t>TT hh:mm</t>
  </si>
  <si>
    <t xml:space="preserve"> = 35 Stunden und 12 Minuten, aber jetzt in Tagen, Stunden und Minuten ausgedrückt</t>
  </si>
  <si>
    <t>Datum und Zeit aus Einzelwerten zusammenfügen:</t>
  </si>
  <si>
    <t>Dieses Problem wird mit den Funktionen "DATUM()" und "ZEIT()" gelöst:</t>
  </si>
  <si>
    <t>Jahr</t>
  </si>
  <si>
    <t>Stunde</t>
  </si>
  <si>
    <t>Minute</t>
  </si>
  <si>
    <t>Sekunde</t>
  </si>
  <si>
    <t>Zeit</t>
  </si>
  <si>
    <t>Datums- und Zeitangaben in mehrere Einzelwerte aufteilen:</t>
  </si>
  <si>
    <t>Dies geschieht mit den Funktionen "JAHR()", "MONAT()", "TAG()" sowie "STUNDE()", "MINUTE()" und "SEKUNDE()"</t>
  </si>
  <si>
    <t>Datum:</t>
  </si>
  <si>
    <t>Uhrzeit:</t>
  </si>
  <si>
    <t>Anschließend kann man mit den von Excel als Datums- und Zeitangaben interpretierten Zahlen weiterrechnen</t>
  </si>
  <si>
    <t>Differenz zwischen zwei Zeitpunkten:</t>
  </si>
  <si>
    <t>Anfang</t>
  </si>
  <si>
    <t>Ende</t>
  </si>
  <si>
    <t>Zeitraum (Formatierung: T hh:mm)</t>
  </si>
  <si>
    <t>2. Übungsaufgaben</t>
  </si>
  <si>
    <t>Beispiel 1:</t>
  </si>
  <si>
    <t>Füge die Datums- und Zeitangaben zusammen.</t>
  </si>
  <si>
    <t>Nr.</t>
  </si>
  <si>
    <t>Datum und Uhrzeit</t>
  </si>
  <si>
    <t>Beispiel 2:</t>
  </si>
  <si>
    <t>Extrahiere aus den Datumsangaben die gewünschten Informationen.</t>
  </si>
  <si>
    <t>Beispiel 3:</t>
  </si>
  <si>
    <t>Berechne das aktuelle Alter der Personen mit Hilfe der Funktion DATEDIF(). Leider gibt es zu dieser Funktion keinen Excel-Hilfe-Eintrag. Eine Erläuterung findet sich etwas weiter rechts.</t>
  </si>
  <si>
    <t>Person</t>
  </si>
  <si>
    <t>Geburtsdatum</t>
  </si>
  <si>
    <t xml:space="preserve">Alter in vollendeten Jahren </t>
  </si>
  <si>
    <t>Alter in vollendeten Monaten</t>
  </si>
  <si>
    <t>Alter aufgesplittet in:</t>
  </si>
  <si>
    <t>volle Jahre</t>
  </si>
  <si>
    <t>volle Monate</t>
  </si>
  <si>
    <t>volle Tage</t>
  </si>
  <si>
    <t>Zeige die Darstellungsform (Zahlen = Tage) auf, in der Excel rechnet.</t>
  </si>
  <si>
    <t>Alle Angaben nur in Tagen</t>
  </si>
  <si>
    <t>Heute</t>
  </si>
  <si>
    <t>Alter in Tagen</t>
  </si>
  <si>
    <t>Beispiel 4:</t>
  </si>
  <si>
    <t>Berechne jeweils das Start- bzw. Enddatum der Projekte.</t>
  </si>
  <si>
    <t>Projekt</t>
  </si>
  <si>
    <t>Startdatum</t>
  </si>
  <si>
    <t>Projektdauer</t>
  </si>
  <si>
    <t>Enddatum</t>
  </si>
  <si>
    <t>Jahre</t>
  </si>
  <si>
    <t>Tage</t>
  </si>
  <si>
    <t>Monate</t>
  </si>
  <si>
    <t>Beispiel 5:</t>
  </si>
  <si>
    <t>Berechne den verbleibenden Urlausbanspruch im Jahr 2007 von Herrn Mayer.</t>
  </si>
  <si>
    <t>Urlaubsanspruch pro Jahr:</t>
  </si>
  <si>
    <t>Urlaub von</t>
  </si>
  <si>
    <t>Urlaub bis</t>
  </si>
  <si>
    <t>Urlaubstage</t>
  </si>
  <si>
    <t>Urlaubstag unter der Annahme, dass Wochenenden (Sa. und So. immer frei sind)</t>
  </si>
  <si>
    <t>verbl. Urlaubsanspruch</t>
  </si>
  <si>
    <t>Beispiel 6:</t>
  </si>
  <si>
    <t>Berechne die Nettoarbeitszeit der Arbeitnehmerin Müller in KW 12.</t>
  </si>
  <si>
    <t>KW 12</t>
  </si>
  <si>
    <t>Arbeitsbeginn</t>
  </si>
  <si>
    <t>Arbeitsende</t>
  </si>
  <si>
    <t>Pause</t>
  </si>
  <si>
    <t>Nettoarbeitszeit</t>
  </si>
  <si>
    <t>Summe Nettoarbeitszeit</t>
  </si>
  <si>
    <t>Einführungsaufgaben</t>
  </si>
  <si>
    <t>Datums- und Zeitfunktionen</t>
  </si>
  <si>
    <t>Arbeitsauftrag:
Bitte bearbeiten Sie die nachfolgenden Aufgaben 1 bis 8 und  führen Sie die nötigen Berechnungen/Arbeitsschritte in den gelb hinterlegten Zellen durch!</t>
  </si>
  <si>
    <t>a) Berechnen Sie für jeden Wochentag, wie viele Fahrgäste insgesamt per Bahn unterwegs waren. Hinweis: Die Funktion "SUMME()" ist an dieser Stelle hilfreich.</t>
  </si>
  <si>
    <t>Weiterer Lösungsweg:</t>
  </si>
  <si>
    <t>1) Die ersten beiden Zahlen der Folge in untereinanderliegende Zellen schreiben.</t>
  </si>
  <si>
    <t>2) BEIDE Zellen markieren. (Linksklick und nach unten ziehen)</t>
  </si>
  <si>
    <t>3) Per Ausziehpunkt nach unten ziehen und dadurch die Folge fortsetzen.</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</si>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</sst>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 _€_-;\-* #,##0.00\ _€_-;_-* &quot;-&quot;??\ _€_-;_-@_-"/>
    <numFmt numFmtId="165" formatCode="_(* #,##0.00_);_(* \(#,##0.00\);_(* &quot;-&quot;??_);_(@_)"/>
    <numFmt numFmtId="166" formatCode="0.00000"/>
    <numFmt numFmtId="167" formatCode="h:mm;@"/>
    <numFmt numFmtId="168" formatCode="\ \ [hh]:mm"/>
    <numFmt numFmtId="169" formatCode="dd/mm/yyyy\ hh:mm:ss"/>
    <numFmt numFmtId="170" formatCode="dd\ hh:mm"/>
    <numFmt numFmtId="171" formatCode="d\ hh:mm"/>
    <numFmt numFmtId="172" formatCode="ss.000"/>
    <numFmt numFmtId="173" formatCode="s.000"/>
    <numFmt numFmtId="174" formatCode="d"/>
    <numFmt numFmtId="175" formatCode="[$-F800]dddd\,\ mmmm\ dd\,\ yyyy"/>
    <numFmt numFmtId="176" formatCode="[hh]:mm"/>
  </numFmts>
  <fonts count="20" x14ac:knownFonts="1">
    <font>
      <sz val="11"/>
      <color theme="1"/>
      <name val="Calibri"/>
      <family val="2"/>
      <scheme val="minor"/>
    </font>
    <font>
      <sz val="12"/>
      <color indexed="8"/>
      <name val="Verdana"/>
      <family val="2"/>
    </font>
    <font>
      <b/>
      <u/>
      <sz val="12"/>
      <color indexed="8"/>
      <name val="Verdana"/>
      <family val="2"/>
    </font>
    <font>
      <sz val="8"/>
      <name val="Calibri"/>
      <family val="2"/>
    </font>
    <font>
      <i/>
      <sz val="12"/>
      <color indexed="8"/>
      <name val="Verdana"/>
      <family val="2"/>
    </font>
    <font>
      <u/>
      <sz val="12"/>
      <color indexed="8"/>
      <name val="Verdana"/>
      <family val="2"/>
    </font>
    <font>
      <sz val="10"/>
      <name val="Arial"/>
      <family val="2"/>
    </font>
    <font>
      <b/>
      <u/>
      <sz val="14"/>
      <name val="Arial"/>
      <family val="2"/>
    </font>
    <font>
      <b/>
      <u/>
      <sz val="16"/>
      <name val="Arial"/>
      <family val="2"/>
    </font>
    <font>
      <b/>
      <sz val="12"/>
      <name val="Arial"/>
      <family val="2"/>
    </font>
    <font>
      <sz val="12"/>
      <name val="Arial"/>
      <family val="2"/>
    </font>
    <font>
      <sz val="12"/>
      <name val="Verdana"/>
      <family val="2"/>
    </font>
    <font>
      <b/>
      <sz val="16"/>
      <name val="Arial"/>
      <family val="2"/>
    </font>
    <font>
      <b/>
      <sz val="14"/>
      <name val="Arial"/>
      <family val="2"/>
    </font>
    <font>
      <b/>
      <u/>
      <sz val="12"/>
      <name val="Arial"/>
      <family val="2"/>
    </font>
    <font>
      <b/>
      <sz val="10"/>
      <name val="Arial"/>
      <family val="2"/>
    </font>
    <font>
      <b/>
      <sz val="11"/>
      <name val="Arial"/>
      <family val="2"/>
    </font>
    <font>
      <u/>
      <sz val="12"/>
      <name val="Arial"/>
      <family val="2"/>
    </font>
    <font>
      <sz val="8"/>
      <color indexed="81"/>
      <name val="Tahoma"/>
      <family val="2"/>
    </font>
    <font>
      <sz val="20"/>
      <name val="Times New Roman"/>
      <family val="1"/>
    </font>
  </fonts>
  <fills count="14">
    <fill>
      <patternFill patternType="none"/>
    </fill>
    <fill>
      <patternFill patternType="gray125"/>
    </fill>
    <fill>
      <patternFill patternType="solid">
        <fgColor indexed="13"/>
        <bgColor indexed="64"/>
      </patternFill>
    </fill>
    <fill>
      <patternFill patternType="solid">
        <fgColor indexed="26"/>
        <bgColor indexed="64"/>
      </patternFill>
    </fill>
    <fill>
      <patternFill patternType="solid">
        <fgColor indexed="43"/>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CC"/>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rgb="FFFFFF99"/>
        <bgColor indexed="64"/>
      </patternFill>
    </fill>
  </fills>
  <borders count="5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s>
  <cellStyleXfs count="7">
    <xf numFmtId="0" fontId="0"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9" fillId="0" borderId="0"/>
  </cellStyleXfs>
  <cellXfs count="329">
    <xf numFmtId="0" fontId="0" fillId="0" borderId="0" xfId="0"/>
    <xf numFmtId="0" fontId="1" fillId="0" borderId="0" xfId="0" applyFont="1"/>
    <xf numFmtId="0" fontId="1" fillId="0" borderId="0" xfId="0" quotePrefix="1" applyFont="1"/>
    <xf numFmtId="0" fontId="1" fillId="2" borderId="0" xfId="0" applyFont="1" applyFill="1"/>
    <xf numFmtId="0" fontId="2" fillId="0" borderId="0" xfId="0" applyFont="1"/>
    <xf numFmtId="0" fontId="1" fillId="0" borderId="0" xfId="0" applyFont="1" applyAlignment="1">
      <alignment horizontal="right"/>
    </xf>
    <xf numFmtId="0" fontId="1" fillId="0" borderId="0" xfId="0" applyFont="1" applyAlignment="1">
      <alignment horizontal="center"/>
    </xf>
    <xf numFmtId="0" fontId="1" fillId="2" borderId="0" xfId="0" applyFont="1" applyFill="1" applyAlignment="1">
      <alignment horizontal="center"/>
    </xf>
    <xf numFmtId="0" fontId="1" fillId="0" borderId="1" xfId="0" applyFont="1" applyBorder="1"/>
    <xf numFmtId="0" fontId="1" fillId="0" borderId="2" xfId="0" applyFont="1" applyBorder="1" applyAlignment="1">
      <alignment horizontal="center"/>
    </xf>
    <xf numFmtId="14" fontId="1" fillId="0" borderId="4" xfId="0" applyNumberFormat="1" applyFont="1" applyBorder="1"/>
    <xf numFmtId="0" fontId="1" fillId="0" borderId="5" xfId="0" applyFont="1" applyBorder="1" applyAlignment="1">
      <alignment horizontal="center"/>
    </xf>
    <xf numFmtId="14" fontId="1" fillId="0" borderId="7" xfId="0" applyNumberFormat="1" applyFont="1" applyBorder="1"/>
    <xf numFmtId="0" fontId="1" fillId="0" borderId="8" xfId="0" applyFont="1" applyBorder="1" applyAlignment="1">
      <alignment horizontal="center"/>
    </xf>
    <xf numFmtId="0" fontId="1" fillId="3" borderId="10" xfId="0" applyFont="1" applyFill="1" applyBorder="1"/>
    <xf numFmtId="0" fontId="1" fillId="4" borderId="11" xfId="0" applyFont="1" applyFill="1" applyBorder="1"/>
    <xf numFmtId="0" fontId="1" fillId="3" borderId="13" xfId="0" applyFont="1" applyFill="1" applyBorder="1"/>
    <xf numFmtId="0" fontId="1" fillId="4" borderId="14" xfId="0" applyFont="1" applyFill="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0" fontId="4" fillId="0" borderId="19" xfId="0" applyFont="1" applyBorder="1"/>
    <xf numFmtId="0" fontId="4" fillId="0" borderId="10" xfId="0" applyFont="1" applyBorder="1"/>
    <xf numFmtId="0" fontId="4" fillId="0" borderId="20" xfId="0" applyFont="1" applyBorder="1"/>
    <xf numFmtId="0" fontId="4" fillId="0" borderId="15" xfId="0" applyFont="1" applyBorder="1"/>
    <xf numFmtId="0" fontId="4" fillId="0" borderId="21" xfId="0" applyFont="1" applyBorder="1"/>
    <xf numFmtId="0" fontId="4" fillId="0" borderId="13" xfId="0" applyFont="1" applyBorder="1"/>
    <xf numFmtId="0" fontId="4" fillId="0" borderId="14" xfId="0" applyFont="1" applyBorder="1"/>
    <xf numFmtId="0" fontId="4" fillId="0" borderId="17" xfId="0" applyFont="1" applyBorder="1"/>
    <xf numFmtId="0" fontId="4" fillId="0" borderId="18" xfId="0" applyFont="1" applyBorder="1"/>
    <xf numFmtId="0" fontId="1" fillId="0" borderId="0" xfId="0" applyFont="1" applyAlignment="1">
      <alignment wrapText="1"/>
    </xf>
    <xf numFmtId="0" fontId="1" fillId="6" borderId="0" xfId="0" applyFont="1" applyFill="1"/>
    <xf numFmtId="0" fontId="2" fillId="7" borderId="0" xfId="0" applyFont="1" applyFill="1"/>
    <xf numFmtId="0" fontId="1" fillId="7" borderId="0" xfId="0" applyFont="1" applyFill="1"/>
    <xf numFmtId="0" fontId="1" fillId="2" borderId="12" xfId="0" quotePrefix="1" applyFont="1" applyFill="1" applyBorder="1"/>
    <xf numFmtId="0" fontId="1" fillId="8" borderId="0" xfId="0" applyFont="1" applyFill="1"/>
    <xf numFmtId="0" fontId="1" fillId="9" borderId="0" xfId="0" applyFont="1" applyFill="1"/>
    <xf numFmtId="0" fontId="1" fillId="9" borderId="15" xfId="0" applyFont="1" applyFill="1" applyBorder="1"/>
    <xf numFmtId="0" fontId="1" fillId="9" borderId="21" xfId="0" applyFont="1" applyFill="1" applyBorder="1"/>
    <xf numFmtId="0" fontId="1" fillId="9" borderId="13" xfId="0" applyFont="1" applyFill="1" applyBorder="1"/>
    <xf numFmtId="0" fontId="1" fillId="9" borderId="22" xfId="0" applyFont="1" applyFill="1" applyBorder="1"/>
    <xf numFmtId="0" fontId="1" fillId="9" borderId="16" xfId="0" applyFont="1" applyFill="1" applyBorder="1"/>
    <xf numFmtId="0" fontId="1" fillId="9" borderId="14" xfId="0" applyFont="1" applyFill="1" applyBorder="1"/>
    <xf numFmtId="0" fontId="1" fillId="9" borderId="17" xfId="0" applyFont="1" applyFill="1" applyBorder="1"/>
    <xf numFmtId="0" fontId="1" fillId="9" borderId="18" xfId="0" applyFont="1" applyFill="1" applyBorder="1"/>
    <xf numFmtId="0" fontId="5" fillId="0" borderId="0" xfId="0" applyFont="1"/>
    <xf numFmtId="0" fontId="7" fillId="10" borderId="15" xfId="1" applyFont="1" applyFill="1" applyBorder="1" applyAlignment="1">
      <alignment vertical="center"/>
    </xf>
    <xf numFmtId="0" fontId="6" fillId="10" borderId="21" xfId="1" applyFill="1" applyBorder="1"/>
    <xf numFmtId="0" fontId="6" fillId="10" borderId="13" xfId="1" applyFill="1" applyBorder="1"/>
    <xf numFmtId="0" fontId="6" fillId="0" borderId="0" xfId="1"/>
    <xf numFmtId="0" fontId="8" fillId="11" borderId="22" xfId="1" applyFont="1" applyFill="1" applyBorder="1" applyAlignment="1">
      <alignment vertical="center"/>
    </xf>
    <xf numFmtId="0" fontId="6" fillId="11" borderId="0" xfId="1" applyFill="1"/>
    <xf numFmtId="0" fontId="6" fillId="11" borderId="16" xfId="1" applyFill="1" applyBorder="1"/>
    <xf numFmtId="0" fontId="9" fillId="11" borderId="22" xfId="1" applyFont="1" applyFill="1" applyBorder="1" applyAlignment="1">
      <alignment vertical="center"/>
    </xf>
    <xf numFmtId="0" fontId="10" fillId="11" borderId="0" xfId="1" applyFont="1" applyFill="1"/>
    <xf numFmtId="0" fontId="10" fillId="11" borderId="22" xfId="1" applyFont="1" applyFill="1" applyBorder="1"/>
    <xf numFmtId="0" fontId="9" fillId="11" borderId="22" xfId="1" applyFont="1" applyFill="1" applyBorder="1"/>
    <xf numFmtId="0" fontId="6" fillId="11" borderId="22" xfId="1" applyFill="1" applyBorder="1"/>
    <xf numFmtId="0" fontId="7" fillId="10" borderId="22" xfId="1" applyFont="1" applyFill="1" applyBorder="1" applyAlignment="1">
      <alignment vertical="center"/>
    </xf>
    <xf numFmtId="0" fontId="6" fillId="10" borderId="0" xfId="1" applyFill="1"/>
    <xf numFmtId="0" fontId="6" fillId="10" borderId="16" xfId="1" applyFill="1" applyBorder="1"/>
    <xf numFmtId="0" fontId="9" fillId="11" borderId="0" xfId="1" applyFont="1" applyFill="1" applyAlignment="1">
      <alignment vertical="center"/>
    </xf>
    <xf numFmtId="0" fontId="6" fillId="11" borderId="14" xfId="1" applyFill="1" applyBorder="1"/>
    <xf numFmtId="0" fontId="9" fillId="11" borderId="17" xfId="1" applyFont="1" applyFill="1" applyBorder="1" applyAlignment="1">
      <alignment vertical="center"/>
    </xf>
    <xf numFmtId="0" fontId="6" fillId="11" borderId="17" xfId="1" applyFill="1" applyBorder="1"/>
    <xf numFmtId="0" fontId="6" fillId="11" borderId="18" xfId="1" applyFill="1" applyBorder="1"/>
    <xf numFmtId="0" fontId="11" fillId="8" borderId="0" xfId="0" applyFont="1" applyFill="1"/>
    <xf numFmtId="0" fontId="13" fillId="10" borderId="0" xfId="1" applyFont="1" applyFill="1"/>
    <xf numFmtId="0" fontId="9" fillId="11" borderId="23" xfId="1" applyFont="1" applyFill="1" applyBorder="1"/>
    <xf numFmtId="0" fontId="6" fillId="11" borderId="24" xfId="1" applyFill="1" applyBorder="1"/>
    <xf numFmtId="0" fontId="6" fillId="11" borderId="25" xfId="1" applyFill="1" applyBorder="1"/>
    <xf numFmtId="0" fontId="9" fillId="0" borderId="0" xfId="1" applyFont="1"/>
    <xf numFmtId="0" fontId="10" fillId="0" borderId="0" xfId="1" applyFont="1"/>
    <xf numFmtId="0" fontId="15" fillId="11" borderId="26" xfId="1" applyFont="1" applyFill="1" applyBorder="1"/>
    <xf numFmtId="0" fontId="6" fillId="11" borderId="27" xfId="1" applyFill="1" applyBorder="1"/>
    <xf numFmtId="0" fontId="10" fillId="0" borderId="0" xfId="1" applyFont="1" applyAlignment="1">
      <alignment horizontal="center"/>
    </xf>
    <xf numFmtId="0" fontId="6" fillId="0" borderId="27" xfId="1" applyBorder="1"/>
    <xf numFmtId="0" fontId="10" fillId="11" borderId="28" xfId="1" applyFont="1" applyFill="1" applyBorder="1"/>
    <xf numFmtId="0" fontId="10" fillId="11" borderId="17" xfId="1" applyFont="1" applyFill="1" applyBorder="1"/>
    <xf numFmtId="0" fontId="16" fillId="12" borderId="5" xfId="1" applyFont="1" applyFill="1" applyBorder="1" applyAlignment="1">
      <alignment horizontal="center"/>
    </xf>
    <xf numFmtId="0" fontId="10" fillId="11" borderId="29" xfId="1" applyFont="1" applyFill="1" applyBorder="1"/>
    <xf numFmtId="14" fontId="9" fillId="11" borderId="21" xfId="1" applyNumberFormat="1" applyFont="1" applyFill="1" applyBorder="1"/>
    <xf numFmtId="0" fontId="10" fillId="11" borderId="21" xfId="1" applyFont="1" applyFill="1" applyBorder="1"/>
    <xf numFmtId="0" fontId="9" fillId="12" borderId="19" xfId="1" applyFont="1" applyFill="1" applyBorder="1" applyAlignment="1">
      <alignment horizontal="right"/>
    </xf>
    <xf numFmtId="0" fontId="10" fillId="11" borderId="26" xfId="1" applyFont="1" applyFill="1" applyBorder="1"/>
    <xf numFmtId="14" fontId="9" fillId="11" borderId="0" xfId="1" applyNumberFormat="1" applyFont="1" applyFill="1" applyAlignment="1">
      <alignment horizontal="right"/>
    </xf>
    <xf numFmtId="0" fontId="9" fillId="11" borderId="0" xfId="1" applyFont="1" applyFill="1"/>
    <xf numFmtId="1" fontId="9" fillId="12" borderId="10" xfId="1" applyNumberFormat="1" applyFont="1" applyFill="1" applyBorder="1"/>
    <xf numFmtId="14" fontId="9" fillId="11" borderId="17" xfId="1" applyNumberFormat="1" applyFont="1" applyFill="1" applyBorder="1" applyAlignment="1">
      <alignment horizontal="right"/>
    </xf>
    <xf numFmtId="0" fontId="9" fillId="11" borderId="17" xfId="1" applyFont="1" applyFill="1" applyBorder="1"/>
    <xf numFmtId="1" fontId="9" fillId="12" borderId="20" xfId="1" applyNumberFormat="1" applyFont="1" applyFill="1" applyBorder="1"/>
    <xf numFmtId="0" fontId="9" fillId="11" borderId="10" xfId="1" applyFont="1" applyFill="1" applyBorder="1"/>
    <xf numFmtId="20" fontId="9" fillId="11" borderId="21" xfId="1" applyNumberFormat="1" applyFont="1" applyFill="1" applyBorder="1"/>
    <xf numFmtId="0" fontId="9" fillId="11" borderId="21" xfId="1" applyFont="1" applyFill="1" applyBorder="1"/>
    <xf numFmtId="166" fontId="9" fillId="12" borderId="19" xfId="1" applyNumberFormat="1" applyFont="1" applyFill="1" applyBorder="1"/>
    <xf numFmtId="0" fontId="9" fillId="0" borderId="0" xfId="1" quotePrefix="1" applyFont="1" applyAlignment="1">
      <alignment horizontal="center"/>
    </xf>
    <xf numFmtId="167" fontId="9" fillId="11" borderId="17" xfId="1" applyNumberFormat="1" applyFont="1" applyFill="1" applyBorder="1"/>
    <xf numFmtId="166" fontId="9" fillId="12" borderId="20" xfId="1" applyNumberFormat="1" applyFont="1" applyFill="1" applyBorder="1"/>
    <xf numFmtId="0" fontId="6" fillId="11" borderId="26" xfId="1" applyFill="1" applyBorder="1"/>
    <xf numFmtId="167" fontId="15" fillId="11" borderId="0" xfId="1" applyNumberFormat="1" applyFont="1" applyFill="1"/>
    <xf numFmtId="0" fontId="15" fillId="11" borderId="0" xfId="1" applyFont="1" applyFill="1"/>
    <xf numFmtId="166" fontId="15" fillId="11" borderId="0" xfId="1" applyNumberFormat="1" applyFont="1" applyFill="1"/>
    <xf numFmtId="0" fontId="9" fillId="11" borderId="26" xfId="1" applyFont="1" applyFill="1" applyBorder="1"/>
    <xf numFmtId="167" fontId="9" fillId="11" borderId="0" xfId="1" applyNumberFormat="1" applyFont="1" applyFill="1"/>
    <xf numFmtId="0" fontId="10" fillId="0" borderId="5" xfId="1" applyFont="1" applyBorder="1"/>
    <xf numFmtId="14" fontId="10" fillId="0" borderId="5" xfId="1" applyNumberFormat="1" applyFont="1" applyBorder="1"/>
    <xf numFmtId="20" fontId="10" fillId="0" borderId="5" xfId="1" applyNumberFormat="1" applyFont="1" applyBorder="1"/>
    <xf numFmtId="22" fontId="9" fillId="12" borderId="5" xfId="1" applyNumberFormat="1" applyFont="1" applyFill="1" applyBorder="1"/>
    <xf numFmtId="22" fontId="10" fillId="11" borderId="0" xfId="1" applyNumberFormat="1" applyFont="1" applyFill="1"/>
    <xf numFmtId="14" fontId="10" fillId="11" borderId="0" xfId="1" applyNumberFormat="1" applyFont="1" applyFill="1"/>
    <xf numFmtId="0" fontId="10" fillId="11" borderId="5" xfId="1" applyFont="1" applyFill="1" applyBorder="1"/>
    <xf numFmtId="14" fontId="10" fillId="11" borderId="5" xfId="1" applyNumberFormat="1" applyFont="1" applyFill="1" applyBorder="1"/>
    <xf numFmtId="0" fontId="10" fillId="11" borderId="18" xfId="1" applyFont="1" applyFill="1" applyBorder="1"/>
    <xf numFmtId="22" fontId="10" fillId="11" borderId="5" xfId="1" applyNumberFormat="1" applyFont="1" applyFill="1" applyBorder="1"/>
    <xf numFmtId="167" fontId="10" fillId="11" borderId="0" xfId="1" applyNumberFormat="1" applyFont="1" applyFill="1"/>
    <xf numFmtId="168" fontId="9" fillId="12" borderId="5" xfId="1" applyNumberFormat="1" applyFont="1" applyFill="1" applyBorder="1"/>
    <xf numFmtId="166" fontId="9" fillId="11" borderId="0" xfId="1" applyNumberFormat="1" applyFont="1" applyFill="1"/>
    <xf numFmtId="0" fontId="9" fillId="10" borderId="26" xfId="1" applyFont="1" applyFill="1" applyBorder="1"/>
    <xf numFmtId="167" fontId="10" fillId="10" borderId="0" xfId="1" applyNumberFormat="1" applyFont="1" applyFill="1"/>
    <xf numFmtId="0" fontId="10" fillId="11" borderId="1" xfId="1" applyFont="1" applyFill="1" applyBorder="1" applyAlignment="1">
      <alignment horizontal="center"/>
    </xf>
    <xf numFmtId="0" fontId="10" fillId="11" borderId="30" xfId="1" applyFont="1" applyFill="1" applyBorder="1"/>
    <xf numFmtId="0" fontId="10" fillId="11" borderId="31" xfId="1" applyFont="1" applyFill="1" applyBorder="1"/>
    <xf numFmtId="0" fontId="10" fillId="11" borderId="4" xfId="1" applyFont="1" applyFill="1" applyBorder="1" applyAlignment="1">
      <alignment horizontal="center"/>
    </xf>
    <xf numFmtId="0" fontId="10" fillId="11" borderId="32" xfId="1" applyFont="1" applyFill="1" applyBorder="1"/>
    <xf numFmtId="0" fontId="10" fillId="11" borderId="33" xfId="1" applyFont="1" applyFill="1" applyBorder="1"/>
    <xf numFmtId="0" fontId="9" fillId="11" borderId="4" xfId="1" quotePrefix="1" applyFont="1" applyFill="1" applyBorder="1" applyAlignment="1">
      <alignment horizontal="center"/>
    </xf>
    <xf numFmtId="0" fontId="9" fillId="11" borderId="7" xfId="1" quotePrefix="1" applyFont="1" applyFill="1" applyBorder="1" applyAlignment="1">
      <alignment horizontal="center"/>
    </xf>
    <xf numFmtId="0" fontId="10" fillId="11" borderId="34" xfId="1" applyFont="1" applyFill="1" applyBorder="1"/>
    <xf numFmtId="0" fontId="10" fillId="11" borderId="35" xfId="1" applyFont="1" applyFill="1" applyBorder="1"/>
    <xf numFmtId="0" fontId="10" fillId="0" borderId="36" xfId="1" applyFont="1" applyBorder="1" applyAlignment="1">
      <alignment horizontal="center"/>
    </xf>
    <xf numFmtId="0" fontId="10" fillId="0" borderId="37" xfId="1" applyFont="1" applyBorder="1" applyAlignment="1">
      <alignment horizontal="center" wrapText="1"/>
    </xf>
    <xf numFmtId="14" fontId="10" fillId="0" borderId="41" xfId="1" applyNumberFormat="1" applyFont="1" applyBorder="1" applyAlignment="1">
      <alignment horizontal="center"/>
    </xf>
    <xf numFmtId="0" fontId="10" fillId="0" borderId="20" xfId="1" applyFont="1" applyBorder="1" applyAlignment="1">
      <alignment horizontal="center" wrapText="1"/>
    </xf>
    <xf numFmtId="21" fontId="10" fillId="0" borderId="4" xfId="1" applyNumberFormat="1" applyFont="1" applyBorder="1" applyAlignment="1">
      <alignment horizontal="center"/>
    </xf>
    <xf numFmtId="0" fontId="10" fillId="0" borderId="5" xfId="1" applyFont="1" applyBorder="1" applyAlignment="1">
      <alignment horizontal="center" wrapText="1"/>
    </xf>
    <xf numFmtId="169" fontId="10" fillId="0" borderId="4" xfId="1" applyNumberFormat="1" applyFont="1" applyBorder="1" applyAlignment="1">
      <alignment horizontal="center"/>
    </xf>
    <xf numFmtId="46" fontId="10" fillId="0" borderId="4" xfId="1" applyNumberFormat="1" applyFont="1" applyBorder="1" applyAlignment="1">
      <alignment horizontal="center" vertical="center"/>
    </xf>
    <xf numFmtId="0" fontId="10" fillId="0" borderId="5" xfId="1" applyFont="1" applyBorder="1" applyAlignment="1">
      <alignment horizontal="center" vertical="center"/>
    </xf>
    <xf numFmtId="170" fontId="10" fillId="0" borderId="7" xfId="1" applyNumberFormat="1" applyFont="1" applyBorder="1" applyAlignment="1">
      <alignment horizontal="center" vertical="center"/>
    </xf>
    <xf numFmtId="0" fontId="10" fillId="0" borderId="8" xfId="1" applyFont="1" applyBorder="1" applyAlignment="1">
      <alignment horizontal="center" vertical="center"/>
    </xf>
    <xf numFmtId="0" fontId="6" fillId="11" borderId="44" xfId="1" applyFill="1" applyBorder="1"/>
    <xf numFmtId="0" fontId="15" fillId="11" borderId="45" xfId="1" applyFont="1" applyFill="1" applyBorder="1"/>
    <xf numFmtId="0" fontId="6" fillId="11" borderId="45" xfId="1" applyFill="1" applyBorder="1"/>
    <xf numFmtId="0" fontId="6" fillId="11" borderId="46" xfId="1" applyFill="1" applyBorder="1"/>
    <xf numFmtId="0" fontId="10" fillId="11" borderId="23" xfId="1" applyFont="1" applyFill="1" applyBorder="1"/>
    <xf numFmtId="0" fontId="10" fillId="11" borderId="24" xfId="1" applyFont="1" applyFill="1" applyBorder="1"/>
    <xf numFmtId="0" fontId="10" fillId="11" borderId="25" xfId="1" applyFont="1" applyFill="1" applyBorder="1"/>
    <xf numFmtId="0" fontId="10" fillId="11" borderId="27" xfId="1" applyFont="1" applyFill="1" applyBorder="1"/>
    <xf numFmtId="0" fontId="10" fillId="11" borderId="47" xfId="1" applyFont="1" applyFill="1" applyBorder="1"/>
    <xf numFmtId="0" fontId="9" fillId="11" borderId="48" xfId="1" applyFont="1" applyFill="1" applyBorder="1" applyAlignment="1">
      <alignment horizontal="center"/>
    </xf>
    <xf numFmtId="0" fontId="9" fillId="11" borderId="49" xfId="1" applyFont="1" applyFill="1" applyBorder="1" applyAlignment="1">
      <alignment horizontal="center"/>
    </xf>
    <xf numFmtId="0" fontId="9" fillId="11" borderId="18" xfId="1" applyFont="1" applyFill="1" applyBorder="1" applyAlignment="1">
      <alignment horizontal="center"/>
    </xf>
    <xf numFmtId="0" fontId="9" fillId="0" borderId="50" xfId="1" applyFont="1" applyBorder="1" applyAlignment="1">
      <alignment horizontal="center"/>
    </xf>
    <xf numFmtId="0" fontId="10" fillId="11" borderId="51" xfId="1" applyFont="1" applyFill="1" applyBorder="1"/>
    <xf numFmtId="0" fontId="10" fillId="11" borderId="11" xfId="1" applyFont="1" applyFill="1" applyBorder="1"/>
    <xf numFmtId="0" fontId="10" fillId="11" borderId="12" xfId="1" applyFont="1" applyFill="1" applyBorder="1"/>
    <xf numFmtId="14" fontId="10" fillId="13" borderId="20" xfId="1" applyNumberFormat="1" applyFont="1" applyFill="1" applyBorder="1"/>
    <xf numFmtId="0" fontId="10" fillId="11" borderId="52" xfId="1" applyFont="1" applyFill="1" applyBorder="1"/>
    <xf numFmtId="0" fontId="9" fillId="11" borderId="28" xfId="1" applyFont="1" applyFill="1" applyBorder="1" applyAlignment="1">
      <alignment horizontal="center"/>
    </xf>
    <xf numFmtId="0" fontId="9" fillId="11" borderId="53" xfId="1" applyFont="1" applyFill="1" applyBorder="1" applyAlignment="1">
      <alignment horizontal="center"/>
    </xf>
    <xf numFmtId="21" fontId="10" fillId="4" borderId="20" xfId="1" applyNumberFormat="1" applyFont="1" applyFill="1" applyBorder="1"/>
    <xf numFmtId="0" fontId="10" fillId="11" borderId="45" xfId="1" applyFont="1" applyFill="1" applyBorder="1"/>
    <xf numFmtId="0" fontId="10" fillId="11" borderId="46" xfId="1" applyFont="1" applyFill="1" applyBorder="1"/>
    <xf numFmtId="0" fontId="10" fillId="0" borderId="24" xfId="1" applyFont="1" applyBorder="1"/>
    <xf numFmtId="0" fontId="9" fillId="0" borderId="4" xfId="1" applyFont="1" applyBorder="1" applyAlignment="1">
      <alignment horizontal="center"/>
    </xf>
    <xf numFmtId="0" fontId="9" fillId="0" borderId="11" xfId="1" applyFont="1" applyBorder="1" applyAlignment="1">
      <alignment horizontal="center"/>
    </xf>
    <xf numFmtId="0" fontId="9" fillId="0" borderId="12" xfId="1" applyFont="1" applyBorder="1" applyAlignment="1">
      <alignment horizontal="center"/>
    </xf>
    <xf numFmtId="14" fontId="10" fillId="0" borderId="4" xfId="1" applyNumberFormat="1" applyFont="1" applyBorder="1"/>
    <xf numFmtId="0" fontId="10" fillId="4" borderId="11" xfId="1" applyFont="1" applyFill="1" applyBorder="1"/>
    <xf numFmtId="0" fontId="10" fillId="4" borderId="12" xfId="1" applyFont="1" applyFill="1" applyBorder="1"/>
    <xf numFmtId="14" fontId="10" fillId="11" borderId="26" xfId="1" applyNumberFormat="1" applyFont="1" applyFill="1" applyBorder="1"/>
    <xf numFmtId="167" fontId="10" fillId="0" borderId="4" xfId="1" applyNumberFormat="1" applyFont="1" applyBorder="1"/>
    <xf numFmtId="14" fontId="10" fillId="11" borderId="44" xfId="1" applyNumberFormat="1" applyFont="1" applyFill="1" applyBorder="1"/>
    <xf numFmtId="0" fontId="9" fillId="0" borderId="51" xfId="1" applyFont="1" applyBorder="1" applyAlignment="1">
      <alignment horizontal="center"/>
    </xf>
    <xf numFmtId="22" fontId="10" fillId="0" borderId="28" xfId="1" applyNumberFormat="1" applyFont="1" applyBorder="1"/>
    <xf numFmtId="22" fontId="10" fillId="0" borderId="11" xfId="1" applyNumberFormat="1" applyFont="1" applyBorder="1"/>
    <xf numFmtId="22" fontId="10" fillId="11" borderId="26" xfId="1" applyNumberFormat="1" applyFont="1" applyFill="1" applyBorder="1"/>
    <xf numFmtId="22" fontId="10" fillId="11" borderId="44" xfId="1" applyNumberFormat="1" applyFont="1" applyFill="1" applyBorder="1"/>
    <xf numFmtId="14" fontId="10" fillId="11" borderId="45" xfId="1" applyNumberFormat="1" applyFont="1" applyFill="1" applyBorder="1"/>
    <xf numFmtId="14" fontId="6" fillId="0" borderId="0" xfId="1" applyNumberFormat="1"/>
    <xf numFmtId="0" fontId="15" fillId="7" borderId="23" xfId="1" applyFont="1" applyFill="1" applyBorder="1"/>
    <xf numFmtId="0" fontId="6" fillId="7" borderId="24" xfId="1" applyFill="1" applyBorder="1"/>
    <xf numFmtId="0" fontId="6" fillId="7" borderId="25" xfId="1" applyFill="1" applyBorder="1"/>
    <xf numFmtId="0" fontId="15" fillId="6" borderId="44" xfId="1" applyFont="1" applyFill="1" applyBorder="1"/>
    <xf numFmtId="0" fontId="6" fillId="6" borderId="45" xfId="1" applyFill="1" applyBorder="1"/>
    <xf numFmtId="0" fontId="6" fillId="6" borderId="46" xfId="1" applyFill="1" applyBorder="1"/>
    <xf numFmtId="0" fontId="6" fillId="0" borderId="26" xfId="1" applyBorder="1"/>
    <xf numFmtId="0" fontId="15" fillId="0" borderId="51" xfId="1" applyFont="1" applyBorder="1" applyAlignment="1">
      <alignment horizontal="center"/>
    </xf>
    <xf numFmtId="0" fontId="15" fillId="0" borderId="32" xfId="1" applyFont="1" applyBorder="1" applyAlignment="1">
      <alignment horizontal="center"/>
    </xf>
    <xf numFmtId="0" fontId="15" fillId="0" borderId="11" xfId="1" applyFont="1" applyBorder="1" applyAlignment="1">
      <alignment horizontal="center"/>
    </xf>
    <xf numFmtId="0" fontId="15" fillId="0" borderId="12" xfId="1" applyFont="1" applyBorder="1" applyAlignment="1">
      <alignment horizontal="center"/>
    </xf>
    <xf numFmtId="0" fontId="15" fillId="0" borderId="5" xfId="1" applyFont="1" applyBorder="1" applyAlignment="1">
      <alignment horizontal="center"/>
    </xf>
    <xf numFmtId="0" fontId="15" fillId="0" borderId="6" xfId="1" applyFont="1" applyBorder="1"/>
    <xf numFmtId="0" fontId="6" fillId="0" borderId="22" xfId="1" applyBorder="1"/>
    <xf numFmtId="0" fontId="6" fillId="0" borderId="16" xfId="1" applyBorder="1"/>
    <xf numFmtId="0" fontId="6" fillId="0" borderId="10" xfId="1" applyBorder="1"/>
    <xf numFmtId="0" fontId="6" fillId="0" borderId="54" xfId="1" applyBorder="1"/>
    <xf numFmtId="0" fontId="6" fillId="0" borderId="26" xfId="1" applyBorder="1" applyAlignment="1">
      <alignment horizontal="center"/>
    </xf>
    <xf numFmtId="0" fontId="6" fillId="0" borderId="22" xfId="1" applyBorder="1" applyAlignment="1">
      <alignment horizontal="center"/>
    </xf>
    <xf numFmtId="0" fontId="6" fillId="0" borderId="0" xfId="1" applyAlignment="1">
      <alignment horizontal="center"/>
    </xf>
    <xf numFmtId="0" fontId="6" fillId="0" borderId="16" xfId="1" applyBorder="1" applyAlignment="1">
      <alignment horizontal="center"/>
    </xf>
    <xf numFmtId="14" fontId="6" fillId="4" borderId="22" xfId="1" applyNumberFormat="1" applyFill="1" applyBorder="1"/>
    <xf numFmtId="20" fontId="6" fillId="4" borderId="10" xfId="1" applyNumberFormat="1" applyFill="1" applyBorder="1"/>
    <xf numFmtId="22" fontId="6" fillId="4" borderId="55" xfId="1" applyNumberFormat="1" applyFill="1" applyBorder="1"/>
    <xf numFmtId="0" fontId="6" fillId="0" borderId="28" xfId="1" applyBorder="1" applyAlignment="1">
      <alignment horizontal="center"/>
    </xf>
    <xf numFmtId="0" fontId="6" fillId="0" borderId="14" xfId="1" applyBorder="1" applyAlignment="1">
      <alignment horizontal="center"/>
    </xf>
    <xf numFmtId="0" fontId="6" fillId="0" borderId="17" xfId="1" applyBorder="1" applyAlignment="1">
      <alignment horizontal="center"/>
    </xf>
    <xf numFmtId="0" fontId="6" fillId="0" borderId="18" xfId="1" applyBorder="1" applyAlignment="1">
      <alignment horizontal="center"/>
    </xf>
    <xf numFmtId="14" fontId="6" fillId="4" borderId="14" xfId="1" applyNumberFormat="1" applyFill="1" applyBorder="1"/>
    <xf numFmtId="20" fontId="6" fillId="4" borderId="20" xfId="1" applyNumberFormat="1" applyFill="1" applyBorder="1"/>
    <xf numFmtId="22" fontId="6" fillId="4" borderId="56" xfId="1" applyNumberFormat="1" applyFill="1" applyBorder="1"/>
    <xf numFmtId="0" fontId="6" fillId="0" borderId="44" xfId="1" applyBorder="1"/>
    <xf numFmtId="0" fontId="6" fillId="0" borderId="45" xfId="1" applyBorder="1"/>
    <xf numFmtId="0" fontId="6" fillId="0" borderId="46" xfId="1" applyBorder="1"/>
    <xf numFmtId="14" fontId="15" fillId="6" borderId="44" xfId="1" applyNumberFormat="1" applyFont="1" applyFill="1" applyBorder="1"/>
    <xf numFmtId="0" fontId="6" fillId="0" borderId="23" xfId="1" applyBorder="1"/>
    <xf numFmtId="0" fontId="6" fillId="0" borderId="24" xfId="1" applyBorder="1"/>
    <xf numFmtId="0" fontId="6" fillId="0" borderId="25" xfId="1" applyBorder="1"/>
    <xf numFmtId="0" fontId="15" fillId="0" borderId="4" xfId="1" applyFont="1" applyBorder="1" applyAlignment="1">
      <alignment horizontal="center"/>
    </xf>
    <xf numFmtId="14" fontId="6" fillId="0" borderId="57" xfId="1" applyNumberFormat="1" applyBorder="1"/>
    <xf numFmtId="0" fontId="6" fillId="4" borderId="0" xfId="1" applyFill="1"/>
    <xf numFmtId="0" fontId="6" fillId="4" borderId="16" xfId="1" applyFill="1" applyBorder="1"/>
    <xf numFmtId="14" fontId="6" fillId="0" borderId="41" xfId="1" applyNumberFormat="1" applyBorder="1"/>
    <xf numFmtId="0" fontId="6" fillId="4" borderId="14" xfId="1" applyFill="1" applyBorder="1"/>
    <xf numFmtId="0" fontId="6" fillId="4" borderId="17" xfId="1" applyFill="1" applyBorder="1"/>
    <xf numFmtId="0" fontId="6" fillId="4" borderId="18" xfId="1" applyFill="1" applyBorder="1"/>
    <xf numFmtId="21" fontId="6" fillId="0" borderId="57" xfId="1" applyNumberFormat="1" applyBorder="1"/>
    <xf numFmtId="0" fontId="6" fillId="4" borderId="22" xfId="1" applyFill="1" applyBorder="1"/>
    <xf numFmtId="172" fontId="6" fillId="0" borderId="0" xfId="1" applyNumberFormat="1"/>
    <xf numFmtId="173" fontId="6" fillId="0" borderId="0" xfId="1" applyNumberFormat="1"/>
    <xf numFmtId="18" fontId="6" fillId="0" borderId="0" xfId="1" applyNumberFormat="1"/>
    <xf numFmtId="21" fontId="6" fillId="0" borderId="41" xfId="1" applyNumberFormat="1" applyBorder="1"/>
    <xf numFmtId="0" fontId="15" fillId="0" borderId="21" xfId="1" applyFont="1" applyBorder="1" applyAlignment="1">
      <alignment horizontal="center"/>
    </xf>
    <xf numFmtId="0" fontId="15" fillId="0" borderId="11" xfId="1" applyFont="1" applyBorder="1" applyAlignment="1">
      <alignment horizontal="right"/>
    </xf>
    <xf numFmtId="0" fontId="15" fillId="0" borderId="13" xfId="1" applyFont="1" applyBorder="1" applyAlignment="1">
      <alignment horizontal="center"/>
    </xf>
    <xf numFmtId="0" fontId="6" fillId="0" borderId="21" xfId="1" applyBorder="1" applyAlignment="1">
      <alignment horizontal="center"/>
    </xf>
    <xf numFmtId="14" fontId="6" fillId="0" borderId="21" xfId="1" applyNumberFormat="1" applyBorder="1" applyAlignment="1">
      <alignment horizontal="center"/>
    </xf>
    <xf numFmtId="0" fontId="6" fillId="4" borderId="15" xfId="1" applyFill="1" applyBorder="1" applyAlignment="1">
      <alignment horizontal="center"/>
    </xf>
    <xf numFmtId="0" fontId="6" fillId="4" borderId="19" xfId="1" applyFill="1" applyBorder="1" applyAlignment="1">
      <alignment horizontal="center"/>
    </xf>
    <xf numFmtId="0" fontId="6" fillId="4" borderId="21" xfId="1" applyFill="1" applyBorder="1" applyAlignment="1">
      <alignment horizontal="center"/>
    </xf>
    <xf numFmtId="0" fontId="6" fillId="4" borderId="13" xfId="1" applyFill="1" applyBorder="1" applyAlignment="1">
      <alignment horizontal="center"/>
    </xf>
    <xf numFmtId="14" fontId="6" fillId="0" borderId="0" xfId="1" applyNumberFormat="1" applyAlignment="1">
      <alignment horizontal="center"/>
    </xf>
    <xf numFmtId="0" fontId="6" fillId="4" borderId="22" xfId="1" applyFill="1" applyBorder="1" applyAlignment="1">
      <alignment horizontal="center"/>
    </xf>
    <xf numFmtId="0" fontId="6" fillId="4" borderId="10" xfId="1" applyFill="1" applyBorder="1" applyAlignment="1">
      <alignment horizontal="center"/>
    </xf>
    <xf numFmtId="0" fontId="6" fillId="4" borderId="0" xfId="1" applyFill="1" applyAlignment="1">
      <alignment horizontal="center"/>
    </xf>
    <xf numFmtId="0" fontId="6" fillId="4" borderId="16" xfId="1" applyFill="1" applyBorder="1" applyAlignment="1">
      <alignment horizontal="center"/>
    </xf>
    <xf numFmtId="14" fontId="6" fillId="0" borderId="17" xfId="1" applyNumberFormat="1" applyBorder="1" applyAlignment="1">
      <alignment horizontal="center"/>
    </xf>
    <xf numFmtId="0" fontId="6" fillId="4" borderId="14" xfId="1" applyFill="1" applyBorder="1" applyAlignment="1">
      <alignment horizontal="center"/>
    </xf>
    <xf numFmtId="0" fontId="6" fillId="4" borderId="20" xfId="1" applyFill="1" applyBorder="1" applyAlignment="1">
      <alignment horizontal="center"/>
    </xf>
    <xf numFmtId="0" fontId="6" fillId="4" borderId="17" xfId="1" applyFill="1" applyBorder="1" applyAlignment="1">
      <alignment horizontal="center"/>
    </xf>
    <xf numFmtId="0" fontId="6" fillId="4" borderId="18" xfId="1" applyFill="1" applyBorder="1" applyAlignment="1">
      <alignment horizontal="center"/>
    </xf>
    <xf numFmtId="0" fontId="15" fillId="0" borderId="26" xfId="1" applyFont="1" applyBorder="1"/>
    <xf numFmtId="0" fontId="15" fillId="0" borderId="1" xfId="1" applyFont="1" applyBorder="1" applyAlignment="1">
      <alignment horizontal="center"/>
    </xf>
    <xf numFmtId="0" fontId="15" fillId="0" borderId="2" xfId="1" applyFont="1" applyBorder="1" applyAlignment="1">
      <alignment horizontal="center"/>
    </xf>
    <xf numFmtId="0" fontId="15" fillId="0" borderId="3" xfId="1" applyFont="1" applyBorder="1" applyAlignment="1">
      <alignment horizontal="center"/>
    </xf>
    <xf numFmtId="0" fontId="6" fillId="0" borderId="4" xfId="1" applyBorder="1" applyAlignment="1">
      <alignment horizontal="center"/>
    </xf>
    <xf numFmtId="1" fontId="6" fillId="4" borderId="5" xfId="1" applyNumberFormat="1" applyFill="1" applyBorder="1" applyAlignment="1">
      <alignment horizontal="center"/>
    </xf>
    <xf numFmtId="1" fontId="6" fillId="4" borderId="6" xfId="1" applyNumberFormat="1" applyFill="1" applyBorder="1" applyAlignment="1">
      <alignment horizontal="center"/>
    </xf>
    <xf numFmtId="0" fontId="6" fillId="0" borderId="7" xfId="1" applyBorder="1" applyAlignment="1">
      <alignment horizontal="center"/>
    </xf>
    <xf numFmtId="1" fontId="6" fillId="4" borderId="8" xfId="1" applyNumberFormat="1" applyFill="1" applyBorder="1" applyAlignment="1">
      <alignment horizontal="center"/>
    </xf>
    <xf numFmtId="1" fontId="6" fillId="4" borderId="9" xfId="1" applyNumberFormat="1" applyFill="1" applyBorder="1" applyAlignment="1">
      <alignment horizontal="center"/>
    </xf>
    <xf numFmtId="0" fontId="15" fillId="0" borderId="0" xfId="1" applyFont="1"/>
    <xf numFmtId="0" fontId="15" fillId="0" borderId="17" xfId="1" applyFont="1" applyBorder="1"/>
    <xf numFmtId="0" fontId="15" fillId="0" borderId="14" xfId="1" applyFont="1" applyBorder="1" applyAlignment="1">
      <alignment horizontal="right"/>
    </xf>
    <xf numFmtId="14" fontId="6" fillId="4" borderId="0" xfId="1" applyNumberFormat="1" applyFill="1"/>
    <xf numFmtId="14" fontId="6" fillId="0" borderId="16" xfId="1" applyNumberFormat="1" applyBorder="1"/>
    <xf numFmtId="0" fontId="15" fillId="0" borderId="17" xfId="1" applyFont="1" applyBorder="1" applyAlignment="1">
      <alignment horizontal="right"/>
    </xf>
    <xf numFmtId="0" fontId="6" fillId="0" borderId="17" xfId="1" applyBorder="1"/>
    <xf numFmtId="0" fontId="6" fillId="0" borderId="0" xfId="1" applyAlignment="1">
      <alignment horizontal="left"/>
    </xf>
    <xf numFmtId="14" fontId="6" fillId="0" borderId="26" xfId="1" applyNumberFormat="1" applyBorder="1"/>
    <xf numFmtId="174" fontId="6" fillId="4" borderId="0" xfId="1" applyNumberFormat="1" applyFill="1"/>
    <xf numFmtId="175" fontId="6" fillId="0" borderId="0" xfId="1" applyNumberFormat="1"/>
    <xf numFmtId="0" fontId="6" fillId="13" borderId="0" xfId="1" applyFill="1"/>
    <xf numFmtId="175" fontId="6" fillId="0" borderId="44" xfId="1" applyNumberFormat="1" applyBorder="1"/>
    <xf numFmtId="20" fontId="6" fillId="7" borderId="24" xfId="1" applyNumberFormat="1" applyFill="1" applyBorder="1"/>
    <xf numFmtId="0" fontId="15" fillId="6" borderId="26" xfId="1" applyFont="1" applyFill="1" applyBorder="1"/>
    <xf numFmtId="0" fontId="6" fillId="6" borderId="0" xfId="1" applyFill="1"/>
    <xf numFmtId="0" fontId="6" fillId="6" borderId="27" xfId="1" applyFill="1" applyBorder="1"/>
    <xf numFmtId="20" fontId="6" fillId="0" borderId="0" xfId="1" applyNumberFormat="1"/>
    <xf numFmtId="0" fontId="6" fillId="0" borderId="4" xfId="1" applyBorder="1"/>
    <xf numFmtId="0" fontId="6" fillId="0" borderId="58" xfId="1" applyBorder="1"/>
    <xf numFmtId="20" fontId="6" fillId="0" borderId="21" xfId="1" applyNumberFormat="1" applyBorder="1" applyAlignment="1">
      <alignment horizontal="center"/>
    </xf>
    <xf numFmtId="20" fontId="6" fillId="4" borderId="19" xfId="1" applyNumberFormat="1" applyFill="1" applyBorder="1" applyAlignment="1">
      <alignment horizontal="center"/>
    </xf>
    <xf numFmtId="0" fontId="6" fillId="0" borderId="57" xfId="1" applyBorder="1"/>
    <xf numFmtId="20" fontId="6" fillId="0" borderId="0" xfId="1" applyNumberFormat="1" applyAlignment="1">
      <alignment horizontal="center"/>
    </xf>
    <xf numFmtId="20" fontId="6" fillId="4" borderId="10" xfId="1" applyNumberFormat="1" applyFill="1" applyBorder="1" applyAlignment="1">
      <alignment horizontal="center"/>
    </xf>
    <xf numFmtId="0" fontId="6" fillId="0" borderId="41" xfId="1" applyBorder="1"/>
    <xf numFmtId="20" fontId="6" fillId="0" borderId="17" xfId="1" applyNumberFormat="1" applyBorder="1" applyAlignment="1">
      <alignment horizontal="center"/>
    </xf>
    <xf numFmtId="20" fontId="6" fillId="4" borderId="20" xfId="1" applyNumberFormat="1" applyFill="1" applyBorder="1" applyAlignment="1">
      <alignment horizontal="center"/>
    </xf>
    <xf numFmtId="0" fontId="15" fillId="0" borderId="32" xfId="1" applyFont="1" applyBorder="1"/>
    <xf numFmtId="176" fontId="6" fillId="4" borderId="5" xfId="1" applyNumberFormat="1" applyFill="1" applyBorder="1" applyAlignment="1">
      <alignment horizontal="center"/>
    </xf>
    <xf numFmtId="0" fontId="1" fillId="0" borderId="30" xfId="0" applyFont="1" applyBorder="1" applyAlignment="1">
      <alignment horizontal="center"/>
    </xf>
    <xf numFmtId="0" fontId="1" fillId="0" borderId="32" xfId="0" applyFont="1" applyBorder="1" applyAlignment="1">
      <alignment horizontal="center"/>
    </xf>
    <xf numFmtId="0" fontId="1" fillId="0" borderId="34" xfId="0" applyFont="1" applyBorder="1" applyAlignment="1">
      <alignment horizontal="center"/>
    </xf>
    <xf numFmtId="0" fontId="19" fillId="0" borderId="0" xfId="1" applyFont="1" applyAlignment="1">
      <alignment horizontal="left" vertical="center" wrapText="1"/>
    </xf>
    <xf numFmtId="0" fontId="1" fillId="6" borderId="0" xfId="0" applyFont="1" applyFill="1" applyAlignment="1">
      <alignment horizontal="left" wrapText="1"/>
    </xf>
    <xf numFmtId="0" fontId="1" fillId="5" borderId="0" xfId="0" applyFont="1" applyFill="1" applyAlignment="1">
      <alignment wrapText="1"/>
    </xf>
    <xf numFmtId="0" fontId="1" fillId="6" borderId="0" xfId="0" applyFont="1" applyFill="1" applyAlignment="1">
      <alignment horizontal="left"/>
    </xf>
    <xf numFmtId="0" fontId="1" fillId="0" borderId="23" xfId="0" applyFont="1" applyBorder="1" applyAlignment="1">
      <alignment horizontal="center"/>
    </xf>
    <xf numFmtId="0" fontId="1" fillId="0" borderId="25" xfId="0" applyFont="1" applyBorder="1" applyAlignment="1">
      <alignment horizontal="center"/>
    </xf>
    <xf numFmtId="0" fontId="1" fillId="2" borderId="26" xfId="0" applyFont="1" applyFill="1" applyBorder="1" applyAlignment="1">
      <alignment horizontal="center"/>
    </xf>
    <xf numFmtId="0" fontId="1" fillId="2" borderId="27" xfId="0" applyFont="1" applyFill="1" applyBorder="1" applyAlignment="1">
      <alignment horizontal="center"/>
    </xf>
    <xf numFmtId="0" fontId="1" fillId="2" borderId="44" xfId="0" applyFont="1" applyFill="1" applyBorder="1" applyAlignment="1">
      <alignment horizontal="center"/>
    </xf>
    <xf numFmtId="0" fontId="1" fillId="2" borderId="46" xfId="0" applyFont="1" applyFill="1" applyBorder="1" applyAlignment="1">
      <alignment horizontal="center"/>
    </xf>
    <xf numFmtId="0" fontId="10" fillId="0" borderId="32" xfId="1" applyFont="1" applyBorder="1" applyAlignment="1">
      <alignment horizontal="left"/>
    </xf>
    <xf numFmtId="0" fontId="10" fillId="0" borderId="11" xfId="1" applyFont="1" applyBorder="1" applyAlignment="1">
      <alignment horizontal="left"/>
    </xf>
    <xf numFmtId="0" fontId="10" fillId="0" borderId="33" xfId="1" applyFont="1" applyBorder="1" applyAlignment="1">
      <alignment horizontal="left"/>
    </xf>
    <xf numFmtId="0" fontId="12" fillId="10" borderId="0" xfId="1" applyFont="1" applyFill="1" applyAlignment="1">
      <alignment horizontal="left"/>
    </xf>
    <xf numFmtId="0" fontId="10" fillId="11" borderId="26" xfId="1" applyFont="1" applyFill="1" applyBorder="1" applyAlignment="1">
      <alignment horizontal="left" vertical="top" wrapText="1"/>
    </xf>
    <xf numFmtId="0" fontId="10" fillId="11" borderId="0" xfId="1" applyFont="1" applyFill="1" applyAlignment="1">
      <alignment horizontal="left" vertical="top" wrapText="1"/>
    </xf>
    <xf numFmtId="0" fontId="10" fillId="11" borderId="27" xfId="1" applyFont="1" applyFill="1" applyBorder="1" applyAlignment="1">
      <alignment horizontal="left" vertical="top" wrapText="1"/>
    </xf>
    <xf numFmtId="0" fontId="10" fillId="0" borderId="38" xfId="1" applyFont="1" applyBorder="1" applyAlignment="1">
      <alignment horizontal="left"/>
    </xf>
    <xf numFmtId="0" fontId="10" fillId="0" borderId="39" xfId="1" applyFont="1" applyBorder="1" applyAlignment="1">
      <alignment horizontal="left"/>
    </xf>
    <xf numFmtId="0" fontId="10" fillId="0" borderId="40" xfId="1" applyFont="1" applyBorder="1" applyAlignment="1">
      <alignment horizontal="left"/>
    </xf>
    <xf numFmtId="0" fontId="10" fillId="0" borderId="14" xfId="1" applyFont="1" applyBorder="1" applyAlignment="1">
      <alignment horizontal="left"/>
    </xf>
    <xf numFmtId="0" fontId="10" fillId="0" borderId="17" xfId="1" applyFont="1" applyBorder="1" applyAlignment="1">
      <alignment horizontal="left"/>
    </xf>
    <xf numFmtId="0" fontId="10" fillId="0" borderId="42" xfId="1" applyFont="1" applyBorder="1" applyAlignment="1">
      <alignment horizontal="left"/>
    </xf>
    <xf numFmtId="171" fontId="10" fillId="4" borderId="5" xfId="1" applyNumberFormat="1" applyFont="1" applyFill="1" applyBorder="1" applyAlignment="1">
      <alignment horizontal="center"/>
    </xf>
    <xf numFmtId="0" fontId="10" fillId="0" borderId="32" xfId="1" applyFont="1" applyBorder="1" applyAlignment="1">
      <alignment horizontal="left" vertical="center" wrapText="1"/>
    </xf>
    <xf numFmtId="0" fontId="10" fillId="0" borderId="11" xfId="1" applyFont="1" applyBorder="1" applyAlignment="1">
      <alignment horizontal="left" vertical="center" wrapText="1"/>
    </xf>
    <xf numFmtId="0" fontId="10" fillId="0" borderId="33" xfId="1" applyFont="1" applyBorder="1" applyAlignment="1">
      <alignment horizontal="left" vertical="center" wrapText="1"/>
    </xf>
    <xf numFmtId="0" fontId="10" fillId="0" borderId="34" xfId="1" quotePrefix="1" applyFont="1" applyBorder="1" applyAlignment="1">
      <alignment horizontal="left" vertical="center"/>
    </xf>
    <xf numFmtId="0" fontId="10" fillId="0" borderId="43" xfId="1" quotePrefix="1" applyFont="1" applyBorder="1" applyAlignment="1">
      <alignment horizontal="left" vertical="center"/>
    </xf>
    <xf numFmtId="0" fontId="10" fillId="0" borderId="35" xfId="1" quotePrefix="1" applyFont="1" applyBorder="1" applyAlignment="1">
      <alignment horizontal="left" vertical="center"/>
    </xf>
    <xf numFmtId="0" fontId="9" fillId="10" borderId="26" xfId="1" applyFont="1" applyFill="1" applyBorder="1" applyAlignment="1">
      <alignment horizontal="left"/>
    </xf>
    <xf numFmtId="0" fontId="9" fillId="10" borderId="0" xfId="1" applyFont="1" applyFill="1" applyAlignment="1">
      <alignment horizontal="left"/>
    </xf>
    <xf numFmtId="0" fontId="9" fillId="10" borderId="27" xfId="1" applyFont="1" applyFill="1" applyBorder="1" applyAlignment="1">
      <alignment horizontal="left"/>
    </xf>
    <xf numFmtId="0" fontId="9" fillId="0" borderId="5" xfId="1" applyFont="1" applyBorder="1" applyAlignment="1">
      <alignment horizontal="center"/>
    </xf>
  </cellXfs>
  <cellStyles count="7">
    <cellStyle name="Comma_loan" xfId="2" xr:uid="{00000000-0005-0000-0000-000000000000}"/>
    <cellStyle name="Dezimal 2" xfId="3" xr:uid="{00000000-0005-0000-0000-000001000000}"/>
    <cellStyle name="Normal_loan" xfId="4" xr:uid="{00000000-0005-0000-0000-000002000000}"/>
    <cellStyle name="Standard" xfId="0" builtinId="0"/>
    <cellStyle name="Standard 2" xfId="1" xr:uid="{00000000-0005-0000-0000-000004000000}"/>
    <cellStyle name="Standard 3" xfId="5" xr:uid="{00000000-0005-0000-0000-000005000000}"/>
    <cellStyle name="Title" xfId="6" xr:uid="{00000000-0005-0000-0000-000006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microsoft.com/office/2017/10/relationships/person" Target="persons/person.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2</xdr:col>
      <xdr:colOff>742950</xdr:colOff>
      <xdr:row>8</xdr:row>
      <xdr:rowOff>123824</xdr:rowOff>
    </xdr:from>
    <xdr:ext cx="4313149" cy="1507006"/>
    <xdr:sp macro="" textlink="">
      <xdr:nvSpPr>
        <xdr:cNvPr id="2" name="Rechteck 1">
          <a:extLst>
            <a:ext uri="{FF2B5EF4-FFF2-40B4-BE49-F238E27FC236}">
              <a16:creationId xmlns:a16="http://schemas.microsoft.com/office/drawing/2014/main" id="{00000000-0008-0000-0000-000002000000}"/>
            </a:ext>
          </a:extLst>
        </xdr:cNvPr>
        <xdr:cNvSpPr/>
      </xdr:nvSpPr>
      <xdr:spPr>
        <a:xfrm rot="18995149">
          <a:off x="1914525" y="1752599"/>
          <a:ext cx="4313149" cy="1507006"/>
        </a:xfrm>
        <a:prstGeom prst="rect">
          <a:avLst/>
        </a:prstGeom>
        <a:noFill/>
        <a:effectLst/>
      </xdr:spPr>
      <xdr:txBody>
        <a:bodyPr wrap="square" lIns="91440" tIns="45720" rIns="91440" bIns="45720">
          <a:no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de-DE" sz="8800" b="1" cap="none" spc="0">
              <a:ln w="11430"/>
              <a:solidFill>
                <a:schemeClr val="accent6">
                  <a:alpha val="46000"/>
                </a:schemeClr>
              </a:solidFill>
              <a:effectLst>
                <a:outerShdw blurRad="80000" dist="40000" dir="5040000" algn="tl">
                  <a:srgbClr val="000000">
                    <a:alpha val="30000"/>
                  </a:srgbClr>
                </a:outerShdw>
              </a:effectLst>
            </a:rPr>
            <a:t>Lösung</a:t>
          </a:r>
        </a:p>
      </xdr:txBody>
    </xdr:sp>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47625</xdr:colOff>
          <xdr:row>14</xdr:row>
          <xdr:rowOff>123825</xdr:rowOff>
        </xdr:from>
        <xdr:to>
          <xdr:col>2</xdr:col>
          <xdr:colOff>981075</xdr:colOff>
          <xdr:row>24</xdr:row>
          <xdr:rowOff>114300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11</xdr:col>
      <xdr:colOff>576940</xdr:colOff>
      <xdr:row>119</xdr:row>
      <xdr:rowOff>10885</xdr:rowOff>
    </xdr:from>
    <xdr:to>
      <xdr:col>12</xdr:col>
      <xdr:colOff>5248276</xdr:colOff>
      <xdr:row>186</xdr:row>
      <xdr:rowOff>37513</xdr:rowOff>
    </xdr:to>
    <xdr:grpSp>
      <xdr:nvGrpSpPr>
        <xdr:cNvPr id="2" name="Gruppieren 1">
          <a:extLst>
            <a:ext uri="{FF2B5EF4-FFF2-40B4-BE49-F238E27FC236}">
              <a16:creationId xmlns:a16="http://schemas.microsoft.com/office/drawing/2014/main" id="{00000000-0008-0000-0200-000002000000}"/>
            </a:ext>
          </a:extLst>
        </xdr:cNvPr>
        <xdr:cNvGrpSpPr/>
      </xdr:nvGrpSpPr>
      <xdr:grpSpPr>
        <a:xfrm>
          <a:off x="15150190" y="22653171"/>
          <a:ext cx="7107015" cy="11116449"/>
          <a:chOff x="15569290" y="22785160"/>
          <a:chExt cx="7166886" cy="11513778"/>
        </a:xfrm>
      </xdr:grpSpPr>
      <xdr:grpSp>
        <xdr:nvGrpSpPr>
          <xdr:cNvPr id="3" name="Gruppieren 2">
            <a:extLst>
              <a:ext uri="{FF2B5EF4-FFF2-40B4-BE49-F238E27FC236}">
                <a16:creationId xmlns:a16="http://schemas.microsoft.com/office/drawing/2014/main" id="{00000000-0008-0000-0200-000003000000}"/>
              </a:ext>
            </a:extLst>
          </xdr:cNvPr>
          <xdr:cNvGrpSpPr/>
        </xdr:nvGrpSpPr>
        <xdr:grpSpPr>
          <a:xfrm>
            <a:off x="15569290" y="22785160"/>
            <a:ext cx="5552169" cy="10905317"/>
            <a:chOff x="15569290" y="22785160"/>
            <a:chExt cx="5552169" cy="10905317"/>
          </a:xfrm>
        </xdr:grpSpPr>
        <xdr:pic>
          <xdr:nvPicPr>
            <xdr:cNvPr id="5" name="Grafik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5569290" y="22785160"/>
              <a:ext cx="5552169" cy="3437165"/>
            </a:xfrm>
            <a:prstGeom prst="rect">
              <a:avLst/>
            </a:prstGeom>
          </xdr:spPr>
        </xdr:pic>
        <xdr:pic>
          <xdr:nvPicPr>
            <xdr:cNvPr id="6" name="Grafik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a:stretch>
              <a:fillRect/>
            </a:stretch>
          </xdr:blipFill>
          <xdr:spPr>
            <a:xfrm>
              <a:off x="15592425" y="26174701"/>
              <a:ext cx="5499568" cy="7515776"/>
            </a:xfrm>
            <a:prstGeom prst="rect">
              <a:avLst/>
            </a:prstGeom>
          </xdr:spPr>
        </xdr:pic>
      </xdr:grpSp>
      <xdr:sp macro="" textlink="">
        <xdr:nvSpPr>
          <xdr:cNvPr id="4" name="Textfeld 3">
            <a:extLst>
              <a:ext uri="{FF2B5EF4-FFF2-40B4-BE49-F238E27FC236}">
                <a16:creationId xmlns:a16="http://schemas.microsoft.com/office/drawing/2014/main" id="{00000000-0008-0000-0200-000004000000}"/>
              </a:ext>
            </a:extLst>
          </xdr:cNvPr>
          <xdr:cNvSpPr txBox="1"/>
        </xdr:nvSpPr>
        <xdr:spPr>
          <a:xfrm>
            <a:off x="15592426" y="33689925"/>
            <a:ext cx="71437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100" u="sng"/>
              <a:t>Quelle</a:t>
            </a:r>
            <a:r>
              <a:rPr lang="de-DE" sz="1100"/>
              <a:t>:</a:t>
            </a:r>
          </a:p>
          <a:p>
            <a:r>
              <a:rPr lang="de-DE" sz="1100"/>
              <a:t>http://www.at-exceltraining.de/index.php/fragen-a-anworten-zu-excel/1-datum-und-uhrzeit/41-die-funktion-datedif.html</a:t>
            </a:r>
          </a:p>
          <a:p>
            <a:r>
              <a:rPr lang="de-DE" sz="1100"/>
              <a:t>Abgerufen am 21.03.2014</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kumente%20und%20Einstellungen\mayestef\Desktop\Tex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esktop\SFE_&#220;berarbeitung\Excel-Dateien\04_H&#228;ufigkeiten_Lageparameter_L&#246;su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hne Solver"/>
      <sheetName val="mit Solver"/>
    </sheetNames>
    <sheetDataSet>
      <sheetData sheetId="0" refreshError="1"/>
      <sheetData sheetId="1">
        <row r="2">
          <cell r="F2">
            <v>1</v>
          </cell>
        </row>
        <row r="3">
          <cell r="F3">
            <v>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Überblick"/>
      <sheetName val="Histogramm"/>
      <sheetName val="Summewenn &amp; Zählenwenn"/>
      <sheetName val="Div. Funktionen"/>
      <sheetName val="Aufgabe1"/>
      <sheetName val="Aufgabe2"/>
      <sheetName val="Aufgabe3"/>
      <sheetName val="Aufgabe4"/>
      <sheetName val="Aufgabe 5"/>
    </sheetNames>
    <sheetDataSet>
      <sheetData sheetId="0" refreshError="1"/>
      <sheetData sheetId="1" refreshError="1"/>
      <sheetData sheetId="2">
        <row r="47">
          <cell r="B47" t="str">
            <v>Montag</v>
          </cell>
          <cell r="D47">
            <v>5</v>
          </cell>
          <cell r="E47" t="str">
            <v>ja</v>
          </cell>
        </row>
        <row r="48">
          <cell r="B48" t="str">
            <v>Donnerstag</v>
          </cell>
          <cell r="D48">
            <v>2</v>
          </cell>
          <cell r="E48" t="str">
            <v>nein</v>
          </cell>
        </row>
        <row r="49">
          <cell r="B49" t="str">
            <v>Donnerstag</v>
          </cell>
          <cell r="D49">
            <v>3</v>
          </cell>
          <cell r="E49" t="str">
            <v>nein</v>
          </cell>
        </row>
        <row r="50">
          <cell r="B50" t="str">
            <v>Freitag</v>
          </cell>
          <cell r="D50">
            <v>4</v>
          </cell>
          <cell r="E50" t="str">
            <v>ja</v>
          </cell>
        </row>
        <row r="51">
          <cell r="B51" t="str">
            <v>Samstag</v>
          </cell>
          <cell r="D51">
            <v>3</v>
          </cell>
          <cell r="E51" t="str">
            <v>ja</v>
          </cell>
        </row>
        <row r="52">
          <cell r="B52" t="str">
            <v>Dienstag</v>
          </cell>
          <cell r="D52">
            <v>2</v>
          </cell>
          <cell r="E52" t="str">
            <v>nein</v>
          </cell>
        </row>
        <row r="53">
          <cell r="B53" t="str">
            <v>Donnerstag</v>
          </cell>
          <cell r="D53">
            <v>2.5</v>
          </cell>
          <cell r="E53" t="str">
            <v>nein</v>
          </cell>
        </row>
      </sheetData>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tabSelected="1" zoomScale="80" zoomScaleNormal="80" workbookViewId="0">
      <selection activeCell="B1" sqref="B1"/>
    </sheetView>
  </sheetViews>
  <sheetFormatPr baseColWidth="10" defaultColWidth="11.5703125" defaultRowHeight="12.75" x14ac:dyDescent="0.2"/>
  <cols>
    <col min="1" max="1" width="11.5703125" style="50"/>
    <col min="2" max="2" width="5.5703125" style="50" customWidth="1"/>
    <col min="3" max="16384" width="11.5703125" style="50"/>
  </cols>
  <sheetData>
    <row r="2" spans="2:21" ht="18" x14ac:dyDescent="0.2">
      <c r="B2" s="47" t="s">
        <v>68</v>
      </c>
      <c r="C2" s="48"/>
      <c r="D2" s="48"/>
      <c r="E2" s="48"/>
      <c r="F2" s="48"/>
      <c r="G2" s="48"/>
      <c r="H2" s="48"/>
      <c r="I2" s="48"/>
      <c r="J2" s="49"/>
    </row>
    <row r="3" spans="2:21" ht="20.25" x14ac:dyDescent="0.2">
      <c r="B3" s="51"/>
      <c r="C3" s="52"/>
      <c r="D3" s="52"/>
      <c r="E3" s="52"/>
      <c r="F3" s="52"/>
      <c r="G3" s="52"/>
      <c r="H3" s="52"/>
      <c r="I3" s="52"/>
      <c r="J3" s="53"/>
      <c r="L3" s="295" t="s">
        <v>194</v>
      </c>
      <c r="M3" s="295"/>
      <c r="N3" s="295"/>
      <c r="O3" s="295"/>
      <c r="P3" s="295"/>
      <c r="Q3" s="295"/>
      <c r="R3" s="295"/>
      <c r="S3" s="295"/>
      <c r="T3" s="295"/>
      <c r="U3" s="295"/>
    </row>
    <row r="4" spans="2:21" ht="15.75" x14ac:dyDescent="0.2">
      <c r="B4" s="54" t="s">
        <v>69</v>
      </c>
      <c r="C4" s="55"/>
      <c r="D4" s="55"/>
      <c r="E4" s="55"/>
      <c r="F4" s="55"/>
      <c r="G4" s="55"/>
      <c r="H4" s="55"/>
      <c r="I4" s="52"/>
      <c r="J4" s="53"/>
      <c r="L4" s="295"/>
      <c r="M4" s="295"/>
      <c r="N4" s="295"/>
      <c r="O4" s="295"/>
      <c r="P4" s="295"/>
      <c r="Q4" s="295"/>
      <c r="R4" s="295"/>
      <c r="S4" s="295"/>
      <c r="T4" s="295"/>
      <c r="U4" s="295"/>
    </row>
    <row r="5" spans="2:21" ht="15" x14ac:dyDescent="0.2">
      <c r="B5" s="56"/>
      <c r="C5" s="55"/>
      <c r="D5" s="55"/>
      <c r="E5" s="55"/>
      <c r="F5" s="55"/>
      <c r="G5" s="55"/>
      <c r="H5" s="55"/>
      <c r="I5" s="52"/>
      <c r="J5" s="53"/>
      <c r="L5" s="295"/>
      <c r="M5" s="295"/>
      <c r="N5" s="295"/>
      <c r="O5" s="295"/>
      <c r="P5" s="295"/>
      <c r="Q5" s="295"/>
      <c r="R5" s="295"/>
      <c r="S5" s="295"/>
      <c r="T5" s="295"/>
      <c r="U5" s="295"/>
    </row>
    <row r="6" spans="2:21" ht="15.75" x14ac:dyDescent="0.2">
      <c r="B6" s="54" t="s">
        <v>187</v>
      </c>
      <c r="C6" s="55"/>
      <c r="D6" s="55"/>
      <c r="E6" s="55"/>
      <c r="F6" s="55"/>
      <c r="G6" s="55"/>
      <c r="H6" s="55"/>
      <c r="I6" s="52"/>
      <c r="J6" s="53"/>
      <c r="L6" s="295"/>
      <c r="M6" s="295"/>
      <c r="N6" s="295"/>
      <c r="O6" s="295"/>
      <c r="P6" s="295"/>
      <c r="Q6" s="295"/>
      <c r="R6" s="295"/>
      <c r="S6" s="295"/>
      <c r="T6" s="295"/>
      <c r="U6" s="295"/>
    </row>
    <row r="7" spans="2:21" ht="15" x14ac:dyDescent="0.2">
      <c r="B7" s="56"/>
      <c r="C7" s="55"/>
      <c r="D7" s="55"/>
      <c r="E7" s="55"/>
      <c r="F7" s="55"/>
      <c r="G7" s="55"/>
      <c r="H7" s="55"/>
      <c r="I7" s="52"/>
      <c r="J7" s="53"/>
      <c r="L7" s="295"/>
      <c r="M7" s="295"/>
      <c r="N7" s="295"/>
      <c r="O7" s="295"/>
      <c r="P7" s="295"/>
      <c r="Q7" s="295"/>
      <c r="R7" s="295"/>
      <c r="S7" s="295"/>
      <c r="T7" s="295"/>
      <c r="U7" s="295"/>
    </row>
    <row r="8" spans="2:21" ht="15" x14ac:dyDescent="0.2">
      <c r="B8" s="56"/>
      <c r="C8" s="55"/>
      <c r="D8" s="55"/>
      <c r="E8" s="55"/>
      <c r="F8" s="55"/>
      <c r="G8" s="55"/>
      <c r="H8" s="55"/>
      <c r="I8" s="52"/>
      <c r="J8" s="53"/>
      <c r="L8" s="295"/>
      <c r="M8" s="295"/>
      <c r="N8" s="295"/>
      <c r="O8" s="295"/>
      <c r="P8" s="295"/>
      <c r="Q8" s="295"/>
      <c r="R8" s="295"/>
      <c r="S8" s="295"/>
      <c r="T8" s="295"/>
      <c r="U8" s="295"/>
    </row>
    <row r="9" spans="2:21" ht="15" x14ac:dyDescent="0.2">
      <c r="B9" s="56"/>
      <c r="C9" s="55"/>
      <c r="D9" s="55"/>
      <c r="E9" s="55"/>
      <c r="F9" s="55"/>
      <c r="G9" s="55"/>
      <c r="H9" s="55"/>
      <c r="I9" s="52"/>
      <c r="J9" s="53"/>
      <c r="L9" s="295"/>
      <c r="M9" s="295"/>
      <c r="N9" s="295"/>
      <c r="O9" s="295"/>
      <c r="P9" s="295"/>
      <c r="Q9" s="295"/>
      <c r="R9" s="295"/>
      <c r="S9" s="295"/>
      <c r="T9" s="295"/>
      <c r="U9" s="295"/>
    </row>
    <row r="10" spans="2:21" ht="15.75" x14ac:dyDescent="0.25">
      <c r="B10" s="57"/>
      <c r="C10" s="55"/>
      <c r="D10" s="55"/>
      <c r="E10" s="55"/>
      <c r="F10" s="55"/>
      <c r="G10" s="55"/>
      <c r="H10" s="55"/>
      <c r="I10" s="52"/>
      <c r="J10" s="53"/>
      <c r="L10" s="295"/>
      <c r="M10" s="295"/>
      <c r="N10" s="295"/>
      <c r="O10" s="295"/>
      <c r="P10" s="295"/>
      <c r="Q10" s="295"/>
      <c r="R10" s="295"/>
      <c r="S10" s="295"/>
      <c r="T10" s="295"/>
      <c r="U10" s="295"/>
    </row>
    <row r="11" spans="2:21" ht="15" x14ac:dyDescent="0.2">
      <c r="B11" s="56"/>
      <c r="C11" s="55"/>
      <c r="D11" s="55"/>
      <c r="E11" s="55"/>
      <c r="F11" s="55"/>
      <c r="G11" s="55"/>
      <c r="H11" s="55"/>
      <c r="I11" s="52"/>
      <c r="J11" s="53"/>
      <c r="L11" s="295"/>
      <c r="M11" s="295"/>
      <c r="N11" s="295"/>
      <c r="O11" s="295"/>
      <c r="P11" s="295"/>
      <c r="Q11" s="295"/>
      <c r="R11" s="295"/>
      <c r="S11" s="295"/>
      <c r="T11" s="295"/>
      <c r="U11" s="295"/>
    </row>
    <row r="12" spans="2:21" ht="15.75" x14ac:dyDescent="0.25">
      <c r="B12" s="57"/>
      <c r="C12" s="55"/>
      <c r="D12" s="55"/>
      <c r="E12" s="55"/>
      <c r="F12" s="55"/>
      <c r="G12" s="55"/>
      <c r="H12" s="55"/>
      <c r="I12" s="52"/>
      <c r="J12" s="53"/>
      <c r="L12" s="295"/>
      <c r="M12" s="295"/>
      <c r="N12" s="295"/>
      <c r="O12" s="295"/>
      <c r="P12" s="295"/>
      <c r="Q12" s="295"/>
      <c r="R12" s="295"/>
      <c r="S12" s="295"/>
      <c r="T12" s="295"/>
      <c r="U12" s="295"/>
    </row>
    <row r="13" spans="2:21" ht="15" x14ac:dyDescent="0.2">
      <c r="B13" s="56"/>
      <c r="C13" s="55"/>
      <c r="D13" s="55"/>
      <c r="E13" s="55"/>
      <c r="F13" s="55"/>
      <c r="G13" s="55"/>
      <c r="H13" s="55"/>
      <c r="I13" s="52"/>
      <c r="J13" s="53"/>
      <c r="L13" s="295"/>
      <c r="M13" s="295"/>
      <c r="N13" s="295"/>
      <c r="O13" s="295"/>
      <c r="P13" s="295"/>
      <c r="Q13" s="295"/>
      <c r="R13" s="295"/>
      <c r="S13" s="295"/>
      <c r="T13" s="295"/>
      <c r="U13" s="295"/>
    </row>
    <row r="14" spans="2:21" ht="15.75" x14ac:dyDescent="0.25">
      <c r="B14" s="57"/>
      <c r="C14" s="55"/>
      <c r="D14" s="55"/>
      <c r="E14" s="55"/>
      <c r="F14" s="55"/>
      <c r="G14" s="55"/>
      <c r="H14" s="55"/>
      <c r="I14" s="52"/>
      <c r="J14" s="53"/>
      <c r="L14" s="295"/>
      <c r="M14" s="295"/>
      <c r="N14" s="295"/>
      <c r="O14" s="295"/>
      <c r="P14" s="295"/>
      <c r="Q14" s="295"/>
      <c r="R14" s="295"/>
      <c r="S14" s="295"/>
      <c r="T14" s="295"/>
      <c r="U14" s="295"/>
    </row>
    <row r="15" spans="2:21" ht="15" x14ac:dyDescent="0.2">
      <c r="B15" s="56"/>
      <c r="C15" s="55"/>
      <c r="D15" s="55"/>
      <c r="E15" s="55"/>
      <c r="F15" s="55"/>
      <c r="G15" s="55"/>
      <c r="H15" s="55"/>
      <c r="I15" s="52"/>
      <c r="J15" s="53"/>
      <c r="L15" s="295"/>
      <c r="M15" s="295"/>
      <c r="N15" s="295"/>
      <c r="O15" s="295"/>
      <c r="P15" s="295"/>
      <c r="Q15" s="295"/>
      <c r="R15" s="295"/>
      <c r="S15" s="295"/>
      <c r="T15" s="295"/>
      <c r="U15" s="295"/>
    </row>
    <row r="16" spans="2:21" x14ac:dyDescent="0.2">
      <c r="B16" s="58"/>
      <c r="C16" s="52"/>
      <c r="D16" s="52"/>
      <c r="E16" s="52"/>
      <c r="F16" s="52"/>
      <c r="G16" s="52"/>
      <c r="H16" s="52"/>
      <c r="I16" s="52"/>
      <c r="J16" s="53"/>
      <c r="L16" s="295"/>
      <c r="M16" s="295"/>
      <c r="N16" s="295"/>
      <c r="O16" s="295"/>
      <c r="P16" s="295"/>
      <c r="Q16" s="295"/>
      <c r="R16" s="295"/>
      <c r="S16" s="295"/>
      <c r="T16" s="295"/>
      <c r="U16" s="295"/>
    </row>
    <row r="17" spans="2:21" x14ac:dyDescent="0.2">
      <c r="B17" s="58"/>
      <c r="C17" s="52"/>
      <c r="D17" s="52"/>
      <c r="E17" s="52"/>
      <c r="F17" s="52"/>
      <c r="G17" s="52"/>
      <c r="H17" s="52"/>
      <c r="I17" s="52"/>
      <c r="J17" s="53"/>
      <c r="L17" s="295"/>
      <c r="M17" s="295"/>
      <c r="N17" s="295"/>
      <c r="O17" s="295"/>
      <c r="P17" s="295"/>
      <c r="Q17" s="295"/>
      <c r="R17" s="295"/>
      <c r="S17" s="295"/>
      <c r="T17" s="295"/>
      <c r="U17" s="295"/>
    </row>
    <row r="18" spans="2:21" ht="18" x14ac:dyDescent="0.2">
      <c r="B18" s="59" t="s">
        <v>70</v>
      </c>
      <c r="C18" s="60"/>
      <c r="D18" s="60"/>
      <c r="E18" s="60"/>
      <c r="F18" s="60"/>
      <c r="G18" s="60"/>
      <c r="H18" s="60"/>
      <c r="I18" s="60"/>
      <c r="J18" s="61"/>
      <c r="L18" s="295"/>
      <c r="M18" s="295"/>
      <c r="N18" s="295"/>
      <c r="O18" s="295"/>
      <c r="P18" s="295"/>
      <c r="Q18" s="295"/>
      <c r="R18" s="295"/>
      <c r="S18" s="295"/>
      <c r="T18" s="295"/>
      <c r="U18" s="295"/>
    </row>
    <row r="19" spans="2:21" ht="15.75" x14ac:dyDescent="0.2">
      <c r="B19" s="58"/>
      <c r="C19" s="62" t="s">
        <v>186</v>
      </c>
      <c r="D19" s="52"/>
      <c r="E19" s="52"/>
      <c r="F19" s="52"/>
      <c r="G19" s="52"/>
      <c r="H19" s="52"/>
      <c r="I19" s="52"/>
      <c r="J19" s="53"/>
    </row>
    <row r="20" spans="2:21" ht="15.75" x14ac:dyDescent="0.2">
      <c r="B20" s="58"/>
      <c r="C20" s="62" t="s">
        <v>187</v>
      </c>
      <c r="D20" s="52"/>
      <c r="E20" s="52"/>
      <c r="F20" s="52"/>
      <c r="G20" s="52"/>
      <c r="H20" s="52"/>
      <c r="I20" s="52"/>
      <c r="J20" s="53"/>
    </row>
    <row r="21" spans="2:21" ht="15.75" x14ac:dyDescent="0.2">
      <c r="B21" s="58"/>
      <c r="C21" s="62"/>
      <c r="D21" s="52"/>
      <c r="E21" s="52"/>
      <c r="F21" s="52"/>
      <c r="G21" s="52"/>
      <c r="H21" s="52"/>
      <c r="I21" s="52"/>
      <c r="J21" s="53"/>
    </row>
    <row r="22" spans="2:21" ht="15.75" x14ac:dyDescent="0.2">
      <c r="B22" s="58"/>
      <c r="C22" s="62"/>
      <c r="D22" s="52"/>
      <c r="E22" s="52"/>
      <c r="F22" s="52"/>
      <c r="G22" s="52"/>
      <c r="H22" s="52"/>
      <c r="I22" s="52"/>
      <c r="J22" s="53"/>
    </row>
    <row r="23" spans="2:21" ht="15.75" x14ac:dyDescent="0.2">
      <c r="B23" s="58"/>
      <c r="C23" s="62"/>
      <c r="D23" s="52"/>
      <c r="E23" s="52"/>
      <c r="F23" s="52"/>
      <c r="G23" s="52"/>
      <c r="H23" s="52"/>
      <c r="I23" s="52"/>
      <c r="J23" s="53"/>
    </row>
    <row r="24" spans="2:21" ht="15.75" x14ac:dyDescent="0.2">
      <c r="B24" s="58"/>
      <c r="C24" s="62"/>
      <c r="D24" s="52"/>
      <c r="E24" s="52"/>
      <c r="F24" s="52"/>
      <c r="G24" s="52"/>
      <c r="H24" s="52"/>
      <c r="I24" s="52"/>
      <c r="J24" s="53"/>
    </row>
    <row r="25" spans="2:21" ht="15.75" x14ac:dyDescent="0.2">
      <c r="B25" s="58"/>
      <c r="C25" s="62"/>
      <c r="D25" s="52"/>
      <c r="E25" s="52"/>
      <c r="F25" s="52"/>
      <c r="G25" s="52"/>
      <c r="H25" s="52"/>
      <c r="I25" s="52"/>
      <c r="J25" s="53"/>
    </row>
    <row r="26" spans="2:21" ht="15.75" x14ac:dyDescent="0.2">
      <c r="B26" s="58"/>
      <c r="C26" s="62"/>
      <c r="D26" s="52"/>
      <c r="E26" s="52"/>
      <c r="F26" s="52"/>
      <c r="G26" s="52"/>
      <c r="H26" s="52"/>
      <c r="I26" s="52"/>
      <c r="J26" s="53"/>
    </row>
    <row r="27" spans="2:21" ht="15.75" x14ac:dyDescent="0.2">
      <c r="B27" s="58"/>
      <c r="C27" s="62"/>
      <c r="D27" s="52"/>
      <c r="E27" s="52"/>
      <c r="F27" s="52"/>
      <c r="G27" s="52"/>
      <c r="H27" s="52"/>
      <c r="I27" s="52"/>
      <c r="J27" s="53"/>
    </row>
    <row r="28" spans="2:21" ht="15.75" x14ac:dyDescent="0.2">
      <c r="B28" s="63"/>
      <c r="C28" s="64"/>
      <c r="D28" s="65"/>
      <c r="E28" s="65"/>
      <c r="F28" s="65"/>
      <c r="G28" s="65"/>
      <c r="H28" s="65"/>
      <c r="I28" s="65"/>
      <c r="J28" s="66"/>
    </row>
  </sheetData>
  <mergeCells count="1">
    <mergeCell ref="L3:U18"/>
  </mergeCell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3"/>
  <sheetViews>
    <sheetView zoomScale="70" zoomScaleNormal="70" workbookViewId="0">
      <selection sqref="A1:F1"/>
    </sheetView>
  </sheetViews>
  <sheetFormatPr baseColWidth="10" defaultColWidth="11.42578125" defaultRowHeight="15" x14ac:dyDescent="0.2"/>
  <cols>
    <col min="1" max="1" width="5.5703125" style="1" customWidth="1"/>
    <col min="2" max="2" width="18.85546875" style="1" customWidth="1"/>
    <col min="3" max="3" width="14.42578125" style="1" customWidth="1"/>
    <col min="4" max="4" width="13.42578125" style="1" customWidth="1"/>
    <col min="5" max="5" width="14.42578125" style="1" customWidth="1"/>
    <col min="6" max="7" width="11.42578125" style="1"/>
    <col min="8" max="8" width="12.42578125" style="1" customWidth="1"/>
    <col min="9" max="9" width="14.7109375" style="1" customWidth="1"/>
    <col min="10" max="10" width="15" style="1" bestFit="1" customWidth="1"/>
    <col min="11" max="11" width="15.28515625" style="1" customWidth="1"/>
    <col min="12" max="16384" width="11.42578125" style="1"/>
  </cols>
  <sheetData>
    <row r="1" spans="1:10" ht="67.150000000000006" customHeight="1" x14ac:dyDescent="0.2">
      <c r="A1" s="297" t="s">
        <v>188</v>
      </c>
      <c r="B1" s="297"/>
      <c r="C1" s="297"/>
      <c r="D1" s="297"/>
      <c r="E1" s="297"/>
      <c r="F1" s="297"/>
    </row>
    <row r="3" spans="1:10" x14ac:dyDescent="0.2">
      <c r="A3" s="33" t="s">
        <v>8</v>
      </c>
      <c r="B3" s="34"/>
      <c r="C3" s="34"/>
      <c r="D3" s="34"/>
      <c r="E3" s="34"/>
      <c r="F3" s="34"/>
    </row>
    <row r="4" spans="1:10" x14ac:dyDescent="0.2">
      <c r="A4" s="4"/>
    </row>
    <row r="5" spans="1:10" x14ac:dyDescent="0.2">
      <c r="A5" s="1" t="s">
        <v>0</v>
      </c>
      <c r="B5" s="2" t="s">
        <v>2</v>
      </c>
      <c r="C5" s="3">
        <f>5+13.5</f>
        <v>18.5</v>
      </c>
    </row>
    <row r="7" spans="1:10" x14ac:dyDescent="0.2">
      <c r="A7" s="1" t="s">
        <v>1</v>
      </c>
      <c r="B7" s="2" t="s">
        <v>7</v>
      </c>
      <c r="C7" s="3">
        <f>5-13.5</f>
        <v>-8.5</v>
      </c>
    </row>
    <row r="9" spans="1:10" x14ac:dyDescent="0.2">
      <c r="A9" s="1" t="s">
        <v>4</v>
      </c>
      <c r="B9" s="2" t="s">
        <v>3</v>
      </c>
      <c r="C9" s="3">
        <f>5*13.5</f>
        <v>67.5</v>
      </c>
    </row>
    <row r="11" spans="1:10" x14ac:dyDescent="0.2">
      <c r="A11" s="1" t="s">
        <v>6</v>
      </c>
      <c r="B11" s="2" t="s">
        <v>5</v>
      </c>
      <c r="C11" s="3">
        <f>5/13.5</f>
        <v>0.37037037037037035</v>
      </c>
    </row>
    <row r="14" spans="1:10" x14ac:dyDescent="0.2">
      <c r="A14" s="33" t="s">
        <v>9</v>
      </c>
      <c r="B14" s="34"/>
      <c r="C14" s="34"/>
      <c r="D14" s="34"/>
      <c r="E14" s="34"/>
      <c r="F14" s="34"/>
    </row>
    <row r="15" spans="1:10" x14ac:dyDescent="0.2">
      <c r="A15" s="4"/>
    </row>
    <row r="16" spans="1:10" x14ac:dyDescent="0.2">
      <c r="D16" s="5" t="s">
        <v>10</v>
      </c>
      <c r="E16" s="3">
        <f>81^0.5</f>
        <v>9</v>
      </c>
      <c r="H16" s="37" t="s">
        <v>62</v>
      </c>
      <c r="I16" s="37"/>
      <c r="J16" s="37"/>
    </row>
    <row r="17" spans="1:10" x14ac:dyDescent="0.2">
      <c r="E17" s="6" t="s">
        <v>11</v>
      </c>
      <c r="H17" s="38" t="s">
        <v>58</v>
      </c>
      <c r="I17" s="39" t="s">
        <v>59</v>
      </c>
      <c r="J17" s="40" t="s">
        <v>60</v>
      </c>
    </row>
    <row r="18" spans="1:10" x14ac:dyDescent="0.2">
      <c r="E18" s="3">
        <f>SQRT(81)</f>
        <v>9</v>
      </c>
      <c r="H18" s="41">
        <v>1</v>
      </c>
      <c r="I18" s="37">
        <f>2+H18</f>
        <v>3</v>
      </c>
      <c r="J18" s="42">
        <f>I18^(7-H18)</f>
        <v>729</v>
      </c>
    </row>
    <row r="19" spans="1:10" x14ac:dyDescent="0.2">
      <c r="H19" s="41">
        <v>2</v>
      </c>
      <c r="I19" s="37">
        <f t="shared" ref="I19:I23" si="0">2+H19</f>
        <v>4</v>
      </c>
      <c r="J19" s="42">
        <f t="shared" ref="J19:J23" si="1">I19^(7-H19)</f>
        <v>1024</v>
      </c>
    </row>
    <row r="20" spans="1:10" x14ac:dyDescent="0.2">
      <c r="D20" s="5" t="s">
        <v>1</v>
      </c>
      <c r="E20" s="3">
        <f>9^4</f>
        <v>6561</v>
      </c>
      <c r="H20" s="41">
        <v>3</v>
      </c>
      <c r="I20" s="37">
        <f t="shared" si="0"/>
        <v>5</v>
      </c>
      <c r="J20" s="42">
        <f t="shared" si="1"/>
        <v>625</v>
      </c>
    </row>
    <row r="21" spans="1:10" x14ac:dyDescent="0.2">
      <c r="H21" s="41">
        <v>4</v>
      </c>
      <c r="I21" s="37">
        <f t="shared" si="0"/>
        <v>6</v>
      </c>
      <c r="J21" s="42">
        <f t="shared" si="1"/>
        <v>216</v>
      </c>
    </row>
    <row r="22" spans="1:10" x14ac:dyDescent="0.2">
      <c r="D22" s="5" t="s">
        <v>4</v>
      </c>
      <c r="E22" s="3">
        <f>16*EXP(-3)</f>
        <v>0.79659309388582311</v>
      </c>
      <c r="H22" s="41">
        <v>5</v>
      </c>
      <c r="I22" s="37">
        <f t="shared" si="0"/>
        <v>7</v>
      </c>
      <c r="J22" s="42">
        <f t="shared" si="1"/>
        <v>49</v>
      </c>
    </row>
    <row r="23" spans="1:10" x14ac:dyDescent="0.2">
      <c r="H23" s="43">
        <v>6</v>
      </c>
      <c r="I23" s="44">
        <f t="shared" si="0"/>
        <v>8</v>
      </c>
      <c r="J23" s="45">
        <f t="shared" si="1"/>
        <v>8</v>
      </c>
    </row>
    <row r="24" spans="1:10" x14ac:dyDescent="0.2">
      <c r="D24" s="5" t="s">
        <v>6</v>
      </c>
      <c r="E24" s="3">
        <f>J24</f>
        <v>2651</v>
      </c>
      <c r="H24" s="43"/>
      <c r="I24" s="44" t="s">
        <v>13</v>
      </c>
      <c r="J24" s="45">
        <f>SUM(J18:J23)</f>
        <v>2651</v>
      </c>
    </row>
    <row r="28" spans="1:10" x14ac:dyDescent="0.2">
      <c r="A28" s="33" t="s">
        <v>12</v>
      </c>
      <c r="B28" s="34"/>
      <c r="C28" s="34"/>
      <c r="D28" s="34"/>
      <c r="E28" s="34"/>
      <c r="F28" s="34"/>
    </row>
    <row r="30" spans="1:10" x14ac:dyDescent="0.2">
      <c r="A30" s="32" t="s">
        <v>57</v>
      </c>
      <c r="B30" s="32"/>
      <c r="C30" s="32"/>
      <c r="D30" s="32"/>
      <c r="E30" s="32"/>
      <c r="F30" s="32"/>
    </row>
    <row r="32" spans="1:10" x14ac:dyDescent="0.2">
      <c r="C32" s="1">
        <v>5</v>
      </c>
    </row>
    <row r="33" spans="1:6" x14ac:dyDescent="0.2">
      <c r="C33" s="1">
        <v>10</v>
      </c>
    </row>
    <row r="34" spans="1:6" x14ac:dyDescent="0.2">
      <c r="C34" s="1">
        <v>20</v>
      </c>
    </row>
    <row r="35" spans="1:6" x14ac:dyDescent="0.2">
      <c r="C35" s="1">
        <v>200</v>
      </c>
    </row>
    <row r="36" spans="1:6" x14ac:dyDescent="0.2">
      <c r="C36" s="1">
        <v>9</v>
      </c>
    </row>
    <row r="37" spans="1:6" x14ac:dyDescent="0.2">
      <c r="B37" s="1" t="s">
        <v>13</v>
      </c>
      <c r="C37" s="3">
        <f>SUM(C32:C36)</f>
        <v>244</v>
      </c>
    </row>
    <row r="38" spans="1:6" x14ac:dyDescent="0.2">
      <c r="B38" s="1" t="s">
        <v>14</v>
      </c>
      <c r="C38" s="3">
        <f>PRODUCT(C32:C36)</f>
        <v>1800000</v>
      </c>
    </row>
    <row r="40" spans="1:6" x14ac:dyDescent="0.2">
      <c r="A40" s="32" t="s">
        <v>15</v>
      </c>
      <c r="B40" s="32"/>
      <c r="C40" s="32"/>
      <c r="D40" s="32"/>
      <c r="E40" s="32"/>
      <c r="F40" s="32"/>
    </row>
    <row r="42" spans="1:6" x14ac:dyDescent="0.2">
      <c r="C42" s="1">
        <v>5</v>
      </c>
      <c r="D42" s="3">
        <f>C42*C42</f>
        <v>25</v>
      </c>
    </row>
    <row r="43" spans="1:6" x14ac:dyDescent="0.2">
      <c r="C43" s="1">
        <v>10</v>
      </c>
      <c r="D43" s="3">
        <f t="shared" ref="D43:D46" si="2">C43*C43</f>
        <v>100</v>
      </c>
    </row>
    <row r="44" spans="1:6" x14ac:dyDescent="0.2">
      <c r="C44" s="1">
        <v>15</v>
      </c>
      <c r="D44" s="3">
        <f t="shared" si="2"/>
        <v>225</v>
      </c>
    </row>
    <row r="45" spans="1:6" x14ac:dyDescent="0.2">
      <c r="C45" s="1">
        <v>25</v>
      </c>
      <c r="D45" s="3">
        <f t="shared" si="2"/>
        <v>625</v>
      </c>
    </row>
    <row r="46" spans="1:6" x14ac:dyDescent="0.2">
      <c r="C46" s="1">
        <v>30</v>
      </c>
      <c r="D46" s="3">
        <f t="shared" si="2"/>
        <v>900</v>
      </c>
    </row>
    <row r="49" spans="1:7" x14ac:dyDescent="0.2">
      <c r="A49" s="33" t="s">
        <v>17</v>
      </c>
      <c r="B49" s="34"/>
      <c r="C49" s="34"/>
      <c r="D49" s="34"/>
      <c r="E49" s="34"/>
      <c r="F49" s="34"/>
    </row>
    <row r="51" spans="1:7" ht="45" customHeight="1" x14ac:dyDescent="0.2">
      <c r="A51" s="296" t="s">
        <v>27</v>
      </c>
      <c r="B51" s="296"/>
      <c r="C51" s="296"/>
      <c r="D51" s="296"/>
      <c r="E51" s="296"/>
      <c r="F51" s="296"/>
      <c r="G51" s="31"/>
    </row>
    <row r="53" spans="1:7" x14ac:dyDescent="0.2">
      <c r="C53" s="1">
        <v>1</v>
      </c>
      <c r="E53" s="3">
        <v>1</v>
      </c>
    </row>
    <row r="54" spans="1:7" x14ac:dyDescent="0.2">
      <c r="C54" s="1">
        <v>2</v>
      </c>
      <c r="E54" s="3">
        <v>2</v>
      </c>
    </row>
    <row r="55" spans="1:7" x14ac:dyDescent="0.2">
      <c r="C55" s="1">
        <v>3</v>
      </c>
      <c r="E55" s="3">
        <v>3</v>
      </c>
    </row>
    <row r="56" spans="1:7" x14ac:dyDescent="0.2">
      <c r="C56" s="1">
        <v>4</v>
      </c>
      <c r="E56" s="3">
        <v>4</v>
      </c>
    </row>
    <row r="57" spans="1:7" x14ac:dyDescent="0.2">
      <c r="C57" s="1">
        <v>5</v>
      </c>
      <c r="E57" s="3">
        <v>5</v>
      </c>
    </row>
    <row r="58" spans="1:7" x14ac:dyDescent="0.2">
      <c r="C58" s="1">
        <v>6</v>
      </c>
      <c r="E58" s="3">
        <v>6</v>
      </c>
    </row>
    <row r="60" spans="1:7" ht="48" customHeight="1" x14ac:dyDescent="0.2">
      <c r="A60" s="296" t="s">
        <v>28</v>
      </c>
      <c r="B60" s="296"/>
      <c r="C60" s="296"/>
      <c r="D60" s="296"/>
      <c r="E60" s="296"/>
      <c r="F60" s="296"/>
      <c r="G60" s="31"/>
    </row>
    <row r="62" spans="1:7" x14ac:dyDescent="0.2">
      <c r="C62" s="1">
        <v>1</v>
      </c>
      <c r="D62" s="6">
        <v>7</v>
      </c>
      <c r="E62" s="6">
        <v>7</v>
      </c>
      <c r="G62" s="1" t="s">
        <v>190</v>
      </c>
    </row>
    <row r="63" spans="1:7" x14ac:dyDescent="0.2">
      <c r="C63" s="1">
        <v>2</v>
      </c>
      <c r="D63" s="7">
        <f>D62+5</f>
        <v>12</v>
      </c>
      <c r="E63" s="7">
        <f>7+5*C62</f>
        <v>12</v>
      </c>
      <c r="G63" s="1" t="s">
        <v>191</v>
      </c>
    </row>
    <row r="64" spans="1:7" x14ac:dyDescent="0.2">
      <c r="C64" s="1">
        <v>3</v>
      </c>
      <c r="D64" s="7">
        <f t="shared" ref="D64:D81" si="3">D63+5</f>
        <v>17</v>
      </c>
      <c r="E64" s="7">
        <f t="shared" ref="E64:E81" si="4">7+5*C63</f>
        <v>17</v>
      </c>
      <c r="G64" s="1" t="s">
        <v>192</v>
      </c>
    </row>
    <row r="65" spans="3:7" x14ac:dyDescent="0.2">
      <c r="C65" s="1">
        <v>4</v>
      </c>
      <c r="D65" s="7">
        <f t="shared" si="3"/>
        <v>22</v>
      </c>
      <c r="E65" s="7">
        <f t="shared" si="4"/>
        <v>22</v>
      </c>
      <c r="G65" s="1" t="s">
        <v>193</v>
      </c>
    </row>
    <row r="66" spans="3:7" x14ac:dyDescent="0.2">
      <c r="C66" s="1">
        <v>5</v>
      </c>
      <c r="D66" s="7">
        <f t="shared" si="3"/>
        <v>27</v>
      </c>
      <c r="E66" s="7">
        <f t="shared" si="4"/>
        <v>27</v>
      </c>
    </row>
    <row r="67" spans="3:7" x14ac:dyDescent="0.2">
      <c r="C67" s="1">
        <v>6</v>
      </c>
      <c r="D67" s="7">
        <f t="shared" si="3"/>
        <v>32</v>
      </c>
      <c r="E67" s="7">
        <f t="shared" si="4"/>
        <v>32</v>
      </c>
    </row>
    <row r="68" spans="3:7" x14ac:dyDescent="0.2">
      <c r="C68" s="1">
        <v>7</v>
      </c>
      <c r="D68" s="7">
        <f t="shared" si="3"/>
        <v>37</v>
      </c>
      <c r="E68" s="7">
        <f t="shared" si="4"/>
        <v>37</v>
      </c>
    </row>
    <row r="69" spans="3:7" x14ac:dyDescent="0.2">
      <c r="C69" s="1">
        <v>8</v>
      </c>
      <c r="D69" s="7">
        <f t="shared" si="3"/>
        <v>42</v>
      </c>
      <c r="E69" s="7">
        <f t="shared" si="4"/>
        <v>42</v>
      </c>
    </row>
    <row r="70" spans="3:7" x14ac:dyDescent="0.2">
      <c r="C70" s="1">
        <v>9</v>
      </c>
      <c r="D70" s="7">
        <f t="shared" si="3"/>
        <v>47</v>
      </c>
      <c r="E70" s="7">
        <f t="shared" si="4"/>
        <v>47</v>
      </c>
    </row>
    <row r="71" spans="3:7" x14ac:dyDescent="0.2">
      <c r="C71" s="1">
        <v>10</v>
      </c>
      <c r="D71" s="7">
        <f t="shared" si="3"/>
        <v>52</v>
      </c>
      <c r="E71" s="7">
        <f t="shared" si="4"/>
        <v>52</v>
      </c>
    </row>
    <row r="72" spans="3:7" x14ac:dyDescent="0.2">
      <c r="C72" s="1">
        <v>11</v>
      </c>
      <c r="D72" s="7">
        <f t="shared" si="3"/>
        <v>57</v>
      </c>
      <c r="E72" s="7">
        <f t="shared" si="4"/>
        <v>57</v>
      </c>
    </row>
    <row r="73" spans="3:7" x14ac:dyDescent="0.2">
      <c r="C73" s="1">
        <v>12</v>
      </c>
      <c r="D73" s="7">
        <f t="shared" si="3"/>
        <v>62</v>
      </c>
      <c r="E73" s="7">
        <f t="shared" si="4"/>
        <v>62</v>
      </c>
    </row>
    <row r="74" spans="3:7" x14ac:dyDescent="0.2">
      <c r="C74" s="1">
        <v>13</v>
      </c>
      <c r="D74" s="7">
        <f t="shared" si="3"/>
        <v>67</v>
      </c>
      <c r="E74" s="7">
        <f t="shared" si="4"/>
        <v>67</v>
      </c>
    </row>
    <row r="75" spans="3:7" x14ac:dyDescent="0.2">
      <c r="C75" s="1">
        <v>14</v>
      </c>
      <c r="D75" s="7">
        <f t="shared" si="3"/>
        <v>72</v>
      </c>
      <c r="E75" s="7">
        <f t="shared" si="4"/>
        <v>72</v>
      </c>
    </row>
    <row r="76" spans="3:7" x14ac:dyDescent="0.2">
      <c r="C76" s="1">
        <v>15</v>
      </c>
      <c r="D76" s="7">
        <f t="shared" si="3"/>
        <v>77</v>
      </c>
      <c r="E76" s="7">
        <f t="shared" si="4"/>
        <v>77</v>
      </c>
    </row>
    <row r="77" spans="3:7" x14ac:dyDescent="0.2">
      <c r="C77" s="1">
        <v>16</v>
      </c>
      <c r="D77" s="7">
        <f t="shared" si="3"/>
        <v>82</v>
      </c>
      <c r="E77" s="7">
        <f t="shared" si="4"/>
        <v>82</v>
      </c>
    </row>
    <row r="78" spans="3:7" x14ac:dyDescent="0.2">
      <c r="C78" s="1">
        <v>17</v>
      </c>
      <c r="D78" s="7">
        <f t="shared" si="3"/>
        <v>87</v>
      </c>
      <c r="E78" s="7">
        <f t="shared" si="4"/>
        <v>87</v>
      </c>
    </row>
    <row r="79" spans="3:7" x14ac:dyDescent="0.2">
      <c r="C79" s="1">
        <v>18</v>
      </c>
      <c r="D79" s="7">
        <f t="shared" si="3"/>
        <v>92</v>
      </c>
      <c r="E79" s="7">
        <f t="shared" si="4"/>
        <v>92</v>
      </c>
    </row>
    <row r="80" spans="3:7" x14ac:dyDescent="0.2">
      <c r="C80" s="1">
        <v>19</v>
      </c>
      <c r="D80" s="7">
        <f t="shared" si="3"/>
        <v>97</v>
      </c>
      <c r="E80" s="7">
        <f t="shared" si="4"/>
        <v>97</v>
      </c>
    </row>
    <row r="81" spans="1:8" x14ac:dyDescent="0.2">
      <c r="C81" s="1">
        <v>20</v>
      </c>
      <c r="D81" s="7">
        <f t="shared" si="3"/>
        <v>102</v>
      </c>
      <c r="E81" s="7">
        <f t="shared" si="4"/>
        <v>102</v>
      </c>
    </row>
    <row r="83" spans="1:8" ht="35.450000000000003" customHeight="1" x14ac:dyDescent="0.2">
      <c r="A83" s="296" t="s">
        <v>16</v>
      </c>
      <c r="B83" s="296"/>
      <c r="C83" s="296"/>
      <c r="D83" s="296"/>
      <c r="E83" s="296"/>
      <c r="F83" s="296"/>
      <c r="G83" s="31"/>
    </row>
    <row r="85" spans="1:8" x14ac:dyDescent="0.2">
      <c r="E85" s="1">
        <v>1</v>
      </c>
    </row>
    <row r="86" spans="1:8" x14ac:dyDescent="0.2">
      <c r="E86" s="1">
        <v>2</v>
      </c>
    </row>
    <row r="87" spans="1:8" x14ac:dyDescent="0.2">
      <c r="E87" s="1">
        <v>3</v>
      </c>
      <c r="H87" s="46" t="s">
        <v>65</v>
      </c>
    </row>
    <row r="88" spans="1:8" x14ac:dyDescent="0.2">
      <c r="E88" s="1">
        <v>4</v>
      </c>
      <c r="H88" s="1">
        <v>12</v>
      </c>
    </row>
    <row r="89" spans="1:8" x14ac:dyDescent="0.2">
      <c r="E89" s="1">
        <v>5</v>
      </c>
      <c r="H89" s="1">
        <v>13</v>
      </c>
    </row>
    <row r="90" spans="1:8" x14ac:dyDescent="0.2">
      <c r="E90" s="1">
        <v>6</v>
      </c>
      <c r="H90" s="1">
        <v>14</v>
      </c>
    </row>
    <row r="91" spans="1:8" x14ac:dyDescent="0.2">
      <c r="H91" s="1">
        <v>15</v>
      </c>
    </row>
    <row r="92" spans="1:8" x14ac:dyDescent="0.2">
      <c r="H92" s="1">
        <v>16</v>
      </c>
    </row>
    <row r="93" spans="1:8" x14ac:dyDescent="0.2">
      <c r="H93" s="1">
        <v>17</v>
      </c>
    </row>
    <row r="94" spans="1:8" x14ac:dyDescent="0.2">
      <c r="A94" s="298" t="s">
        <v>63</v>
      </c>
      <c r="B94" s="298"/>
      <c r="C94" s="298"/>
      <c r="D94" s="298"/>
      <c r="E94" s="298"/>
      <c r="F94" s="298"/>
      <c r="H94" s="1">
        <v>18</v>
      </c>
    </row>
    <row r="95" spans="1:8" x14ac:dyDescent="0.2">
      <c r="H95" s="1">
        <v>19</v>
      </c>
    </row>
    <row r="96" spans="1:8" x14ac:dyDescent="0.2">
      <c r="H96" s="1">
        <v>20</v>
      </c>
    </row>
    <row r="97" spans="1:8" x14ac:dyDescent="0.2">
      <c r="H97" s="1">
        <v>21</v>
      </c>
    </row>
    <row r="98" spans="1:8" x14ac:dyDescent="0.2">
      <c r="B98" s="1" t="s">
        <v>34</v>
      </c>
      <c r="C98" s="3">
        <f>SUM(H88:H98)</f>
        <v>187</v>
      </c>
      <c r="D98" s="1" t="s">
        <v>35</v>
      </c>
      <c r="H98" s="1">
        <v>22</v>
      </c>
    </row>
    <row r="101" spans="1:8" x14ac:dyDescent="0.2">
      <c r="A101" s="33" t="s">
        <v>22</v>
      </c>
      <c r="B101" s="34"/>
      <c r="C101" s="34"/>
      <c r="D101" s="34"/>
      <c r="E101" s="34"/>
      <c r="F101" s="34"/>
    </row>
    <row r="102" spans="1:8" x14ac:dyDescent="0.2">
      <c r="B102" s="1" t="s">
        <v>36</v>
      </c>
    </row>
    <row r="104" spans="1:8" x14ac:dyDescent="0.2">
      <c r="B104" s="18"/>
      <c r="C104" s="25" t="s">
        <v>37</v>
      </c>
      <c r="D104" s="26"/>
      <c r="E104" s="26"/>
      <c r="F104" s="26"/>
      <c r="G104" s="27"/>
    </row>
    <row r="105" spans="1:8" x14ac:dyDescent="0.2">
      <c r="B105" s="22" t="s">
        <v>38</v>
      </c>
      <c r="C105" s="28" t="s">
        <v>42</v>
      </c>
      <c r="D105" s="29" t="s">
        <v>43</v>
      </c>
      <c r="E105" s="29" t="s">
        <v>44</v>
      </c>
      <c r="F105" s="29" t="s">
        <v>45</v>
      </c>
      <c r="G105" s="30" t="s">
        <v>46</v>
      </c>
    </row>
    <row r="106" spans="1:8" x14ac:dyDescent="0.2">
      <c r="B106" s="23" t="s">
        <v>29</v>
      </c>
      <c r="C106" s="1">
        <v>56</v>
      </c>
      <c r="D106" s="1">
        <v>113</v>
      </c>
      <c r="E106" s="1">
        <v>8</v>
      </c>
      <c r="F106" s="1">
        <v>80</v>
      </c>
      <c r="G106" s="19">
        <v>179</v>
      </c>
    </row>
    <row r="107" spans="1:8" x14ac:dyDescent="0.2">
      <c r="B107" s="23" t="s">
        <v>39</v>
      </c>
      <c r="C107" s="1">
        <v>65</v>
      </c>
      <c r="D107" s="1">
        <v>65</v>
      </c>
      <c r="E107" s="1">
        <v>111</v>
      </c>
      <c r="F107" s="1">
        <v>20</v>
      </c>
      <c r="G107" s="19">
        <v>151</v>
      </c>
    </row>
    <row r="108" spans="1:8" x14ac:dyDescent="0.2">
      <c r="B108" s="23" t="s">
        <v>40</v>
      </c>
      <c r="C108" s="1">
        <v>85</v>
      </c>
      <c r="D108" s="1">
        <v>94</v>
      </c>
      <c r="E108" s="1">
        <v>155</v>
      </c>
      <c r="F108" s="1">
        <v>135</v>
      </c>
      <c r="G108" s="19">
        <v>61</v>
      </c>
    </row>
    <row r="109" spans="1:8" x14ac:dyDescent="0.2">
      <c r="B109" s="23" t="s">
        <v>41</v>
      </c>
      <c r="C109" s="1">
        <v>51</v>
      </c>
      <c r="D109" s="1">
        <v>184</v>
      </c>
      <c r="E109" s="1">
        <v>16</v>
      </c>
      <c r="F109" s="1">
        <v>107</v>
      </c>
      <c r="G109" s="19">
        <v>90</v>
      </c>
    </row>
    <row r="110" spans="1:8" x14ac:dyDescent="0.2">
      <c r="B110" s="24" t="s">
        <v>30</v>
      </c>
      <c r="C110" s="20">
        <v>48</v>
      </c>
      <c r="D110" s="20">
        <v>134</v>
      </c>
      <c r="E110" s="20">
        <v>118</v>
      </c>
      <c r="F110" s="20">
        <v>73</v>
      </c>
      <c r="G110" s="21">
        <v>13</v>
      </c>
    </row>
    <row r="112" spans="1:8" ht="50.25" customHeight="1" x14ac:dyDescent="0.2">
      <c r="A112" s="296" t="s">
        <v>189</v>
      </c>
      <c r="B112" s="296"/>
      <c r="C112" s="296"/>
      <c r="D112" s="296"/>
      <c r="E112" s="296"/>
      <c r="F112" s="296"/>
    </row>
    <row r="113" spans="1:9" ht="33.6" customHeight="1" x14ac:dyDescent="0.2">
      <c r="A113" s="296" t="s">
        <v>47</v>
      </c>
      <c r="B113" s="296"/>
      <c r="C113" s="296"/>
      <c r="D113" s="296"/>
      <c r="E113" s="296"/>
      <c r="F113" s="296"/>
    </row>
    <row r="114" spans="1:9" ht="32.450000000000003" customHeight="1" x14ac:dyDescent="0.2">
      <c r="A114" s="296" t="s">
        <v>48</v>
      </c>
      <c r="B114" s="296"/>
      <c r="C114" s="296"/>
      <c r="D114" s="296"/>
      <c r="E114" s="296"/>
      <c r="F114" s="296"/>
    </row>
    <row r="116" spans="1:9" x14ac:dyDescent="0.2">
      <c r="B116" s="1" t="s">
        <v>49</v>
      </c>
    </row>
    <row r="117" spans="1:9" x14ac:dyDescent="0.2">
      <c r="C117" s="25" t="s">
        <v>37</v>
      </c>
      <c r="D117" s="26"/>
      <c r="E117" s="26"/>
      <c r="F117" s="26"/>
      <c r="G117" s="27"/>
    </row>
    <row r="118" spans="1:9" x14ac:dyDescent="0.2">
      <c r="B118" s="22" t="s">
        <v>38</v>
      </c>
      <c r="C118" s="28" t="s">
        <v>42</v>
      </c>
      <c r="D118" s="29" t="s">
        <v>43</v>
      </c>
      <c r="E118" s="29" t="s">
        <v>44</v>
      </c>
      <c r="F118" s="29" t="s">
        <v>45</v>
      </c>
      <c r="G118" s="30" t="s">
        <v>46</v>
      </c>
      <c r="H118" s="16" t="s">
        <v>50</v>
      </c>
    </row>
    <row r="119" spans="1:9" x14ac:dyDescent="0.2">
      <c r="B119" s="23" t="s">
        <v>29</v>
      </c>
      <c r="C119" s="1">
        <v>56</v>
      </c>
      <c r="D119" s="1">
        <v>113</v>
      </c>
      <c r="E119" s="1">
        <v>8</v>
      </c>
      <c r="F119" s="1">
        <v>80</v>
      </c>
      <c r="G119" s="1">
        <v>179</v>
      </c>
      <c r="H119" s="14">
        <f>SUM(C119:G119)</f>
        <v>436</v>
      </c>
    </row>
    <row r="120" spans="1:9" x14ac:dyDescent="0.2">
      <c r="B120" s="23" t="s">
        <v>39</v>
      </c>
      <c r="C120" s="1">
        <v>65</v>
      </c>
      <c r="D120" s="1">
        <v>65</v>
      </c>
      <c r="E120" s="1">
        <v>111</v>
      </c>
      <c r="F120" s="1">
        <v>20</v>
      </c>
      <c r="G120" s="1">
        <v>151</v>
      </c>
      <c r="H120" s="14">
        <f t="shared" ref="H120:H124" si="5">SUM(C120:G120)</f>
        <v>412</v>
      </c>
    </row>
    <row r="121" spans="1:9" x14ac:dyDescent="0.2">
      <c r="B121" s="23" t="s">
        <v>40</v>
      </c>
      <c r="C121" s="1">
        <v>85</v>
      </c>
      <c r="D121" s="1">
        <v>94</v>
      </c>
      <c r="E121" s="1">
        <v>155</v>
      </c>
      <c r="F121" s="1">
        <v>135</v>
      </c>
      <c r="G121" s="1">
        <v>61</v>
      </c>
      <c r="H121" s="14">
        <f t="shared" si="5"/>
        <v>530</v>
      </c>
    </row>
    <row r="122" spans="1:9" x14ac:dyDescent="0.2">
      <c r="B122" s="23" t="s">
        <v>41</v>
      </c>
      <c r="C122" s="1">
        <v>51</v>
      </c>
      <c r="D122" s="1">
        <v>184</v>
      </c>
      <c r="E122" s="1">
        <v>16</v>
      </c>
      <c r="F122" s="1">
        <v>107</v>
      </c>
      <c r="G122" s="1">
        <v>90</v>
      </c>
      <c r="H122" s="14">
        <f t="shared" si="5"/>
        <v>448</v>
      </c>
    </row>
    <row r="123" spans="1:9" x14ac:dyDescent="0.2">
      <c r="B123" s="24" t="s">
        <v>30</v>
      </c>
      <c r="C123" s="1">
        <v>48</v>
      </c>
      <c r="D123" s="1">
        <v>134</v>
      </c>
      <c r="E123" s="1">
        <v>118</v>
      </c>
      <c r="F123" s="1">
        <v>73</v>
      </c>
      <c r="G123" s="1">
        <v>13</v>
      </c>
      <c r="H123" s="14">
        <f t="shared" si="5"/>
        <v>386</v>
      </c>
    </row>
    <row r="124" spans="1:9" x14ac:dyDescent="0.2">
      <c r="B124" s="17" t="s">
        <v>51</v>
      </c>
      <c r="C124" s="15">
        <f>SUM(C119:C123)</f>
        <v>305</v>
      </c>
      <c r="D124" s="15">
        <f t="shared" ref="D124:G124" si="6">SUM(D119:D123)</f>
        <v>590</v>
      </c>
      <c r="E124" s="15">
        <f t="shared" si="6"/>
        <v>408</v>
      </c>
      <c r="F124" s="15">
        <f t="shared" si="6"/>
        <v>415</v>
      </c>
      <c r="G124" s="15">
        <f t="shared" si="6"/>
        <v>494</v>
      </c>
      <c r="H124" s="14">
        <f t="shared" si="5"/>
        <v>2212</v>
      </c>
      <c r="I124" s="35" t="s">
        <v>52</v>
      </c>
    </row>
    <row r="128" spans="1:9" x14ac:dyDescent="0.2">
      <c r="A128" s="33" t="s">
        <v>24</v>
      </c>
      <c r="B128" s="34"/>
      <c r="C128" s="34"/>
      <c r="D128" s="34"/>
      <c r="E128" s="34"/>
    </row>
    <row r="130" spans="1:5" x14ac:dyDescent="0.2">
      <c r="A130" s="32" t="s">
        <v>23</v>
      </c>
      <c r="B130" s="32"/>
      <c r="C130" s="32"/>
      <c r="D130" s="32"/>
      <c r="E130" s="32"/>
    </row>
    <row r="131" spans="1:5" ht="15.75" thickBot="1" x14ac:dyDescent="0.25"/>
    <row r="132" spans="1:5" x14ac:dyDescent="0.2">
      <c r="A132" s="8" t="s">
        <v>18</v>
      </c>
      <c r="B132" s="9" t="s">
        <v>19</v>
      </c>
      <c r="C132" s="292" t="s">
        <v>20</v>
      </c>
      <c r="D132" s="299" t="s">
        <v>21</v>
      </c>
      <c r="E132" s="300"/>
    </row>
    <row r="133" spans="1:5" x14ac:dyDescent="0.2">
      <c r="A133" s="10" t="str">
        <f ca="1">"05.08."&amp;YEAR(TODAY())</f>
        <v>05.08.2025</v>
      </c>
      <c r="B133" s="11">
        <v>500</v>
      </c>
      <c r="C133" s="293">
        <v>32</v>
      </c>
      <c r="D133" s="301">
        <f t="shared" ref="D133:D140" si="7">C133/B133*100</f>
        <v>6.4</v>
      </c>
      <c r="E133" s="302"/>
    </row>
    <row r="134" spans="1:5" x14ac:dyDescent="0.2">
      <c r="A134" s="10" t="str">
        <f ca="1">"10.08."&amp;YEAR(TODAY())</f>
        <v>10.08.2025</v>
      </c>
      <c r="B134" s="11">
        <v>350</v>
      </c>
      <c r="C134" s="293">
        <v>25</v>
      </c>
      <c r="D134" s="301">
        <f t="shared" si="7"/>
        <v>7.1428571428571423</v>
      </c>
      <c r="E134" s="302"/>
    </row>
    <row r="135" spans="1:5" x14ac:dyDescent="0.2">
      <c r="A135" s="10" t="str">
        <f ca="1">"15.08."&amp;YEAR(TODAY())</f>
        <v>15.08.2025</v>
      </c>
      <c r="B135" s="11">
        <v>450</v>
      </c>
      <c r="C135" s="293">
        <v>30</v>
      </c>
      <c r="D135" s="301">
        <f t="shared" si="7"/>
        <v>6.666666666666667</v>
      </c>
      <c r="E135" s="302"/>
    </row>
    <row r="136" spans="1:5" x14ac:dyDescent="0.2">
      <c r="A136" s="10" t="str">
        <f ca="1">"20.08."&amp;YEAR(TODAY())</f>
        <v>20.08.2025</v>
      </c>
      <c r="B136" s="11">
        <v>700</v>
      </c>
      <c r="C136" s="293">
        <v>40</v>
      </c>
      <c r="D136" s="301">
        <f t="shared" si="7"/>
        <v>5.7142857142857144</v>
      </c>
      <c r="E136" s="302"/>
    </row>
    <row r="137" spans="1:5" x14ac:dyDescent="0.2">
      <c r="A137" s="10" t="str">
        <f ca="1">"25.08."&amp;YEAR(TODAY())</f>
        <v>25.08.2025</v>
      </c>
      <c r="B137" s="11">
        <v>600</v>
      </c>
      <c r="C137" s="293">
        <v>55</v>
      </c>
      <c r="D137" s="301">
        <f t="shared" si="7"/>
        <v>9.1666666666666661</v>
      </c>
      <c r="E137" s="302"/>
    </row>
    <row r="138" spans="1:5" x14ac:dyDescent="0.2">
      <c r="A138" s="10" t="str">
        <f ca="1">"30.08."&amp;YEAR(TODAY())</f>
        <v>30.08.2025</v>
      </c>
      <c r="B138" s="11">
        <v>350</v>
      </c>
      <c r="C138" s="293">
        <v>30</v>
      </c>
      <c r="D138" s="301">
        <f t="shared" si="7"/>
        <v>8.5714285714285712</v>
      </c>
      <c r="E138" s="302"/>
    </row>
    <row r="139" spans="1:5" x14ac:dyDescent="0.2">
      <c r="A139" s="10" t="str">
        <f ca="1">"04.09."&amp;YEAR(TODAY())</f>
        <v>04.09.2025</v>
      </c>
      <c r="B139" s="11">
        <v>200</v>
      </c>
      <c r="C139" s="293">
        <v>16</v>
      </c>
      <c r="D139" s="301">
        <f t="shared" si="7"/>
        <v>8</v>
      </c>
      <c r="E139" s="302"/>
    </row>
    <row r="140" spans="1:5" ht="15.75" thickBot="1" x14ac:dyDescent="0.25">
      <c r="A140" s="12" t="str">
        <f ca="1">"09.09."&amp;YEAR(TODAY())</f>
        <v>09.09.2025</v>
      </c>
      <c r="B140" s="13">
        <v>511</v>
      </c>
      <c r="C140" s="294">
        <v>35</v>
      </c>
      <c r="D140" s="303">
        <f t="shared" si="7"/>
        <v>6.8493150684931505</v>
      </c>
      <c r="E140" s="304"/>
    </row>
    <row r="142" spans="1:5" x14ac:dyDescent="0.2">
      <c r="A142" s="296" t="s">
        <v>61</v>
      </c>
      <c r="B142" s="296"/>
      <c r="C142" s="296"/>
      <c r="D142" s="296"/>
      <c r="E142" s="296"/>
    </row>
    <row r="144" spans="1:5" x14ac:dyDescent="0.2">
      <c r="C144" s="1" t="s">
        <v>49</v>
      </c>
      <c r="D144" s="36">
        <f>SUM(C133:C140)/SUM(B133:B140)*100</f>
        <v>7.1838295547664579</v>
      </c>
    </row>
    <row r="147" spans="1:5" x14ac:dyDescent="0.2">
      <c r="A147" s="33" t="s">
        <v>26</v>
      </c>
      <c r="B147" s="34"/>
      <c r="C147" s="34"/>
      <c r="D147" s="34"/>
      <c r="E147" s="34"/>
    </row>
    <row r="149" spans="1:5" x14ac:dyDescent="0.2">
      <c r="A149" s="1" t="s">
        <v>32</v>
      </c>
    </row>
    <row r="150" spans="1:5" x14ac:dyDescent="0.2">
      <c r="B150" s="1">
        <v>2</v>
      </c>
    </row>
    <row r="151" spans="1:5" x14ac:dyDescent="0.2">
      <c r="B151" s="1">
        <v>2.7</v>
      </c>
    </row>
    <row r="152" spans="1:5" x14ac:dyDescent="0.2">
      <c r="B152" s="1">
        <v>4.3</v>
      </c>
    </row>
    <row r="153" spans="1:5" x14ac:dyDescent="0.2">
      <c r="B153" s="1">
        <v>1.7</v>
      </c>
    </row>
    <row r="154" spans="1:5" x14ac:dyDescent="0.2">
      <c r="B154" s="1">
        <v>1</v>
      </c>
    </row>
    <row r="155" spans="1:5" x14ac:dyDescent="0.2">
      <c r="B155" s="1">
        <v>3.3</v>
      </c>
    </row>
    <row r="156" spans="1:5" x14ac:dyDescent="0.2">
      <c r="B156" s="1">
        <v>1.3</v>
      </c>
    </row>
    <row r="157" spans="1:5" x14ac:dyDescent="0.2">
      <c r="B157" s="1">
        <v>4.7</v>
      </c>
    </row>
    <row r="159" spans="1:5" x14ac:dyDescent="0.2">
      <c r="A159" s="32" t="s">
        <v>33</v>
      </c>
      <c r="B159" s="32"/>
      <c r="C159" s="32"/>
      <c r="D159" s="32"/>
      <c r="E159" s="32"/>
    </row>
    <row r="161" spans="1:5" x14ac:dyDescent="0.2">
      <c r="C161" s="1" t="s">
        <v>49</v>
      </c>
      <c r="D161" s="36">
        <f>SUM(B150:B157)/8</f>
        <v>2.625</v>
      </c>
    </row>
    <row r="163" spans="1:5" x14ac:dyDescent="0.2">
      <c r="A163" s="296" t="s">
        <v>64</v>
      </c>
      <c r="B163" s="296"/>
      <c r="C163" s="296"/>
      <c r="D163" s="296"/>
      <c r="E163" s="296"/>
    </row>
    <row r="165" spans="1:5" x14ac:dyDescent="0.2">
      <c r="C165" s="1" t="s">
        <v>49</v>
      </c>
      <c r="D165" s="36">
        <f>AVERAGE(B150:B157)</f>
        <v>2.625</v>
      </c>
      <c r="E165" s="1" t="s">
        <v>66</v>
      </c>
    </row>
    <row r="168" spans="1:5" x14ac:dyDescent="0.2">
      <c r="A168" s="33" t="s">
        <v>31</v>
      </c>
      <c r="B168" s="34"/>
      <c r="C168" s="34"/>
      <c r="D168" s="34"/>
      <c r="E168" s="34"/>
    </row>
    <row r="170" spans="1:5" x14ac:dyDescent="0.2">
      <c r="A170" s="1" t="s">
        <v>53</v>
      </c>
    </row>
    <row r="171" spans="1:5" x14ac:dyDescent="0.2">
      <c r="A171" s="1" t="s">
        <v>54</v>
      </c>
    </row>
    <row r="173" spans="1:5" x14ac:dyDescent="0.2">
      <c r="A173" s="298" t="s">
        <v>55</v>
      </c>
      <c r="B173" s="298"/>
      <c r="C173" s="298"/>
      <c r="D173" s="298"/>
      <c r="E173" s="298"/>
    </row>
    <row r="175" spans="1:5" x14ac:dyDescent="0.2">
      <c r="C175" s="1" t="s">
        <v>49</v>
      </c>
      <c r="D175" s="36">
        <f>(911-623)/911*100</f>
        <v>31.613611416026345</v>
      </c>
      <c r="E175" s="1" t="s">
        <v>67</v>
      </c>
    </row>
    <row r="177" spans="1:8" x14ac:dyDescent="0.2">
      <c r="A177" s="296" t="s">
        <v>56</v>
      </c>
      <c r="B177" s="296"/>
      <c r="C177" s="296"/>
      <c r="D177" s="296"/>
      <c r="E177" s="296"/>
    </row>
    <row r="178" spans="1:8" x14ac:dyDescent="0.2">
      <c r="A178" s="31"/>
      <c r="B178" s="31"/>
      <c r="C178" s="31"/>
      <c r="D178" s="31"/>
    </row>
    <row r="179" spans="1:8" x14ac:dyDescent="0.2">
      <c r="A179" s="31"/>
      <c r="B179" s="31"/>
      <c r="C179" s="1" t="s">
        <v>49</v>
      </c>
      <c r="D179" s="36">
        <f>(911/623-1)*100</f>
        <v>46.22792937399678</v>
      </c>
      <c r="E179" s="1" t="s">
        <v>67</v>
      </c>
      <c r="F179" s="67" t="s">
        <v>71</v>
      </c>
      <c r="G179" s="67">
        <f>(911-623)/623*100</f>
        <v>46.227929373996787</v>
      </c>
      <c r="H179" s="1" t="s">
        <v>67</v>
      </c>
    </row>
    <row r="182" spans="1:8" x14ac:dyDescent="0.2">
      <c r="A182" s="33"/>
      <c r="B182" s="34"/>
      <c r="C182" s="34"/>
      <c r="D182" s="34"/>
      <c r="E182" s="34"/>
    </row>
    <row r="183" spans="1:8" x14ac:dyDescent="0.2">
      <c r="A183" s="1" t="s">
        <v>25</v>
      </c>
    </row>
  </sheetData>
  <mergeCells count="21">
    <mergeCell ref="A142:E142"/>
    <mergeCell ref="A163:E163"/>
    <mergeCell ref="A177:E177"/>
    <mergeCell ref="A173:E173"/>
    <mergeCell ref="D132:E132"/>
    <mergeCell ref="D133:E133"/>
    <mergeCell ref="D134:E134"/>
    <mergeCell ref="D135:E135"/>
    <mergeCell ref="D136:E136"/>
    <mergeCell ref="D137:E137"/>
    <mergeCell ref="D138:E138"/>
    <mergeCell ref="D139:E139"/>
    <mergeCell ref="D140:E140"/>
    <mergeCell ref="A112:F112"/>
    <mergeCell ref="A113:F113"/>
    <mergeCell ref="A114:F114"/>
    <mergeCell ref="A1:F1"/>
    <mergeCell ref="A51:F51"/>
    <mergeCell ref="A60:F60"/>
    <mergeCell ref="A83:F83"/>
    <mergeCell ref="A94:F94"/>
  </mergeCells>
  <phoneticPr fontId="3" type="noConversion"/>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Word.Document.12" shapeId="1028" r:id="rId4">
          <objectPr defaultSize="0" r:id="rId5">
            <anchor moveWithCells="1" sizeWithCells="1">
              <from>
                <xdr:col>0</xdr:col>
                <xdr:colOff>47625</xdr:colOff>
                <xdr:row>14</xdr:row>
                <xdr:rowOff>123825</xdr:rowOff>
              </from>
              <to>
                <xdr:col>2</xdr:col>
                <xdr:colOff>981075</xdr:colOff>
                <xdr:row>24</xdr:row>
                <xdr:rowOff>114300</xdr:rowOff>
              </to>
            </anchor>
          </objectPr>
        </oleObject>
      </mc:Choice>
      <mc:Fallback>
        <oleObject progId="Word.Document.12" shapeId="1028"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DF209-7C4E-4F2E-B472-91BA388FAB5C}">
  <dimension ref="A2:M183"/>
  <sheetViews>
    <sheetView zoomScale="70" zoomScaleNormal="70" workbookViewId="0"/>
  </sheetViews>
  <sheetFormatPr baseColWidth="10" defaultColWidth="11.42578125" defaultRowHeight="12.75" x14ac:dyDescent="0.2"/>
  <cols>
    <col min="1" max="1" width="8" style="50" customWidth="1"/>
    <col min="2" max="2" width="23.85546875" style="50" customWidth="1"/>
    <col min="3" max="3" width="26.7109375" style="50" bestFit="1" customWidth="1"/>
    <col min="4" max="4" width="34" style="50" customWidth="1"/>
    <col min="5" max="5" width="25.42578125" style="50" customWidth="1"/>
    <col min="6" max="6" width="21" style="50" customWidth="1"/>
    <col min="7" max="7" width="15.28515625" style="50" bestFit="1" customWidth="1"/>
    <col min="8" max="10" width="11.42578125" style="50"/>
    <col min="11" max="11" width="29.7109375" style="50" customWidth="1"/>
    <col min="12" max="12" width="36.42578125" style="50" bestFit="1" customWidth="1"/>
    <col min="13" max="13" width="109.28515625" style="50" bestFit="1" customWidth="1"/>
    <col min="14" max="16384" width="11.42578125" style="50"/>
  </cols>
  <sheetData>
    <row r="2" spans="1:13" ht="20.25" x14ac:dyDescent="0.3">
      <c r="B2" s="308" t="s">
        <v>72</v>
      </c>
      <c r="C2" s="308"/>
      <c r="D2" s="308"/>
    </row>
    <row r="4" spans="1:13" ht="18.75" thickBot="1" x14ac:dyDescent="0.3">
      <c r="B4" s="68" t="s">
        <v>73</v>
      </c>
      <c r="C4" s="60"/>
    </row>
    <row r="5" spans="1:13" ht="15.75" x14ac:dyDescent="0.25">
      <c r="B5" s="69" t="s">
        <v>74</v>
      </c>
      <c r="C5" s="70"/>
      <c r="D5" s="70"/>
      <c r="E5" s="70"/>
      <c r="F5" s="70"/>
      <c r="G5" s="71"/>
      <c r="K5" s="72"/>
      <c r="L5" s="73"/>
      <c r="M5" s="73"/>
    </row>
    <row r="6" spans="1:13" ht="15" x14ac:dyDescent="0.2">
      <c r="B6" s="74"/>
      <c r="C6" s="52"/>
      <c r="D6" s="52"/>
      <c r="E6" s="52"/>
      <c r="F6" s="52"/>
      <c r="G6" s="75"/>
      <c r="K6" s="76"/>
      <c r="L6" s="73"/>
      <c r="M6" s="73"/>
    </row>
    <row r="7" spans="1:13" ht="15.75" x14ac:dyDescent="0.25">
      <c r="A7" s="77"/>
      <c r="B7" s="78"/>
      <c r="C7" s="79"/>
      <c r="D7" s="79"/>
      <c r="E7" s="80" t="s">
        <v>75</v>
      </c>
      <c r="F7" s="52"/>
      <c r="G7" s="75"/>
      <c r="K7" s="76"/>
      <c r="L7" s="73"/>
      <c r="M7" s="73"/>
    </row>
    <row r="8" spans="1:13" ht="15.75" x14ac:dyDescent="0.25">
      <c r="A8" s="77"/>
      <c r="B8" s="81" t="s">
        <v>76</v>
      </c>
      <c r="C8" s="82">
        <v>1</v>
      </c>
      <c r="D8" s="83"/>
      <c r="E8" s="84">
        <f>C8</f>
        <v>1</v>
      </c>
      <c r="F8" s="52"/>
      <c r="G8" s="75"/>
      <c r="K8" s="76"/>
      <c r="L8" s="73"/>
      <c r="M8" s="73"/>
    </row>
    <row r="9" spans="1:13" ht="15.75" x14ac:dyDescent="0.25">
      <c r="A9" s="77"/>
      <c r="B9" s="85" t="s">
        <v>77</v>
      </c>
      <c r="C9" s="86" t="str">
        <f ca="1">"15.10."&amp;YEAR(TODAY())</f>
        <v>15.10.2025</v>
      </c>
      <c r="D9" s="87"/>
      <c r="E9" s="88">
        <f ca="1">1*C9</f>
        <v>45945</v>
      </c>
      <c r="F9" s="52"/>
      <c r="G9" s="75"/>
      <c r="K9" s="76"/>
      <c r="L9" s="73"/>
      <c r="M9" s="73"/>
    </row>
    <row r="10" spans="1:13" ht="15.75" x14ac:dyDescent="0.25">
      <c r="A10" s="77"/>
      <c r="B10" s="78" t="s">
        <v>78</v>
      </c>
      <c r="C10" s="89" t="str">
        <f ca="1">"24.12."&amp;YEAR(TODAY())</f>
        <v>24.12.2025</v>
      </c>
      <c r="D10" s="90"/>
      <c r="E10" s="91">
        <f ca="1">C10*1</f>
        <v>46015</v>
      </c>
      <c r="F10" s="52"/>
      <c r="G10" s="75"/>
      <c r="K10" s="76"/>
      <c r="L10" s="73"/>
      <c r="M10" s="73"/>
    </row>
    <row r="11" spans="1:13" ht="15.75" x14ac:dyDescent="0.25">
      <c r="A11" s="77"/>
      <c r="B11" s="85"/>
      <c r="C11" s="87"/>
      <c r="D11" s="87"/>
      <c r="E11" s="92"/>
      <c r="F11" s="52"/>
      <c r="G11" s="75"/>
      <c r="K11" s="76"/>
      <c r="L11" s="73"/>
      <c r="M11" s="73"/>
    </row>
    <row r="12" spans="1:13" ht="15.75" x14ac:dyDescent="0.25">
      <c r="A12" s="77"/>
      <c r="B12" s="81" t="s">
        <v>79</v>
      </c>
      <c r="C12" s="93">
        <v>0.34375</v>
      </c>
      <c r="D12" s="94"/>
      <c r="E12" s="95">
        <f>C12</f>
        <v>0.34375</v>
      </c>
      <c r="F12" s="52"/>
      <c r="G12" s="75"/>
      <c r="K12" s="96"/>
      <c r="L12" s="73"/>
      <c r="M12" s="73"/>
    </row>
    <row r="13" spans="1:13" ht="15.75" x14ac:dyDescent="0.25">
      <c r="A13" s="77"/>
      <c r="B13" s="78" t="s">
        <v>80</v>
      </c>
      <c r="C13" s="97">
        <v>0.83333333333333337</v>
      </c>
      <c r="D13" s="90"/>
      <c r="E13" s="98">
        <f>C13</f>
        <v>0.83333333333333337</v>
      </c>
      <c r="F13" s="52"/>
      <c r="G13" s="75"/>
      <c r="K13" s="96"/>
      <c r="L13" s="73"/>
      <c r="M13" s="73"/>
    </row>
    <row r="14" spans="1:13" ht="15" x14ac:dyDescent="0.2">
      <c r="B14" s="99"/>
      <c r="C14" s="100"/>
      <c r="D14" s="101"/>
      <c r="E14" s="102"/>
      <c r="F14" s="52"/>
      <c r="G14" s="75"/>
      <c r="K14" s="73"/>
      <c r="L14" s="73"/>
      <c r="M14" s="73"/>
    </row>
    <row r="15" spans="1:13" ht="15.75" x14ac:dyDescent="0.25">
      <c r="B15" s="99"/>
      <c r="C15" s="100"/>
      <c r="D15" s="101"/>
      <c r="E15" s="102"/>
      <c r="F15" s="52"/>
      <c r="G15" s="75"/>
      <c r="K15" s="72"/>
      <c r="L15" s="73"/>
      <c r="M15" s="73"/>
    </row>
    <row r="16" spans="1:13" ht="45.75" customHeight="1" x14ac:dyDescent="0.2">
      <c r="B16" s="309" t="s">
        <v>81</v>
      </c>
      <c r="C16" s="310"/>
      <c r="D16" s="310"/>
      <c r="E16" s="310"/>
      <c r="F16" s="310"/>
      <c r="G16" s="311"/>
    </row>
    <row r="17" spans="2:7" ht="15.75" x14ac:dyDescent="0.25">
      <c r="B17" s="103" t="s">
        <v>82</v>
      </c>
      <c r="C17" s="100"/>
      <c r="D17" s="52"/>
      <c r="E17" s="52"/>
      <c r="F17" s="52"/>
      <c r="G17" s="75"/>
    </row>
    <row r="18" spans="2:7" ht="15" customHeight="1" x14ac:dyDescent="0.25">
      <c r="B18" s="85" t="s">
        <v>83</v>
      </c>
      <c r="C18" s="104"/>
      <c r="D18" s="105" t="s">
        <v>18</v>
      </c>
      <c r="E18" s="106" t="s">
        <v>84</v>
      </c>
      <c r="F18" s="105" t="s">
        <v>85</v>
      </c>
      <c r="G18" s="75"/>
    </row>
    <row r="19" spans="2:7" ht="15" customHeight="1" x14ac:dyDescent="0.25">
      <c r="B19" s="85"/>
      <c r="C19" s="104"/>
      <c r="D19" s="106">
        <v>41743</v>
      </c>
      <c r="E19" s="107">
        <v>0.34375</v>
      </c>
      <c r="F19" s="108">
        <f>D19+E19</f>
        <v>41743.34375</v>
      </c>
      <c r="G19" s="75"/>
    </row>
    <row r="20" spans="2:7" ht="15" customHeight="1" x14ac:dyDescent="0.25">
      <c r="B20" s="85"/>
      <c r="C20" s="104"/>
      <c r="D20" s="109"/>
      <c r="E20" s="110"/>
      <c r="F20" s="55"/>
      <c r="G20" s="75"/>
    </row>
    <row r="21" spans="2:7" ht="15" customHeight="1" x14ac:dyDescent="0.2">
      <c r="B21" s="85"/>
      <c r="C21" s="55"/>
      <c r="D21" s="55"/>
      <c r="E21" s="55"/>
      <c r="F21" s="55"/>
      <c r="G21" s="75"/>
    </row>
    <row r="22" spans="2:7" ht="15" customHeight="1" x14ac:dyDescent="0.25">
      <c r="B22" s="85" t="s">
        <v>86</v>
      </c>
      <c r="C22" s="104"/>
      <c r="D22" s="111" t="s">
        <v>87</v>
      </c>
      <c r="E22" s="112" t="s">
        <v>88</v>
      </c>
      <c r="F22" s="111" t="s">
        <v>89</v>
      </c>
      <c r="G22" s="75"/>
    </row>
    <row r="23" spans="2:7" ht="15" customHeight="1" x14ac:dyDescent="0.25">
      <c r="B23" s="85"/>
      <c r="C23" s="113" t="s">
        <v>90</v>
      </c>
      <c r="D23" s="114">
        <v>41743.34375</v>
      </c>
      <c r="E23" s="114">
        <v>41741.34375</v>
      </c>
      <c r="F23" s="108">
        <f>D23-E23</f>
        <v>2</v>
      </c>
      <c r="G23" s="75"/>
    </row>
    <row r="24" spans="2:7" ht="15.75" x14ac:dyDescent="0.25">
      <c r="B24" s="85"/>
      <c r="C24" s="115" t="s">
        <v>91</v>
      </c>
      <c r="D24" s="114">
        <v>41743.34375</v>
      </c>
      <c r="E24" s="114">
        <v>41741.34375</v>
      </c>
      <c r="F24" s="116">
        <f>D24-E24</f>
        <v>2</v>
      </c>
      <c r="G24" s="75"/>
    </row>
    <row r="25" spans="2:7" ht="15.75" x14ac:dyDescent="0.25">
      <c r="B25" s="85"/>
      <c r="C25" s="115" t="s">
        <v>92</v>
      </c>
      <c r="D25" s="87"/>
      <c r="E25" s="117"/>
      <c r="F25" s="55"/>
      <c r="G25" s="75"/>
    </row>
    <row r="26" spans="2:7" ht="15.75" x14ac:dyDescent="0.25">
      <c r="B26" s="85"/>
      <c r="C26" s="115"/>
      <c r="D26" s="87"/>
      <c r="E26" s="117"/>
      <c r="F26" s="55"/>
      <c r="G26" s="75"/>
    </row>
    <row r="27" spans="2:7" ht="16.5" thickBot="1" x14ac:dyDescent="0.3">
      <c r="B27" s="118" t="s">
        <v>93</v>
      </c>
      <c r="C27" s="119"/>
      <c r="D27" s="87"/>
      <c r="E27" s="117"/>
      <c r="F27" s="55"/>
      <c r="G27" s="75"/>
    </row>
    <row r="28" spans="2:7" ht="15.75" x14ac:dyDescent="0.25">
      <c r="B28" s="120" t="s">
        <v>94</v>
      </c>
      <c r="C28" s="121" t="s">
        <v>38</v>
      </c>
      <c r="D28" s="122"/>
      <c r="E28" s="117"/>
      <c r="F28" s="55"/>
      <c r="G28" s="75"/>
    </row>
    <row r="29" spans="2:7" ht="15.75" x14ac:dyDescent="0.25">
      <c r="B29" s="123" t="s">
        <v>95</v>
      </c>
      <c r="C29" s="124" t="s">
        <v>96</v>
      </c>
      <c r="D29" s="125"/>
      <c r="E29" s="117"/>
      <c r="F29" s="55"/>
      <c r="G29" s="75"/>
    </row>
    <row r="30" spans="2:7" ht="15.75" x14ac:dyDescent="0.25">
      <c r="B30" s="123" t="s">
        <v>97</v>
      </c>
      <c r="C30" s="124" t="s">
        <v>98</v>
      </c>
      <c r="D30" s="125"/>
      <c r="E30" s="117"/>
      <c r="F30" s="55"/>
      <c r="G30" s="75"/>
    </row>
    <row r="31" spans="2:7" ht="15.75" x14ac:dyDescent="0.25">
      <c r="B31" s="123" t="s">
        <v>99</v>
      </c>
      <c r="C31" s="124" t="s">
        <v>100</v>
      </c>
      <c r="D31" s="125"/>
      <c r="E31" s="117"/>
      <c r="F31" s="55"/>
      <c r="G31" s="75"/>
    </row>
    <row r="32" spans="2:7" ht="15.75" x14ac:dyDescent="0.25">
      <c r="B32" s="123" t="s">
        <v>101</v>
      </c>
      <c r="C32" s="124" t="s">
        <v>102</v>
      </c>
      <c r="D32" s="125"/>
      <c r="E32" s="117"/>
      <c r="F32" s="55"/>
      <c r="G32" s="75"/>
    </row>
    <row r="33" spans="1:7" ht="15.75" x14ac:dyDescent="0.25">
      <c r="B33" s="123" t="s">
        <v>103</v>
      </c>
      <c r="C33" s="124" t="s">
        <v>104</v>
      </c>
      <c r="D33" s="125"/>
      <c r="E33" s="117"/>
      <c r="F33" s="55"/>
      <c r="G33" s="75"/>
    </row>
    <row r="34" spans="1:7" ht="15.75" x14ac:dyDescent="0.25">
      <c r="B34" s="126" t="s">
        <v>105</v>
      </c>
      <c r="C34" s="124" t="s">
        <v>106</v>
      </c>
      <c r="D34" s="125"/>
      <c r="E34" s="117"/>
      <c r="F34" s="55"/>
      <c r="G34" s="75"/>
    </row>
    <row r="35" spans="1:7" ht="16.5" thickBot="1" x14ac:dyDescent="0.3">
      <c r="B35" s="127" t="s">
        <v>107</v>
      </c>
      <c r="C35" s="128" t="s">
        <v>108</v>
      </c>
      <c r="D35" s="129"/>
      <c r="E35" s="117"/>
      <c r="F35" s="55"/>
      <c r="G35" s="75"/>
    </row>
    <row r="36" spans="1:7" ht="15.75" x14ac:dyDescent="0.25">
      <c r="B36" s="85"/>
      <c r="C36" s="115"/>
      <c r="D36" s="87"/>
      <c r="E36" s="117"/>
      <c r="F36" s="55"/>
      <c r="G36" s="75"/>
    </row>
    <row r="37" spans="1:7" ht="16.5" thickBot="1" x14ac:dyDescent="0.3">
      <c r="B37" s="118" t="s">
        <v>109</v>
      </c>
      <c r="C37" s="119"/>
      <c r="D37" s="87"/>
      <c r="E37" s="117"/>
      <c r="F37" s="55"/>
      <c r="G37" s="75"/>
    </row>
    <row r="38" spans="1:7" ht="16.149999999999999" customHeight="1" thickBot="1" x14ac:dyDescent="0.25">
      <c r="A38" s="77"/>
      <c r="B38" s="130" t="s">
        <v>110</v>
      </c>
      <c r="C38" s="131" t="s">
        <v>111</v>
      </c>
      <c r="D38" s="312" t="s">
        <v>112</v>
      </c>
      <c r="E38" s="313"/>
      <c r="F38" s="313"/>
      <c r="G38" s="314"/>
    </row>
    <row r="39" spans="1:7" ht="15.6" customHeight="1" x14ac:dyDescent="0.2">
      <c r="A39" s="77"/>
      <c r="B39" s="132" t="s">
        <v>113</v>
      </c>
      <c r="C39" s="133" t="s">
        <v>114</v>
      </c>
      <c r="D39" s="315" t="s">
        <v>115</v>
      </c>
      <c r="E39" s="316"/>
      <c r="F39" s="316"/>
      <c r="G39" s="317"/>
    </row>
    <row r="40" spans="1:7" ht="15.6" customHeight="1" x14ac:dyDescent="0.2">
      <c r="A40" s="77"/>
      <c r="B40" s="134">
        <v>0.34739583333333335</v>
      </c>
      <c r="C40" s="135" t="s">
        <v>116</v>
      </c>
      <c r="D40" s="305" t="s">
        <v>117</v>
      </c>
      <c r="E40" s="306"/>
      <c r="F40" s="306"/>
      <c r="G40" s="307"/>
    </row>
    <row r="41" spans="1:7" ht="15" x14ac:dyDescent="0.2">
      <c r="A41" s="77"/>
      <c r="B41" s="136">
        <v>42000.347395833334</v>
      </c>
      <c r="C41" s="135" t="s">
        <v>118</v>
      </c>
      <c r="D41" s="305" t="s">
        <v>119</v>
      </c>
      <c r="E41" s="306"/>
      <c r="F41" s="306"/>
      <c r="G41" s="307"/>
    </row>
    <row r="42" spans="1:7" ht="15" customHeight="1" x14ac:dyDescent="0.2">
      <c r="A42" s="77"/>
      <c r="B42" s="137">
        <v>1.4666666666666668</v>
      </c>
      <c r="C42" s="138" t="s">
        <v>120</v>
      </c>
      <c r="D42" s="319" t="s">
        <v>121</v>
      </c>
      <c r="E42" s="320"/>
      <c r="F42" s="320"/>
      <c r="G42" s="321"/>
    </row>
    <row r="43" spans="1:7" ht="15.75" thickBot="1" x14ac:dyDescent="0.25">
      <c r="A43" s="77"/>
      <c r="B43" s="139">
        <v>1.4666666666666666</v>
      </c>
      <c r="C43" s="140" t="s">
        <v>122</v>
      </c>
      <c r="D43" s="322" t="s">
        <v>123</v>
      </c>
      <c r="E43" s="323"/>
      <c r="F43" s="323"/>
      <c r="G43" s="324"/>
    </row>
    <row r="44" spans="1:7" ht="13.5" thickBot="1" x14ac:dyDescent="0.25">
      <c r="B44" s="141"/>
      <c r="C44" s="142"/>
      <c r="D44" s="143"/>
      <c r="E44" s="143"/>
      <c r="F44" s="143"/>
      <c r="G44" s="144"/>
    </row>
    <row r="45" spans="1:7" ht="13.5" thickBot="1" x14ac:dyDescent="0.25"/>
    <row r="46" spans="1:7" ht="15" x14ac:dyDescent="0.2">
      <c r="B46" s="145"/>
      <c r="C46" s="146"/>
      <c r="D46" s="146"/>
      <c r="E46" s="146"/>
      <c r="F46" s="146"/>
      <c r="G46" s="147"/>
    </row>
    <row r="47" spans="1:7" ht="15.75" x14ac:dyDescent="0.25">
      <c r="B47" s="325" t="s">
        <v>124</v>
      </c>
      <c r="C47" s="326"/>
      <c r="D47" s="326"/>
      <c r="E47" s="326"/>
      <c r="F47" s="326"/>
      <c r="G47" s="327"/>
    </row>
    <row r="48" spans="1:7" ht="14.25" customHeight="1" x14ac:dyDescent="0.25">
      <c r="B48" s="103"/>
      <c r="C48" s="55"/>
      <c r="D48" s="55"/>
      <c r="E48" s="55"/>
      <c r="F48" s="55"/>
      <c r="G48" s="148"/>
    </row>
    <row r="49" spans="2:7" ht="15" x14ac:dyDescent="0.2">
      <c r="B49" s="85" t="s">
        <v>125</v>
      </c>
      <c r="C49" s="55"/>
      <c r="D49" s="55"/>
      <c r="E49" s="55"/>
      <c r="F49" s="55"/>
      <c r="G49" s="148"/>
    </row>
    <row r="50" spans="2:7" ht="15.75" thickBot="1" x14ac:dyDescent="0.25">
      <c r="B50" s="85"/>
      <c r="C50" s="55"/>
      <c r="D50" s="149"/>
      <c r="E50" s="55"/>
      <c r="F50" s="55"/>
      <c r="G50" s="148"/>
    </row>
    <row r="51" spans="2:7" ht="16.5" thickTop="1" x14ac:dyDescent="0.25">
      <c r="B51" s="150" t="s">
        <v>126</v>
      </c>
      <c r="C51" s="151" t="s">
        <v>96</v>
      </c>
      <c r="D51" s="152" t="s">
        <v>38</v>
      </c>
      <c r="E51" s="153" t="s">
        <v>18</v>
      </c>
      <c r="F51" s="55"/>
      <c r="G51" s="148"/>
    </row>
    <row r="52" spans="2:7" ht="15" x14ac:dyDescent="0.2">
      <c r="B52" s="154">
        <v>2014</v>
      </c>
      <c r="C52" s="155">
        <v>5</v>
      </c>
      <c r="D52" s="156">
        <v>14</v>
      </c>
      <c r="E52" s="157">
        <f>DATE(B52,C52,D52)</f>
        <v>41773</v>
      </c>
      <c r="F52" s="55"/>
      <c r="G52" s="148"/>
    </row>
    <row r="53" spans="2:7" ht="15.75" thickBot="1" x14ac:dyDescent="0.25">
      <c r="B53" s="158"/>
      <c r="C53" s="55"/>
      <c r="D53" s="55"/>
      <c r="E53" s="73"/>
      <c r="F53" s="55"/>
      <c r="G53" s="148"/>
    </row>
    <row r="54" spans="2:7" ht="16.5" thickTop="1" x14ac:dyDescent="0.25">
      <c r="B54" s="159" t="s">
        <v>127</v>
      </c>
      <c r="C54" s="151" t="s">
        <v>128</v>
      </c>
      <c r="D54" s="160" t="s">
        <v>129</v>
      </c>
      <c r="E54" s="153" t="s">
        <v>130</v>
      </c>
      <c r="F54" s="56"/>
      <c r="G54" s="148"/>
    </row>
    <row r="55" spans="2:7" ht="15" x14ac:dyDescent="0.2">
      <c r="B55" s="78">
        <v>15</v>
      </c>
      <c r="C55" s="79">
        <v>29</v>
      </c>
      <c r="D55" s="113">
        <v>15</v>
      </c>
      <c r="E55" s="161">
        <f>TIME(B55,C55,D55)</f>
        <v>0.64531250000000007</v>
      </c>
      <c r="F55" s="55"/>
      <c r="G55" s="148"/>
    </row>
    <row r="56" spans="2:7" ht="15.75" thickBot="1" x14ac:dyDescent="0.25">
      <c r="B56" s="78">
        <v>15</v>
      </c>
      <c r="C56" s="79">
        <v>64</v>
      </c>
      <c r="D56" s="113">
        <v>15</v>
      </c>
      <c r="E56" s="161">
        <f>TIME(B56,C56,D56)</f>
        <v>0.66961805555555554</v>
      </c>
      <c r="F56" s="162"/>
      <c r="G56" s="163"/>
    </row>
    <row r="57" spans="2:7" ht="15" x14ac:dyDescent="0.2">
      <c r="B57" s="145"/>
      <c r="C57" s="146"/>
      <c r="D57" s="146"/>
      <c r="E57" s="164"/>
      <c r="F57" s="146"/>
      <c r="G57" s="147"/>
    </row>
    <row r="58" spans="2:7" ht="15.75" x14ac:dyDescent="0.25">
      <c r="B58" s="325" t="s">
        <v>131</v>
      </c>
      <c r="C58" s="326"/>
      <c r="D58" s="326"/>
      <c r="E58" s="326"/>
      <c r="F58" s="326"/>
      <c r="G58" s="327"/>
    </row>
    <row r="59" spans="2:7" ht="15" x14ac:dyDescent="0.2">
      <c r="B59" s="85"/>
      <c r="C59" s="55"/>
      <c r="D59" s="55"/>
      <c r="E59" s="55"/>
      <c r="F59" s="55"/>
      <c r="G59" s="148"/>
    </row>
    <row r="60" spans="2:7" ht="15" x14ac:dyDescent="0.2">
      <c r="B60" s="85" t="s">
        <v>132</v>
      </c>
      <c r="C60" s="55"/>
      <c r="D60" s="55"/>
      <c r="E60" s="55"/>
      <c r="F60" s="55"/>
      <c r="G60" s="148"/>
    </row>
    <row r="61" spans="2:7" ht="15.75" x14ac:dyDescent="0.25">
      <c r="B61" s="103"/>
      <c r="C61" s="55"/>
      <c r="D61" s="55"/>
      <c r="E61" s="55"/>
      <c r="F61" s="55"/>
      <c r="G61" s="148"/>
    </row>
    <row r="62" spans="2:7" ht="15.75" x14ac:dyDescent="0.25">
      <c r="B62" s="165" t="s">
        <v>133</v>
      </c>
      <c r="C62" s="166" t="s">
        <v>126</v>
      </c>
      <c r="D62" s="166" t="s">
        <v>38</v>
      </c>
      <c r="E62" s="167" t="s">
        <v>96</v>
      </c>
      <c r="F62" s="55"/>
      <c r="G62" s="148"/>
    </row>
    <row r="63" spans="2:7" ht="15" x14ac:dyDescent="0.2">
      <c r="B63" s="168">
        <v>41788</v>
      </c>
      <c r="C63" s="169">
        <f>YEAR(B63)</f>
        <v>2014</v>
      </c>
      <c r="D63" s="169">
        <f>DAY(B63)</f>
        <v>29</v>
      </c>
      <c r="E63" s="170">
        <f>MONTH(B63)</f>
        <v>5</v>
      </c>
      <c r="F63" s="55"/>
      <c r="G63" s="148"/>
    </row>
    <row r="64" spans="2:7" ht="15" x14ac:dyDescent="0.2">
      <c r="B64" s="171"/>
      <c r="C64" s="55"/>
      <c r="D64" s="55"/>
      <c r="E64" s="55"/>
      <c r="F64" s="55"/>
      <c r="G64" s="148"/>
    </row>
    <row r="65" spans="2:7" ht="15.75" x14ac:dyDescent="0.25">
      <c r="B65" s="165" t="s">
        <v>134</v>
      </c>
      <c r="C65" s="166" t="s">
        <v>100</v>
      </c>
      <c r="D65" s="166" t="s">
        <v>102</v>
      </c>
      <c r="E65" s="167" t="s">
        <v>104</v>
      </c>
      <c r="F65" s="55"/>
      <c r="G65" s="148"/>
    </row>
    <row r="66" spans="2:7" ht="15" x14ac:dyDescent="0.2">
      <c r="B66" s="172">
        <v>0.62190972222222218</v>
      </c>
      <c r="C66" s="169">
        <f>HOUR(B66)</f>
        <v>14</v>
      </c>
      <c r="D66" s="169">
        <f>MINUTE(B66)</f>
        <v>55</v>
      </c>
      <c r="E66" s="170">
        <f>SECOND(B66)</f>
        <v>33</v>
      </c>
      <c r="F66" s="55"/>
      <c r="G66" s="148"/>
    </row>
    <row r="67" spans="2:7" ht="15.75" thickBot="1" x14ac:dyDescent="0.25">
      <c r="B67" s="173"/>
      <c r="C67" s="162"/>
      <c r="D67" s="162"/>
      <c r="E67" s="162"/>
      <c r="F67" s="162"/>
      <c r="G67" s="163"/>
    </row>
    <row r="68" spans="2:7" ht="15" x14ac:dyDescent="0.2">
      <c r="B68" s="145"/>
      <c r="C68" s="146"/>
      <c r="D68" s="146"/>
      <c r="E68" s="146"/>
      <c r="F68" s="146"/>
      <c r="G68" s="147"/>
    </row>
    <row r="69" spans="2:7" ht="15" x14ac:dyDescent="0.2">
      <c r="B69" s="85" t="s">
        <v>135</v>
      </c>
      <c r="C69" s="55"/>
      <c r="D69" s="55"/>
      <c r="E69" s="55"/>
      <c r="F69" s="55"/>
      <c r="G69" s="148"/>
    </row>
    <row r="70" spans="2:7" ht="15.75" x14ac:dyDescent="0.25">
      <c r="B70" s="103"/>
      <c r="C70" s="55"/>
      <c r="D70" s="55"/>
      <c r="E70" s="55"/>
      <c r="F70" s="55"/>
      <c r="G70" s="148"/>
    </row>
    <row r="71" spans="2:7" ht="15.75" x14ac:dyDescent="0.25">
      <c r="B71" s="325" t="s">
        <v>136</v>
      </c>
      <c r="C71" s="326"/>
      <c r="D71" s="326"/>
      <c r="E71" s="326"/>
      <c r="F71" s="326"/>
      <c r="G71" s="327"/>
    </row>
    <row r="72" spans="2:7" ht="15" x14ac:dyDescent="0.2">
      <c r="B72" s="85"/>
      <c r="C72" s="55"/>
      <c r="D72" s="55"/>
      <c r="E72" s="55"/>
      <c r="F72" s="55"/>
      <c r="G72" s="148"/>
    </row>
    <row r="73" spans="2:7" ht="15.75" x14ac:dyDescent="0.25">
      <c r="B73" s="174" t="s">
        <v>137</v>
      </c>
      <c r="C73" s="166" t="s">
        <v>138</v>
      </c>
      <c r="D73" s="328" t="s">
        <v>139</v>
      </c>
      <c r="E73" s="328"/>
      <c r="F73" s="55"/>
      <c r="G73" s="148"/>
    </row>
    <row r="74" spans="2:7" ht="15" x14ac:dyDescent="0.2">
      <c r="B74" s="175">
        <v>41713.336805555555</v>
      </c>
      <c r="C74" s="176">
        <v>41715.290972222225</v>
      </c>
      <c r="D74" s="318">
        <f>C74-B74</f>
        <v>1.9541666666700621</v>
      </c>
      <c r="E74" s="318"/>
      <c r="F74" s="55"/>
      <c r="G74" s="148"/>
    </row>
    <row r="75" spans="2:7" ht="15" x14ac:dyDescent="0.2">
      <c r="B75" s="177"/>
      <c r="C75" s="55"/>
      <c r="D75" s="55"/>
      <c r="E75" s="55"/>
      <c r="F75" s="55"/>
      <c r="G75" s="148"/>
    </row>
    <row r="76" spans="2:7" ht="15.75" thickBot="1" x14ac:dyDescent="0.25">
      <c r="B76" s="178"/>
      <c r="C76" s="179"/>
      <c r="D76" s="162"/>
      <c r="E76" s="162"/>
      <c r="F76" s="162"/>
      <c r="G76" s="163"/>
    </row>
    <row r="78" spans="2:7" x14ac:dyDescent="0.2">
      <c r="B78" s="180"/>
    </row>
    <row r="79" spans="2:7" x14ac:dyDescent="0.2">
      <c r="B79" s="180"/>
    </row>
    <row r="80" spans="2:7" ht="18.75" thickBot="1" x14ac:dyDescent="0.3">
      <c r="B80" s="68" t="s">
        <v>140</v>
      </c>
      <c r="C80" s="60"/>
    </row>
    <row r="81" spans="2:11" x14ac:dyDescent="0.2">
      <c r="B81" s="181" t="s">
        <v>141</v>
      </c>
      <c r="C81" s="182"/>
      <c r="D81" s="182"/>
      <c r="E81" s="182"/>
      <c r="F81" s="182"/>
      <c r="G81" s="182"/>
      <c r="H81" s="182"/>
      <c r="I81" s="182"/>
      <c r="J81" s="182"/>
      <c r="K81" s="183"/>
    </row>
    <row r="82" spans="2:11" ht="13.5" thickBot="1" x14ac:dyDescent="0.25">
      <c r="B82" s="184" t="s">
        <v>142</v>
      </c>
      <c r="C82" s="185"/>
      <c r="D82" s="185"/>
      <c r="E82" s="185"/>
      <c r="F82" s="185"/>
      <c r="G82" s="185"/>
      <c r="H82" s="185"/>
      <c r="I82" s="185"/>
      <c r="J82" s="185"/>
      <c r="K82" s="186"/>
    </row>
    <row r="83" spans="2:11" x14ac:dyDescent="0.2">
      <c r="B83" s="187"/>
      <c r="K83" s="77"/>
    </row>
    <row r="84" spans="2:11" x14ac:dyDescent="0.2">
      <c r="B84" s="188" t="s">
        <v>143</v>
      </c>
      <c r="C84" s="189" t="s">
        <v>126</v>
      </c>
      <c r="D84" s="190" t="s">
        <v>96</v>
      </c>
      <c r="E84" s="191" t="s">
        <v>38</v>
      </c>
      <c r="F84" s="190" t="s">
        <v>127</v>
      </c>
      <c r="G84" s="190" t="s">
        <v>128</v>
      </c>
      <c r="H84" s="191" t="s">
        <v>129</v>
      </c>
      <c r="I84" s="189" t="s">
        <v>18</v>
      </c>
      <c r="J84" s="192" t="s">
        <v>130</v>
      </c>
      <c r="K84" s="193" t="s">
        <v>144</v>
      </c>
    </row>
    <row r="85" spans="2:11" x14ac:dyDescent="0.2">
      <c r="B85" s="187"/>
      <c r="C85" s="194"/>
      <c r="E85" s="195"/>
      <c r="H85" s="195"/>
      <c r="I85" s="194"/>
      <c r="J85" s="196"/>
      <c r="K85" s="197"/>
    </row>
    <row r="86" spans="2:11" x14ac:dyDescent="0.2">
      <c r="B86" s="198">
        <v>1</v>
      </c>
      <c r="C86" s="199">
        <v>1997</v>
      </c>
      <c r="D86" s="200">
        <v>3</v>
      </c>
      <c r="E86" s="201">
        <v>31</v>
      </c>
      <c r="F86" s="200">
        <v>8</v>
      </c>
      <c r="G86" s="200">
        <v>6</v>
      </c>
      <c r="H86" s="201">
        <v>14</v>
      </c>
      <c r="I86" s="202">
        <f>DATE(C86,D86,E86)</f>
        <v>35520</v>
      </c>
      <c r="J86" s="203">
        <f>TIME(F86,G86,H86)</f>
        <v>0.33766203703703707</v>
      </c>
      <c r="K86" s="204">
        <f>DATE(C86,D86,E86)+TIME(F86,G86,H86)</f>
        <v>35520.33766203704</v>
      </c>
    </row>
    <row r="87" spans="2:11" x14ac:dyDescent="0.2">
      <c r="B87" s="198">
        <v>2</v>
      </c>
      <c r="C87" s="199">
        <v>2003</v>
      </c>
      <c r="D87" s="200">
        <v>5</v>
      </c>
      <c r="E87" s="201">
        <v>22</v>
      </c>
      <c r="F87" s="200">
        <v>10</v>
      </c>
      <c r="G87" s="200">
        <v>14</v>
      </c>
      <c r="H87" s="201">
        <v>16</v>
      </c>
      <c r="I87" s="202">
        <f t="shared" ref="I87:I93" si="0">DATE(C87,D87,E87)</f>
        <v>37763</v>
      </c>
      <c r="J87" s="203">
        <f t="shared" ref="J87:J93" si="1">TIME(F87,G87,H87)</f>
        <v>0.42657407407407405</v>
      </c>
      <c r="K87" s="204">
        <f t="shared" ref="K87:K93" si="2">DATE(C87,D87,E87)+TIME(F87,G87,H87)</f>
        <v>37763.426574074074</v>
      </c>
    </row>
    <row r="88" spans="2:11" x14ac:dyDescent="0.2">
      <c r="B88" s="198">
        <v>3</v>
      </c>
      <c r="C88" s="199">
        <v>1999</v>
      </c>
      <c r="D88" s="200">
        <v>6</v>
      </c>
      <c r="E88" s="201">
        <v>15</v>
      </c>
      <c r="F88" s="200">
        <v>9</v>
      </c>
      <c r="G88" s="200">
        <v>55</v>
      </c>
      <c r="H88" s="201">
        <v>0</v>
      </c>
      <c r="I88" s="202">
        <f t="shared" si="0"/>
        <v>36326</v>
      </c>
      <c r="J88" s="203">
        <f t="shared" si="1"/>
        <v>0.41319444444444442</v>
      </c>
      <c r="K88" s="204">
        <f t="shared" si="2"/>
        <v>36326.413194444445</v>
      </c>
    </row>
    <row r="89" spans="2:11" x14ac:dyDescent="0.2">
      <c r="B89" s="198">
        <v>4</v>
      </c>
      <c r="C89" s="199">
        <v>2001</v>
      </c>
      <c r="D89" s="200">
        <v>12</v>
      </c>
      <c r="E89" s="201">
        <v>17</v>
      </c>
      <c r="F89" s="200">
        <v>15</v>
      </c>
      <c r="G89" s="200">
        <v>53</v>
      </c>
      <c r="H89" s="201">
        <v>59</v>
      </c>
      <c r="I89" s="202">
        <f t="shared" si="0"/>
        <v>37242</v>
      </c>
      <c r="J89" s="203">
        <f t="shared" si="1"/>
        <v>0.66248842592592594</v>
      </c>
      <c r="K89" s="204">
        <f t="shared" si="2"/>
        <v>37242.662488425929</v>
      </c>
    </row>
    <row r="90" spans="2:11" x14ac:dyDescent="0.2">
      <c r="B90" s="198">
        <v>5</v>
      </c>
      <c r="C90" s="199">
        <v>2005</v>
      </c>
      <c r="D90" s="200">
        <v>10</v>
      </c>
      <c r="E90" s="201">
        <v>3</v>
      </c>
      <c r="F90" s="200">
        <v>11</v>
      </c>
      <c r="G90" s="200">
        <v>43</v>
      </c>
      <c r="H90" s="201">
        <v>11</v>
      </c>
      <c r="I90" s="202">
        <f t="shared" si="0"/>
        <v>38628</v>
      </c>
      <c r="J90" s="203">
        <f t="shared" si="1"/>
        <v>0.48832175925925925</v>
      </c>
      <c r="K90" s="204">
        <f t="shared" si="2"/>
        <v>38628.488321759258</v>
      </c>
    </row>
    <row r="91" spans="2:11" x14ac:dyDescent="0.2">
      <c r="B91" s="198">
        <v>6</v>
      </c>
      <c r="C91" s="199">
        <v>2005</v>
      </c>
      <c r="D91" s="200">
        <v>1</v>
      </c>
      <c r="E91" s="201">
        <v>5</v>
      </c>
      <c r="F91" s="200">
        <v>9</v>
      </c>
      <c r="G91" s="200">
        <v>17</v>
      </c>
      <c r="H91" s="201">
        <v>33</v>
      </c>
      <c r="I91" s="202">
        <f t="shared" si="0"/>
        <v>38357</v>
      </c>
      <c r="J91" s="203">
        <f t="shared" si="1"/>
        <v>0.38718750000000002</v>
      </c>
      <c r="K91" s="204">
        <f t="shared" si="2"/>
        <v>38357.387187499997</v>
      </c>
    </row>
    <row r="92" spans="2:11" x14ac:dyDescent="0.2">
      <c r="B92" s="198">
        <v>7</v>
      </c>
      <c r="C92" s="199">
        <v>2005</v>
      </c>
      <c r="D92" s="200">
        <v>5</v>
      </c>
      <c r="E92" s="201">
        <v>21</v>
      </c>
      <c r="F92" s="200">
        <v>14</v>
      </c>
      <c r="G92" s="200">
        <v>14</v>
      </c>
      <c r="H92" s="201">
        <v>47</v>
      </c>
      <c r="I92" s="202">
        <f t="shared" si="0"/>
        <v>38493</v>
      </c>
      <c r="J92" s="203">
        <f t="shared" si="1"/>
        <v>0.59359953703703705</v>
      </c>
      <c r="K92" s="204">
        <f t="shared" si="2"/>
        <v>38493.593599537038</v>
      </c>
    </row>
    <row r="93" spans="2:11" x14ac:dyDescent="0.2">
      <c r="B93" s="205">
        <v>8</v>
      </c>
      <c r="C93" s="206">
        <v>2008</v>
      </c>
      <c r="D93" s="207">
        <v>5</v>
      </c>
      <c r="E93" s="208">
        <v>30</v>
      </c>
      <c r="F93" s="207">
        <v>9</v>
      </c>
      <c r="G93" s="207">
        <v>0</v>
      </c>
      <c r="H93" s="208">
        <v>7</v>
      </c>
      <c r="I93" s="209">
        <f t="shared" si="0"/>
        <v>39598</v>
      </c>
      <c r="J93" s="210">
        <f t="shared" si="1"/>
        <v>0.37508101851851849</v>
      </c>
      <c r="K93" s="211">
        <f t="shared" si="2"/>
        <v>39598.375081018516</v>
      </c>
    </row>
    <row r="94" spans="2:11" ht="13.5" thickBot="1" x14ac:dyDescent="0.25">
      <c r="B94" s="212"/>
      <c r="C94" s="213"/>
      <c r="D94" s="213"/>
      <c r="E94" s="213"/>
      <c r="F94" s="213"/>
      <c r="G94" s="213"/>
      <c r="H94" s="213"/>
      <c r="I94" s="213"/>
      <c r="J94" s="213"/>
      <c r="K94" s="214"/>
    </row>
    <row r="96" spans="2:11" ht="13.5" thickBot="1" x14ac:dyDescent="0.25"/>
    <row r="97" spans="2:11" x14ac:dyDescent="0.2">
      <c r="B97" s="181" t="s">
        <v>145</v>
      </c>
      <c r="C97" s="182"/>
      <c r="D97" s="182"/>
      <c r="E97" s="182"/>
      <c r="F97" s="182"/>
      <c r="G97" s="182"/>
      <c r="H97" s="182"/>
      <c r="I97" s="182"/>
      <c r="J97" s="182"/>
      <c r="K97" s="183"/>
    </row>
    <row r="98" spans="2:11" ht="13.5" thickBot="1" x14ac:dyDescent="0.25">
      <c r="B98" s="215" t="s">
        <v>146</v>
      </c>
      <c r="C98" s="185"/>
      <c r="D98" s="185"/>
      <c r="E98" s="185"/>
      <c r="F98" s="185"/>
      <c r="G98" s="185"/>
      <c r="H98" s="185"/>
      <c r="I98" s="185"/>
      <c r="J98" s="185"/>
      <c r="K98" s="186"/>
    </row>
    <row r="99" spans="2:11" x14ac:dyDescent="0.2">
      <c r="B99" s="216"/>
      <c r="C99" s="217"/>
      <c r="D99" s="217"/>
      <c r="E99" s="217"/>
      <c r="F99" s="217"/>
      <c r="G99" s="217"/>
      <c r="H99" s="217"/>
      <c r="I99" s="217"/>
      <c r="J99" s="217"/>
      <c r="K99" s="218"/>
    </row>
    <row r="100" spans="2:11" x14ac:dyDescent="0.2">
      <c r="B100" s="219" t="s">
        <v>133</v>
      </c>
      <c r="C100" s="190" t="s">
        <v>126</v>
      </c>
      <c r="D100" s="190" t="s">
        <v>38</v>
      </c>
      <c r="E100" s="191" t="s">
        <v>96</v>
      </c>
      <c r="K100" s="77"/>
    </row>
    <row r="101" spans="2:11" x14ac:dyDescent="0.2">
      <c r="B101" s="220">
        <v>38866</v>
      </c>
      <c r="C101" s="221">
        <f>YEAR(B101)</f>
        <v>2006</v>
      </c>
      <c r="D101" s="221">
        <f>DAY(B101)</f>
        <v>29</v>
      </c>
      <c r="E101" s="222">
        <f>MONTH(B101)</f>
        <v>5</v>
      </c>
      <c r="K101" s="77"/>
    </row>
    <row r="102" spans="2:11" x14ac:dyDescent="0.2">
      <c r="B102" s="220">
        <v>38899</v>
      </c>
      <c r="C102" s="221">
        <f t="shared" ref="C102:C107" si="3">YEAR(B102)</f>
        <v>2006</v>
      </c>
      <c r="D102" s="221">
        <f t="shared" ref="D102:D107" si="4">DAY(B102)</f>
        <v>1</v>
      </c>
      <c r="E102" s="222">
        <f t="shared" ref="E102:E107" si="5">MONTH(B102)</f>
        <v>7</v>
      </c>
      <c r="K102" s="77"/>
    </row>
    <row r="103" spans="2:11" x14ac:dyDescent="0.2">
      <c r="B103" s="220">
        <v>39075</v>
      </c>
      <c r="C103" s="221">
        <f t="shared" si="3"/>
        <v>2006</v>
      </c>
      <c r="D103" s="221">
        <f t="shared" si="4"/>
        <v>24</v>
      </c>
      <c r="E103" s="222">
        <f t="shared" si="5"/>
        <v>12</v>
      </c>
      <c r="K103" s="77"/>
    </row>
    <row r="104" spans="2:11" x14ac:dyDescent="0.2">
      <c r="B104" s="220">
        <v>39082</v>
      </c>
      <c r="C104" s="221">
        <f t="shared" si="3"/>
        <v>2006</v>
      </c>
      <c r="D104" s="221">
        <f t="shared" si="4"/>
        <v>31</v>
      </c>
      <c r="E104" s="222">
        <f t="shared" si="5"/>
        <v>12</v>
      </c>
      <c r="K104" s="77"/>
    </row>
    <row r="105" spans="2:11" x14ac:dyDescent="0.2">
      <c r="B105" s="220">
        <v>39118</v>
      </c>
      <c r="C105" s="221">
        <f t="shared" si="3"/>
        <v>2007</v>
      </c>
      <c r="D105" s="221">
        <f t="shared" si="4"/>
        <v>5</v>
      </c>
      <c r="E105" s="222">
        <f t="shared" si="5"/>
        <v>2</v>
      </c>
      <c r="K105" s="77"/>
    </row>
    <row r="106" spans="2:11" x14ac:dyDescent="0.2">
      <c r="B106" s="220">
        <v>39135</v>
      </c>
      <c r="C106" s="221">
        <f t="shared" si="3"/>
        <v>2007</v>
      </c>
      <c r="D106" s="221">
        <f t="shared" si="4"/>
        <v>22</v>
      </c>
      <c r="E106" s="222">
        <f t="shared" si="5"/>
        <v>2</v>
      </c>
      <c r="K106" s="77"/>
    </row>
    <row r="107" spans="2:11" x14ac:dyDescent="0.2">
      <c r="B107" s="223">
        <v>39186</v>
      </c>
      <c r="C107" s="224">
        <f t="shared" si="3"/>
        <v>2007</v>
      </c>
      <c r="D107" s="225">
        <f t="shared" si="4"/>
        <v>14</v>
      </c>
      <c r="E107" s="226">
        <f t="shared" si="5"/>
        <v>4</v>
      </c>
      <c r="K107" s="77"/>
    </row>
    <row r="108" spans="2:11" x14ac:dyDescent="0.2">
      <c r="B108" s="187"/>
      <c r="K108" s="77"/>
    </row>
    <row r="109" spans="2:11" x14ac:dyDescent="0.2">
      <c r="B109" s="219" t="s">
        <v>84</v>
      </c>
      <c r="C109" s="189" t="s">
        <v>100</v>
      </c>
      <c r="D109" s="190" t="s">
        <v>102</v>
      </c>
      <c r="E109" s="191" t="s">
        <v>104</v>
      </c>
      <c r="K109" s="77"/>
    </row>
    <row r="110" spans="2:11" x14ac:dyDescent="0.2">
      <c r="B110" s="227">
        <v>0.57315972222222222</v>
      </c>
      <c r="C110" s="228">
        <f>HOUR(B110)</f>
        <v>13</v>
      </c>
      <c r="D110" s="221">
        <f>MINUTE(B110)</f>
        <v>45</v>
      </c>
      <c r="E110" s="222">
        <f>SECOND(B110)</f>
        <v>21</v>
      </c>
      <c r="F110" s="229"/>
      <c r="G110" s="230"/>
      <c r="K110" s="77"/>
    </row>
    <row r="111" spans="2:11" x14ac:dyDescent="0.2">
      <c r="B111" s="227">
        <v>0.52084490740740741</v>
      </c>
      <c r="C111" s="228">
        <f t="shared" ref="C111:C116" si="6">HOUR(B111)</f>
        <v>12</v>
      </c>
      <c r="D111" s="221">
        <f t="shared" ref="D111:D116" si="7">MINUTE(B111)</f>
        <v>30</v>
      </c>
      <c r="E111" s="222">
        <f t="shared" ref="E111:E116" si="8">SECOND(B111)</f>
        <v>1</v>
      </c>
      <c r="K111" s="77"/>
    </row>
    <row r="112" spans="2:11" x14ac:dyDescent="0.2">
      <c r="B112" s="227">
        <v>0.97290509259259261</v>
      </c>
      <c r="C112" s="228">
        <f t="shared" si="6"/>
        <v>23</v>
      </c>
      <c r="D112" s="221">
        <f t="shared" si="7"/>
        <v>20</v>
      </c>
      <c r="E112" s="222">
        <f t="shared" si="8"/>
        <v>59</v>
      </c>
      <c r="G112" s="231"/>
      <c r="K112" s="77"/>
    </row>
    <row r="113" spans="1:11" x14ac:dyDescent="0.2">
      <c r="B113" s="227">
        <v>0.54166666666666663</v>
      </c>
      <c r="C113" s="228">
        <f t="shared" si="6"/>
        <v>13</v>
      </c>
      <c r="D113" s="221">
        <f t="shared" si="7"/>
        <v>0</v>
      </c>
      <c r="E113" s="222">
        <f t="shared" si="8"/>
        <v>0</v>
      </c>
      <c r="K113" s="77"/>
    </row>
    <row r="114" spans="1:11" x14ac:dyDescent="0.2">
      <c r="B114" s="227">
        <v>8.2175925925925917E-4</v>
      </c>
      <c r="C114" s="228">
        <f t="shared" si="6"/>
        <v>0</v>
      </c>
      <c r="D114" s="221">
        <f t="shared" si="7"/>
        <v>1</v>
      </c>
      <c r="E114" s="222">
        <f t="shared" si="8"/>
        <v>11</v>
      </c>
      <c r="K114" s="77"/>
    </row>
    <row r="115" spans="1:11" x14ac:dyDescent="0.2">
      <c r="B115" s="227">
        <v>0.65134259259259253</v>
      </c>
      <c r="C115" s="228">
        <f t="shared" si="6"/>
        <v>15</v>
      </c>
      <c r="D115" s="221">
        <f t="shared" si="7"/>
        <v>37</v>
      </c>
      <c r="E115" s="222">
        <f t="shared" si="8"/>
        <v>56</v>
      </c>
      <c r="K115" s="77"/>
    </row>
    <row r="116" spans="1:11" x14ac:dyDescent="0.2">
      <c r="B116" s="232">
        <v>0.44203703703703701</v>
      </c>
      <c r="C116" s="224">
        <f t="shared" si="6"/>
        <v>10</v>
      </c>
      <c r="D116" s="225">
        <f t="shared" si="7"/>
        <v>36</v>
      </c>
      <c r="E116" s="226">
        <f t="shared" si="8"/>
        <v>32</v>
      </c>
      <c r="K116" s="77"/>
    </row>
    <row r="117" spans="1:11" ht="13.5" thickBot="1" x14ac:dyDescent="0.25">
      <c r="B117" s="212"/>
      <c r="C117" s="213"/>
      <c r="D117" s="213"/>
      <c r="E117" s="213"/>
      <c r="F117" s="213"/>
      <c r="G117" s="213"/>
      <c r="H117" s="213"/>
      <c r="I117" s="213"/>
      <c r="J117" s="213"/>
      <c r="K117" s="214"/>
    </row>
    <row r="119" spans="1:11" ht="13.5" thickBot="1" x14ac:dyDescent="0.25"/>
    <row r="120" spans="1:11" x14ac:dyDescent="0.2">
      <c r="B120" s="181" t="s">
        <v>147</v>
      </c>
      <c r="C120" s="182"/>
      <c r="D120" s="182"/>
      <c r="E120" s="182"/>
      <c r="F120" s="182"/>
      <c r="G120" s="182"/>
      <c r="H120" s="182"/>
      <c r="I120" s="182"/>
      <c r="J120" s="182"/>
      <c r="K120" s="183"/>
    </row>
    <row r="121" spans="1:11" ht="13.5" thickBot="1" x14ac:dyDescent="0.25">
      <c r="B121" s="184" t="s">
        <v>148</v>
      </c>
      <c r="C121" s="185"/>
      <c r="D121" s="185"/>
      <c r="E121" s="185"/>
      <c r="F121" s="185"/>
      <c r="G121" s="185"/>
      <c r="H121" s="185"/>
      <c r="I121" s="185"/>
      <c r="J121" s="185"/>
      <c r="K121" s="186"/>
    </row>
    <row r="122" spans="1:11" x14ac:dyDescent="0.2">
      <c r="A122" s="77"/>
      <c r="B122" s="217"/>
      <c r="C122" s="217"/>
      <c r="D122" s="217"/>
      <c r="E122" s="217"/>
      <c r="F122" s="217"/>
      <c r="G122" s="217"/>
      <c r="H122" s="217"/>
      <c r="I122" s="217"/>
      <c r="J122" s="217"/>
      <c r="K122" s="218"/>
    </row>
    <row r="123" spans="1:11" x14ac:dyDescent="0.2">
      <c r="A123" s="77"/>
      <c r="B123" s="190" t="s">
        <v>149</v>
      </c>
      <c r="C123" s="190" t="s">
        <v>150</v>
      </c>
      <c r="D123" s="233" t="s">
        <v>151</v>
      </c>
      <c r="E123" s="233" t="s">
        <v>152</v>
      </c>
      <c r="F123" s="234" t="s">
        <v>153</v>
      </c>
      <c r="G123" s="233" t="s">
        <v>154</v>
      </c>
      <c r="H123" s="233" t="s">
        <v>155</v>
      </c>
      <c r="I123" s="235" t="s">
        <v>156</v>
      </c>
      <c r="K123" s="77"/>
    </row>
    <row r="124" spans="1:11" x14ac:dyDescent="0.2">
      <c r="A124" s="77"/>
      <c r="B124" s="236">
        <v>1</v>
      </c>
      <c r="C124" s="237">
        <v>19097</v>
      </c>
      <c r="D124" s="238">
        <f ca="1">DATEDIF($C124,TODAY(),"y")</f>
        <v>72</v>
      </c>
      <c r="E124" s="239">
        <f ca="1">DATEDIF($C124,TODAY(),"m")</f>
        <v>875</v>
      </c>
      <c r="F124" s="236"/>
      <c r="G124" s="238">
        <f ca="1">DATEDIF($C124,TODAY(),"y")</f>
        <v>72</v>
      </c>
      <c r="H124" s="240">
        <f ca="1">DATEDIF($C124,TODAY(),"ym")</f>
        <v>11</v>
      </c>
      <c r="I124" s="241">
        <f ca="1">DATEDIF($C124,TODAY(),"md")</f>
        <v>27</v>
      </c>
      <c r="K124" s="77"/>
    </row>
    <row r="125" spans="1:11" x14ac:dyDescent="0.2">
      <c r="A125" s="77"/>
      <c r="B125" s="200">
        <v>2</v>
      </c>
      <c r="C125" s="242">
        <v>14014</v>
      </c>
      <c r="D125" s="243">
        <f t="shared" ref="D125:D131" ca="1" si="9">DATEDIF($C125,TODAY(),"y")</f>
        <v>86</v>
      </c>
      <c r="E125" s="244">
        <f t="shared" ref="E125:E131" ca="1" si="10">DATEDIF($C125,TODAY(),"m")</f>
        <v>1042</v>
      </c>
      <c r="F125" s="242"/>
      <c r="G125" s="243">
        <f t="shared" ref="G125:G131" ca="1" si="11">DATEDIF($C125,TODAY(),"y")</f>
        <v>86</v>
      </c>
      <c r="H125" s="245">
        <f t="shared" ref="H125:H131" ca="1" si="12">DATEDIF($C125,TODAY(),"ym")</f>
        <v>10</v>
      </c>
      <c r="I125" s="246">
        <f t="shared" ref="I125:I131" ca="1" si="13">DATEDIF($C125,TODAY(),"md")</f>
        <v>26</v>
      </c>
      <c r="K125" s="77"/>
    </row>
    <row r="126" spans="1:11" x14ac:dyDescent="0.2">
      <c r="A126" s="77"/>
      <c r="B126" s="200">
        <v>3</v>
      </c>
      <c r="C126" s="242">
        <v>29642</v>
      </c>
      <c r="D126" s="243">
        <f t="shared" ca="1" si="9"/>
        <v>44</v>
      </c>
      <c r="E126" s="244">
        <f t="shared" ca="1" si="10"/>
        <v>529</v>
      </c>
      <c r="F126" s="200"/>
      <c r="G126" s="243">
        <f t="shared" ca="1" si="11"/>
        <v>44</v>
      </c>
      <c r="H126" s="245">
        <f t="shared" ca="1" si="12"/>
        <v>1</v>
      </c>
      <c r="I126" s="246">
        <f t="shared" ca="1" si="13"/>
        <v>15</v>
      </c>
      <c r="K126" s="77"/>
    </row>
    <row r="127" spans="1:11" x14ac:dyDescent="0.2">
      <c r="A127" s="77"/>
      <c r="B127" s="200">
        <v>4</v>
      </c>
      <c r="C127" s="242">
        <v>28397</v>
      </c>
      <c r="D127" s="243">
        <f t="shared" ca="1" si="9"/>
        <v>47</v>
      </c>
      <c r="E127" s="244">
        <f t="shared" ca="1" si="10"/>
        <v>570</v>
      </c>
      <c r="F127" s="200"/>
      <c r="G127" s="243">
        <f t="shared" ca="1" si="11"/>
        <v>47</v>
      </c>
      <c r="H127" s="245">
        <f t="shared" ca="1" si="12"/>
        <v>6</v>
      </c>
      <c r="I127" s="246">
        <f t="shared" ca="1" si="13"/>
        <v>11</v>
      </c>
      <c r="K127" s="77"/>
    </row>
    <row r="128" spans="1:11" x14ac:dyDescent="0.2">
      <c r="A128" s="77"/>
      <c r="B128" s="200">
        <v>5</v>
      </c>
      <c r="C128" s="242">
        <v>36191</v>
      </c>
      <c r="D128" s="243">
        <f t="shared" ca="1" si="9"/>
        <v>26</v>
      </c>
      <c r="E128" s="244">
        <f t="shared" ca="1" si="10"/>
        <v>314</v>
      </c>
      <c r="F128" s="200"/>
      <c r="G128" s="243">
        <f t="shared" ca="1" si="11"/>
        <v>26</v>
      </c>
      <c r="H128" s="245">
        <f t="shared" ca="1" si="12"/>
        <v>2</v>
      </c>
      <c r="I128" s="246">
        <f t="shared" ca="1" si="13"/>
        <v>9</v>
      </c>
      <c r="K128" s="77"/>
    </row>
    <row r="129" spans="1:11" x14ac:dyDescent="0.2">
      <c r="A129" s="77"/>
      <c r="B129" s="200">
        <v>6</v>
      </c>
      <c r="C129" s="242">
        <v>16166</v>
      </c>
      <c r="D129" s="243">
        <f t="shared" ca="1" si="9"/>
        <v>81</v>
      </c>
      <c r="E129" s="244">
        <f t="shared" ca="1" si="10"/>
        <v>972</v>
      </c>
      <c r="F129" s="200"/>
      <c r="G129" s="243">
        <f t="shared" ca="1" si="11"/>
        <v>81</v>
      </c>
      <c r="H129" s="245">
        <f t="shared" ca="1" si="12"/>
        <v>0</v>
      </c>
      <c r="I129" s="246">
        <f t="shared" ca="1" si="13"/>
        <v>5</v>
      </c>
      <c r="K129" s="77"/>
    </row>
    <row r="130" spans="1:11" x14ac:dyDescent="0.2">
      <c r="A130" s="77"/>
      <c r="B130" s="200">
        <v>7</v>
      </c>
      <c r="C130" s="242">
        <v>32460</v>
      </c>
      <c r="D130" s="243">
        <f t="shared" ca="1" si="9"/>
        <v>36</v>
      </c>
      <c r="E130" s="244">
        <f t="shared" ca="1" si="10"/>
        <v>436</v>
      </c>
      <c r="F130" s="200"/>
      <c r="G130" s="243">
        <f t="shared" ca="1" si="11"/>
        <v>36</v>
      </c>
      <c r="H130" s="245">
        <f t="shared" ca="1" si="12"/>
        <v>4</v>
      </c>
      <c r="I130" s="246">
        <f t="shared" ca="1" si="13"/>
        <v>27</v>
      </c>
      <c r="K130" s="77"/>
    </row>
    <row r="131" spans="1:11" x14ac:dyDescent="0.2">
      <c r="A131" s="77"/>
      <c r="B131" s="207">
        <v>8</v>
      </c>
      <c r="C131" s="247">
        <v>24456</v>
      </c>
      <c r="D131" s="248">
        <f t="shared" ca="1" si="9"/>
        <v>58</v>
      </c>
      <c r="E131" s="249">
        <f t="shared" ca="1" si="10"/>
        <v>699</v>
      </c>
      <c r="F131" s="207"/>
      <c r="G131" s="248">
        <f t="shared" ca="1" si="11"/>
        <v>58</v>
      </c>
      <c r="H131" s="250">
        <f t="shared" ca="1" si="12"/>
        <v>3</v>
      </c>
      <c r="I131" s="251">
        <f t="shared" ca="1" si="13"/>
        <v>25</v>
      </c>
      <c r="K131" s="77"/>
    </row>
    <row r="132" spans="1:11" ht="13.5" thickBot="1" x14ac:dyDescent="0.25">
      <c r="A132" s="77"/>
      <c r="B132" s="213"/>
      <c r="C132" s="213"/>
      <c r="D132" s="213"/>
      <c r="E132" s="213"/>
      <c r="F132" s="213"/>
      <c r="G132" s="213"/>
      <c r="H132" s="213"/>
      <c r="I132" s="213"/>
      <c r="J132" s="213"/>
      <c r="K132" s="214"/>
    </row>
    <row r="133" spans="1:11" x14ac:dyDescent="0.2">
      <c r="B133" s="216"/>
      <c r="C133" s="217"/>
      <c r="D133" s="217"/>
      <c r="E133" s="217"/>
      <c r="F133" s="217"/>
      <c r="G133" s="217"/>
      <c r="H133" s="217"/>
      <c r="I133" s="217"/>
      <c r="J133" s="217"/>
      <c r="K133" s="218"/>
    </row>
    <row r="134" spans="1:11" x14ac:dyDescent="0.2">
      <c r="B134" s="252" t="s">
        <v>157</v>
      </c>
      <c r="K134" s="77"/>
    </row>
    <row r="135" spans="1:11" ht="13.5" thickBot="1" x14ac:dyDescent="0.25">
      <c r="B135" s="187" t="s">
        <v>158</v>
      </c>
      <c r="K135" s="77"/>
    </row>
    <row r="136" spans="1:11" x14ac:dyDescent="0.2">
      <c r="B136" s="253" t="s">
        <v>149</v>
      </c>
      <c r="C136" s="254" t="s">
        <v>150</v>
      </c>
      <c r="D136" s="254" t="s">
        <v>159</v>
      </c>
      <c r="E136" s="255" t="s">
        <v>160</v>
      </c>
      <c r="K136" s="77"/>
    </row>
    <row r="137" spans="1:11" x14ac:dyDescent="0.2">
      <c r="B137" s="256">
        <v>4</v>
      </c>
      <c r="C137" s="257">
        <f>C127</f>
        <v>28397</v>
      </c>
      <c r="D137" s="257">
        <f ca="1">TODAY()</f>
        <v>45756</v>
      </c>
      <c r="E137" s="258">
        <f ca="1">D137-C137</f>
        <v>17359</v>
      </c>
      <c r="K137" s="77"/>
    </row>
    <row r="138" spans="1:11" ht="13.5" thickBot="1" x14ac:dyDescent="0.25">
      <c r="B138" s="259">
        <v>7</v>
      </c>
      <c r="C138" s="260">
        <f>C130</f>
        <v>32460</v>
      </c>
      <c r="D138" s="260">
        <f ca="1">TODAY()</f>
        <v>45756</v>
      </c>
      <c r="E138" s="261">
        <f ca="1">D138-C138</f>
        <v>13296</v>
      </c>
      <c r="F138" s="213"/>
      <c r="G138" s="213"/>
      <c r="H138" s="213"/>
      <c r="I138" s="213"/>
      <c r="J138" s="213"/>
      <c r="K138" s="214"/>
    </row>
    <row r="140" spans="1:11" ht="13.5" thickBot="1" x14ac:dyDescent="0.25"/>
    <row r="141" spans="1:11" x14ac:dyDescent="0.2">
      <c r="B141" s="181" t="s">
        <v>161</v>
      </c>
      <c r="C141" s="182"/>
      <c r="D141" s="182"/>
      <c r="E141" s="182"/>
      <c r="F141" s="182"/>
      <c r="G141" s="182"/>
      <c r="H141" s="182"/>
      <c r="I141" s="182"/>
      <c r="J141" s="182"/>
      <c r="K141" s="183"/>
    </row>
    <row r="142" spans="1:11" ht="13.5" thickBot="1" x14ac:dyDescent="0.25">
      <c r="B142" s="184" t="s">
        <v>162</v>
      </c>
      <c r="C142" s="185"/>
      <c r="D142" s="185"/>
      <c r="E142" s="185"/>
      <c r="F142" s="185"/>
      <c r="G142" s="185"/>
      <c r="H142" s="185"/>
      <c r="I142" s="185"/>
      <c r="J142" s="185"/>
      <c r="K142" s="186"/>
    </row>
    <row r="143" spans="1:11" x14ac:dyDescent="0.2">
      <c r="A143" s="77"/>
      <c r="B143" s="217"/>
      <c r="C143" s="217"/>
      <c r="D143" s="217"/>
      <c r="E143" s="217"/>
      <c r="F143" s="217"/>
      <c r="G143" s="217"/>
      <c r="H143" s="217"/>
      <c r="I143" s="217"/>
      <c r="J143" s="217"/>
      <c r="K143" s="218"/>
    </row>
    <row r="144" spans="1:11" x14ac:dyDescent="0.2">
      <c r="A144" s="77"/>
      <c r="B144" s="262" t="s">
        <v>163</v>
      </c>
      <c r="C144" s="263" t="s">
        <v>164</v>
      </c>
      <c r="D144" s="264" t="s">
        <v>165</v>
      </c>
      <c r="E144" s="263"/>
      <c r="F144" s="263" t="s">
        <v>166</v>
      </c>
      <c r="K144" s="77"/>
    </row>
    <row r="145" spans="1:11" x14ac:dyDescent="0.2">
      <c r="A145" s="77"/>
      <c r="B145" s="50">
        <v>1</v>
      </c>
      <c r="C145" s="180">
        <v>39154</v>
      </c>
      <c r="D145" s="194">
        <v>3</v>
      </c>
      <c r="E145" s="50" t="s">
        <v>167</v>
      </c>
      <c r="F145" s="265">
        <f>DATE(YEAR(C145)+D145,MONTH(C145),DAY(C145))</f>
        <v>40250</v>
      </c>
      <c r="K145" s="77"/>
    </row>
    <row r="146" spans="1:11" x14ac:dyDescent="0.2">
      <c r="A146" s="77"/>
      <c r="B146" s="50">
        <v>2</v>
      </c>
      <c r="C146" s="180">
        <v>39223</v>
      </c>
      <c r="D146" s="194">
        <v>5</v>
      </c>
      <c r="E146" s="50" t="s">
        <v>168</v>
      </c>
      <c r="F146" s="265">
        <f>DATE(YEAR(C146),MONTH(C146),DAY(C146)+D146)</f>
        <v>39228</v>
      </c>
      <c r="K146" s="77"/>
    </row>
    <row r="147" spans="1:11" x14ac:dyDescent="0.2">
      <c r="A147" s="77"/>
      <c r="B147" s="50">
        <v>3</v>
      </c>
      <c r="C147" s="266">
        <v>39336</v>
      </c>
      <c r="D147" s="194">
        <v>4</v>
      </c>
      <c r="E147" s="50" t="s">
        <v>169</v>
      </c>
      <c r="F147" s="265">
        <f>DATE(YEAR(C147),MONTH(C147)+D147,DAY(C147))</f>
        <v>39458</v>
      </c>
      <c r="K147" s="77"/>
    </row>
    <row r="148" spans="1:11" x14ac:dyDescent="0.2">
      <c r="A148" s="77"/>
      <c r="C148" s="180"/>
      <c r="F148" s="180"/>
      <c r="K148" s="77"/>
    </row>
    <row r="149" spans="1:11" x14ac:dyDescent="0.2">
      <c r="A149" s="77"/>
      <c r="C149" s="180"/>
      <c r="F149" s="180"/>
      <c r="K149" s="77"/>
    </row>
    <row r="150" spans="1:11" x14ac:dyDescent="0.2">
      <c r="A150" s="77"/>
      <c r="C150" s="263" t="s">
        <v>166</v>
      </c>
      <c r="D150" s="267" t="s">
        <v>165</v>
      </c>
      <c r="E150" s="268"/>
      <c r="F150" s="263" t="s">
        <v>164</v>
      </c>
      <c r="K150" s="77"/>
    </row>
    <row r="151" spans="1:11" x14ac:dyDescent="0.2">
      <c r="A151" s="77"/>
      <c r="B151" s="50">
        <v>4</v>
      </c>
      <c r="C151" s="180">
        <v>39370</v>
      </c>
      <c r="D151" s="50">
        <v>7</v>
      </c>
      <c r="E151" s="50" t="s">
        <v>167</v>
      </c>
      <c r="F151" s="265">
        <f>DATE(YEAR(C151)-D151,MONTH(C151),DAY(C151))</f>
        <v>36814</v>
      </c>
      <c r="K151" s="77"/>
    </row>
    <row r="152" spans="1:11" x14ac:dyDescent="0.2">
      <c r="A152" s="77"/>
      <c r="B152" s="50">
        <v>5</v>
      </c>
      <c r="C152" s="180">
        <v>39454</v>
      </c>
      <c r="D152" s="50">
        <v>12</v>
      </c>
      <c r="E152" s="50" t="s">
        <v>168</v>
      </c>
      <c r="F152" s="265">
        <f>DATE(YEAR(C152),MONTH(C152),DAY(C152)-D152)</f>
        <v>39442</v>
      </c>
      <c r="K152" s="77"/>
    </row>
    <row r="153" spans="1:11" x14ac:dyDescent="0.2">
      <c r="A153" s="77"/>
      <c r="C153" s="180"/>
      <c r="F153" s="180"/>
      <c r="K153" s="77"/>
    </row>
    <row r="154" spans="1:11" ht="13.5" thickBot="1" x14ac:dyDescent="0.25">
      <c r="B154" s="212"/>
      <c r="C154" s="213"/>
      <c r="D154" s="213"/>
      <c r="E154" s="213"/>
      <c r="F154" s="213"/>
      <c r="G154" s="213"/>
      <c r="H154" s="213"/>
      <c r="I154" s="213"/>
      <c r="J154" s="213"/>
      <c r="K154" s="214"/>
    </row>
    <row r="155" spans="1:11" ht="13.5" thickBot="1" x14ac:dyDescent="0.25"/>
    <row r="156" spans="1:11" x14ac:dyDescent="0.2">
      <c r="B156" s="181" t="s">
        <v>170</v>
      </c>
      <c r="C156" s="182"/>
      <c r="D156" s="182"/>
      <c r="E156" s="182"/>
      <c r="F156" s="182"/>
      <c r="G156" s="182"/>
      <c r="H156" s="182"/>
      <c r="I156" s="182"/>
      <c r="J156" s="182"/>
      <c r="K156" s="183"/>
    </row>
    <row r="157" spans="1:11" ht="13.5" thickBot="1" x14ac:dyDescent="0.25">
      <c r="B157" s="184" t="s">
        <v>171</v>
      </c>
      <c r="C157" s="185"/>
      <c r="D157" s="185"/>
      <c r="E157" s="185"/>
      <c r="F157" s="185"/>
      <c r="G157" s="185"/>
      <c r="H157" s="185"/>
      <c r="I157" s="185"/>
      <c r="J157" s="185"/>
      <c r="K157" s="186"/>
    </row>
    <row r="158" spans="1:11" x14ac:dyDescent="0.2">
      <c r="B158" s="216"/>
      <c r="C158" s="217"/>
      <c r="D158" s="217"/>
      <c r="E158" s="217"/>
      <c r="F158" s="217"/>
      <c r="G158" s="217"/>
      <c r="H158" s="217"/>
      <c r="I158" s="217"/>
      <c r="J158" s="217"/>
      <c r="K158" s="218"/>
    </row>
    <row r="159" spans="1:11" x14ac:dyDescent="0.2">
      <c r="B159" s="252" t="s">
        <v>172</v>
      </c>
      <c r="C159" s="269">
        <v>20</v>
      </c>
      <c r="D159" s="50" t="s">
        <v>168</v>
      </c>
      <c r="K159" s="77"/>
    </row>
    <row r="160" spans="1:11" x14ac:dyDescent="0.2">
      <c r="B160" s="187"/>
      <c r="K160" s="77"/>
    </row>
    <row r="161" spans="1:11" x14ac:dyDescent="0.2">
      <c r="A161" s="77"/>
      <c r="B161" s="262" t="s">
        <v>173</v>
      </c>
      <c r="C161" s="262" t="s">
        <v>174</v>
      </c>
      <c r="D161" s="262" t="s">
        <v>175</v>
      </c>
      <c r="E161" s="262" t="s">
        <v>176</v>
      </c>
      <c r="K161" s="77"/>
    </row>
    <row r="162" spans="1:11" x14ac:dyDescent="0.2">
      <c r="A162" s="77"/>
      <c r="B162" s="270">
        <v>39216</v>
      </c>
      <c r="C162" s="180">
        <v>39217</v>
      </c>
      <c r="D162" s="271">
        <f>C162-B162+1</f>
        <v>2</v>
      </c>
      <c r="E162" s="50">
        <f>NETWORKDAYS(B162,C162)</f>
        <v>2</v>
      </c>
      <c r="K162" s="77"/>
    </row>
    <row r="163" spans="1:11" x14ac:dyDescent="0.2">
      <c r="A163" s="77"/>
      <c r="B163" s="270">
        <v>39300</v>
      </c>
      <c r="C163" s="180">
        <v>39304</v>
      </c>
      <c r="D163" s="271">
        <f t="shared" ref="D163:D166" si="14">C163-B163+1</f>
        <v>5</v>
      </c>
      <c r="E163" s="50">
        <f t="shared" ref="E163:E166" si="15">NETWORKDAYS(B163,C163)</f>
        <v>5</v>
      </c>
      <c r="K163" s="77"/>
    </row>
    <row r="164" spans="1:11" x14ac:dyDescent="0.2">
      <c r="A164" s="77"/>
      <c r="B164" s="270">
        <v>39261</v>
      </c>
      <c r="C164" s="180">
        <v>39261</v>
      </c>
      <c r="D164" s="271">
        <f t="shared" si="14"/>
        <v>1</v>
      </c>
      <c r="E164" s="50">
        <f t="shared" si="15"/>
        <v>1</v>
      </c>
      <c r="K164" s="77"/>
    </row>
    <row r="165" spans="1:11" x14ac:dyDescent="0.2">
      <c r="A165" s="77"/>
      <c r="B165" s="270">
        <v>39328</v>
      </c>
      <c r="C165" s="180">
        <v>39331</v>
      </c>
      <c r="D165" s="271">
        <f t="shared" si="14"/>
        <v>4</v>
      </c>
      <c r="E165" s="50">
        <f t="shared" si="15"/>
        <v>4</v>
      </c>
      <c r="K165" s="77"/>
    </row>
    <row r="166" spans="1:11" x14ac:dyDescent="0.2">
      <c r="A166" s="77"/>
      <c r="B166" s="180">
        <v>39359</v>
      </c>
      <c r="C166" s="180">
        <v>39363</v>
      </c>
      <c r="D166" s="271">
        <f t="shared" si="14"/>
        <v>5</v>
      </c>
      <c r="E166" s="50">
        <f t="shared" si="15"/>
        <v>3</v>
      </c>
      <c r="K166" s="77"/>
    </row>
    <row r="167" spans="1:11" x14ac:dyDescent="0.2">
      <c r="A167" s="77"/>
      <c r="B167" s="272"/>
      <c r="K167" s="77"/>
    </row>
    <row r="168" spans="1:11" x14ac:dyDescent="0.2">
      <c r="A168" s="77"/>
      <c r="B168" s="272"/>
      <c r="K168" s="77"/>
    </row>
    <row r="169" spans="1:11" x14ac:dyDescent="0.2">
      <c r="A169" s="77"/>
      <c r="C169" s="50" t="s">
        <v>177</v>
      </c>
      <c r="D169" s="271">
        <f>C159-SUM(D162:D166)</f>
        <v>3</v>
      </c>
      <c r="E169" s="273">
        <f>C159-SUM(E162:E166)</f>
        <v>5</v>
      </c>
      <c r="K169" s="77"/>
    </row>
    <row r="170" spans="1:11" x14ac:dyDescent="0.2">
      <c r="A170" s="77"/>
      <c r="B170" s="272"/>
      <c r="K170" s="77"/>
    </row>
    <row r="171" spans="1:11" ht="13.5" thickBot="1" x14ac:dyDescent="0.25">
      <c r="B171" s="274"/>
      <c r="C171" s="213"/>
      <c r="D171" s="213"/>
      <c r="E171" s="213"/>
      <c r="F171" s="213"/>
      <c r="G171" s="213"/>
      <c r="H171" s="213"/>
      <c r="I171" s="213"/>
      <c r="J171" s="213"/>
      <c r="K171" s="214"/>
    </row>
    <row r="172" spans="1:11" x14ac:dyDescent="0.2">
      <c r="B172" s="181" t="s">
        <v>178</v>
      </c>
      <c r="C172" s="182"/>
      <c r="D172" s="182"/>
      <c r="E172" s="182"/>
      <c r="F172" s="275"/>
      <c r="G172" s="182"/>
      <c r="H172" s="182"/>
      <c r="I172" s="182"/>
      <c r="J172" s="182"/>
      <c r="K172" s="183"/>
    </row>
    <row r="173" spans="1:11" x14ac:dyDescent="0.2">
      <c r="B173" s="276" t="s">
        <v>179</v>
      </c>
      <c r="C173" s="277"/>
      <c r="D173" s="277"/>
      <c r="E173" s="277"/>
      <c r="F173" s="277"/>
      <c r="G173" s="277"/>
      <c r="H173" s="277"/>
      <c r="I173" s="277"/>
      <c r="J173" s="277"/>
      <c r="K173" s="278"/>
    </row>
    <row r="174" spans="1:11" x14ac:dyDescent="0.2">
      <c r="B174" s="252"/>
      <c r="F174" s="279"/>
      <c r="K174" s="77"/>
    </row>
    <row r="175" spans="1:11" x14ac:dyDescent="0.2">
      <c r="B175" s="280" t="s">
        <v>180</v>
      </c>
      <c r="C175" s="189" t="s">
        <v>181</v>
      </c>
      <c r="D175" s="190" t="s">
        <v>182</v>
      </c>
      <c r="E175" s="190" t="s">
        <v>183</v>
      </c>
      <c r="F175" s="235" t="s">
        <v>184</v>
      </c>
      <c r="K175" s="77"/>
    </row>
    <row r="176" spans="1:11" x14ac:dyDescent="0.2">
      <c r="B176" s="281" t="s">
        <v>29</v>
      </c>
      <c r="C176" s="282">
        <v>0.33333333333333331</v>
      </c>
      <c r="D176" s="282">
        <v>0.66666666666666663</v>
      </c>
      <c r="E176" s="282">
        <v>1.3888888888888888E-2</v>
      </c>
      <c r="F176" s="283">
        <f>D176-C176-E176</f>
        <v>0.31944444444444442</v>
      </c>
      <c r="K176" s="77"/>
    </row>
    <row r="177" spans="2:11" x14ac:dyDescent="0.2">
      <c r="B177" s="284" t="s">
        <v>39</v>
      </c>
      <c r="C177" s="285">
        <v>0.35416666666666669</v>
      </c>
      <c r="D177" s="285">
        <v>0.67708333333333337</v>
      </c>
      <c r="E177" s="285">
        <v>9.7222222222222224E-3</v>
      </c>
      <c r="F177" s="286">
        <f t="shared" ref="F177:F180" si="16">D177-C177-E177</f>
        <v>0.31319444444444444</v>
      </c>
      <c r="K177" s="77"/>
    </row>
    <row r="178" spans="2:11" x14ac:dyDescent="0.2">
      <c r="B178" s="284" t="s">
        <v>40</v>
      </c>
      <c r="C178" s="285">
        <v>0.34722222222222227</v>
      </c>
      <c r="D178" s="285">
        <v>0.54861111111111105</v>
      </c>
      <c r="E178" s="285">
        <v>4.5138888888888888E-2</v>
      </c>
      <c r="F178" s="286">
        <f t="shared" si="16"/>
        <v>0.15624999999999989</v>
      </c>
      <c r="K178" s="77"/>
    </row>
    <row r="179" spans="2:11" x14ac:dyDescent="0.2">
      <c r="B179" s="284" t="s">
        <v>41</v>
      </c>
      <c r="C179" s="285">
        <v>0.42708333333333331</v>
      </c>
      <c r="D179" s="285">
        <v>0.78819444444444453</v>
      </c>
      <c r="E179" s="285">
        <v>6.9444444444444441E-3</v>
      </c>
      <c r="F179" s="286">
        <f t="shared" si="16"/>
        <v>0.3541666666666668</v>
      </c>
      <c r="K179" s="77"/>
    </row>
    <row r="180" spans="2:11" x14ac:dyDescent="0.2">
      <c r="B180" s="287" t="s">
        <v>30</v>
      </c>
      <c r="C180" s="288">
        <v>0.39583333333333331</v>
      </c>
      <c r="D180" s="288">
        <v>0.72430555555555554</v>
      </c>
      <c r="E180" s="288">
        <v>1.3194444444444444E-2</v>
      </c>
      <c r="F180" s="289">
        <f t="shared" si="16"/>
        <v>0.31527777777777777</v>
      </c>
      <c r="K180" s="77"/>
    </row>
    <row r="181" spans="2:11" x14ac:dyDescent="0.2">
      <c r="B181" s="187"/>
      <c r="K181" s="77"/>
    </row>
    <row r="182" spans="2:11" x14ac:dyDescent="0.2">
      <c r="B182" s="187"/>
      <c r="E182" s="290" t="s">
        <v>185</v>
      </c>
      <c r="F182" s="291">
        <f>SUM(F176:F180)</f>
        <v>1.4583333333333333</v>
      </c>
      <c r="K182" s="77"/>
    </row>
    <row r="183" spans="2:11" ht="13.5" thickBot="1" x14ac:dyDescent="0.25">
      <c r="B183" s="212"/>
      <c r="C183" s="213"/>
      <c r="D183" s="213"/>
      <c r="E183" s="213"/>
      <c r="F183" s="213"/>
      <c r="G183" s="213"/>
      <c r="H183" s="213"/>
      <c r="I183" s="213"/>
      <c r="J183" s="213"/>
      <c r="K183" s="214"/>
    </row>
  </sheetData>
  <mergeCells count="13">
    <mergeCell ref="D74:E74"/>
    <mergeCell ref="D42:G42"/>
    <mergeCell ref="D43:G43"/>
    <mergeCell ref="B47:G47"/>
    <mergeCell ref="B58:G58"/>
    <mergeCell ref="B71:G71"/>
    <mergeCell ref="D73:E73"/>
    <mergeCell ref="D41:G41"/>
    <mergeCell ref="B2:D2"/>
    <mergeCell ref="B16:G16"/>
    <mergeCell ref="D38:G38"/>
    <mergeCell ref="D39:G39"/>
    <mergeCell ref="D40:G40"/>
  </mergeCells>
  <pageMargins left="0.78740157499999996" right="0.78740157499999996" top="0.984251969" bottom="0.984251969" header="0.4921259845" footer="0.4921259845"/>
  <pageSetup paperSize="9"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Überblick</vt:lpstr>
      <vt:lpstr>Einführungsaufgaben</vt:lpstr>
      <vt:lpstr>Datums- und Zeitfunktionen</vt:lpstr>
    </vt:vector>
  </TitlesOfParts>
  <Company>Universitaet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Lennart Dröge</cp:lastModifiedBy>
  <dcterms:created xsi:type="dcterms:W3CDTF">2007-10-10T14:12:40Z</dcterms:created>
  <dcterms:modified xsi:type="dcterms:W3CDTF">2025-04-09T08:44:10Z</dcterms:modified>
</cp:coreProperties>
</file>