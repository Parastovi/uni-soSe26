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embeddings/oleObject1.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https://uniaugsburg-my.sharepoint.com/personal/philipp1_hofer_uni-a_de/Documents/Uni/SoSe26/SFE/Sitzung_2/"/>
    </mc:Choice>
  </mc:AlternateContent>
  <xr:revisionPtr revIDLastSave="148" documentId="13_ncr:1_{9A7487A3-7989-4A86-8FA5-DABB23A3D748}" xr6:coauthVersionLast="47" xr6:coauthVersionMax="47" xr10:uidLastSave="{C8996BC7-DEE4-46FD-82D1-84A0371CB01B}"/>
  <bookViews>
    <workbookView xWindow="3480" yWindow="-18120" windowWidth="29040" windowHeight="17520" tabRatio="829" activeTab="7" xr2:uid="{00000000-000D-0000-FFFF-FFFF00000000}"/>
  </bookViews>
  <sheets>
    <sheet name="Überblick" sheetId="14" r:id="rId1"/>
    <sheet name="Kopieren &amp; Sortieren" sheetId="3" r:id="rId2"/>
    <sheet name="WENN &amp; UND" sheetId="13" r:id="rId3"/>
    <sheet name="Matrixfunktionen" sheetId="8" r:id="rId4"/>
    <sheet name="Namen zuordnen" sheetId="4" r:id="rId5"/>
    <sheet name="absolute &amp; relative Bezüge" sheetId="5" r:id="rId6"/>
    <sheet name="1x1" sheetId="11" r:id="rId7"/>
    <sheet name="1x1 Kapital" sheetId="12" r:id="rId8"/>
  </sheets>
  <definedNames>
    <definedName name="anzahl">'Namen zuordnen'!$C$45:$C$57</definedName>
    <definedName name="pausch">'Namen zuordnen'!$D$26</definedName>
    <definedName name="preis">'Namen zuordnen'!$D$45:$D$57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70" i="12" l="1"/>
  <c r="C57" i="12" a="1"/>
  <c r="C57" i="12" s="1"/>
  <c r="B57" i="12" a="1"/>
  <c r="B57" i="12" s="1"/>
  <c r="O51" i="12"/>
  <c r="C39" i="12"/>
  <c r="D39" i="12"/>
  <c r="E39" i="12"/>
  <c r="F39" i="12"/>
  <c r="G39" i="12"/>
  <c r="H39" i="12"/>
  <c r="I39" i="12"/>
  <c r="J39" i="12"/>
  <c r="K39" i="12"/>
  <c r="L39" i="12"/>
  <c r="M39" i="12"/>
  <c r="N39" i="12"/>
  <c r="C40" i="12"/>
  <c r="D40" i="12"/>
  <c r="E40" i="12"/>
  <c r="F40" i="12"/>
  <c r="G40" i="12"/>
  <c r="H40" i="12"/>
  <c r="I40" i="12"/>
  <c r="J40" i="12"/>
  <c r="K40" i="12"/>
  <c r="L40" i="12"/>
  <c r="M40" i="12"/>
  <c r="N40" i="12"/>
  <c r="C41" i="12"/>
  <c r="D41" i="12"/>
  <c r="E41" i="12"/>
  <c r="F41" i="12"/>
  <c r="G41" i="12"/>
  <c r="H41" i="12"/>
  <c r="I41" i="12"/>
  <c r="J41" i="12"/>
  <c r="K41" i="12"/>
  <c r="L41" i="12"/>
  <c r="M41" i="12"/>
  <c r="N41" i="12"/>
  <c r="C42" i="12"/>
  <c r="D42" i="12"/>
  <c r="E42" i="12"/>
  <c r="F42" i="12"/>
  <c r="G42" i="12"/>
  <c r="H42" i="12"/>
  <c r="I42" i="12"/>
  <c r="J42" i="12"/>
  <c r="K42" i="12"/>
  <c r="L42" i="12"/>
  <c r="M42" i="12"/>
  <c r="N42" i="12"/>
  <c r="C43" i="12"/>
  <c r="D43" i="12"/>
  <c r="E43" i="12"/>
  <c r="F43" i="12"/>
  <c r="G43" i="12"/>
  <c r="H43" i="12"/>
  <c r="I43" i="12"/>
  <c r="J43" i="12"/>
  <c r="K43" i="12"/>
  <c r="L43" i="12"/>
  <c r="M43" i="12"/>
  <c r="N43" i="12"/>
  <c r="C44" i="12"/>
  <c r="D44" i="12"/>
  <c r="E44" i="12"/>
  <c r="F44" i="12"/>
  <c r="G44" i="12"/>
  <c r="H44" i="12"/>
  <c r="I44" i="12"/>
  <c r="J44" i="12"/>
  <c r="K44" i="12"/>
  <c r="L44" i="12"/>
  <c r="M44" i="12"/>
  <c r="N44" i="12"/>
  <c r="C45" i="12"/>
  <c r="D45" i="12"/>
  <c r="E45" i="12"/>
  <c r="F45" i="12"/>
  <c r="G45" i="12"/>
  <c r="H45" i="12"/>
  <c r="I45" i="12"/>
  <c r="J45" i="12"/>
  <c r="K45" i="12"/>
  <c r="L45" i="12"/>
  <c r="M45" i="12"/>
  <c r="N45" i="12"/>
  <c r="C46" i="12"/>
  <c r="D46" i="12"/>
  <c r="E46" i="12"/>
  <c r="F46" i="12"/>
  <c r="G46" i="12"/>
  <c r="H46" i="12"/>
  <c r="I46" i="12"/>
  <c r="J46" i="12"/>
  <c r="K46" i="12"/>
  <c r="L46" i="12"/>
  <c r="M46" i="12"/>
  <c r="N46" i="12"/>
  <c r="C47" i="12"/>
  <c r="D47" i="12"/>
  <c r="E47" i="12"/>
  <c r="F47" i="12"/>
  <c r="G47" i="12"/>
  <c r="H47" i="12"/>
  <c r="I47" i="12"/>
  <c r="J47" i="12"/>
  <c r="K47" i="12"/>
  <c r="L47" i="12"/>
  <c r="M47" i="12"/>
  <c r="N47" i="12"/>
  <c r="C48" i="12"/>
  <c r="D48" i="12"/>
  <c r="E48" i="12"/>
  <c r="F48" i="12"/>
  <c r="G48" i="12"/>
  <c r="H48" i="12"/>
  <c r="I48" i="12"/>
  <c r="J48" i="12"/>
  <c r="K48" i="12"/>
  <c r="L48" i="12"/>
  <c r="M48" i="12"/>
  <c r="N48" i="12"/>
  <c r="C49" i="12"/>
  <c r="D49" i="12"/>
  <c r="E49" i="12"/>
  <c r="F49" i="12"/>
  <c r="G49" i="12"/>
  <c r="H49" i="12"/>
  <c r="I49" i="12"/>
  <c r="J49" i="12"/>
  <c r="K49" i="12"/>
  <c r="L49" i="12"/>
  <c r="M49" i="12"/>
  <c r="N49" i="12"/>
  <c r="C50" i="12"/>
  <c r="D50" i="12"/>
  <c r="E50" i="12"/>
  <c r="F50" i="12"/>
  <c r="G50" i="12"/>
  <c r="H50" i="12"/>
  <c r="I50" i="12"/>
  <c r="J50" i="12"/>
  <c r="K50" i="12"/>
  <c r="L50" i="12"/>
  <c r="M50" i="12"/>
  <c r="N50" i="12"/>
  <c r="D38" i="12"/>
  <c r="E38" i="12"/>
  <c r="F38" i="12"/>
  <c r="G38" i="12"/>
  <c r="H38" i="12"/>
  <c r="I38" i="12"/>
  <c r="J38" i="12"/>
  <c r="K38" i="12"/>
  <c r="L38" i="12"/>
  <c r="M38" i="12"/>
  <c r="N38" i="12"/>
  <c r="C38" i="12"/>
  <c r="B38" i="12" a="1"/>
  <c r="B38" i="12" s="1"/>
  <c r="N39" i="11"/>
  <c r="D29" i="11" a="1"/>
  <c r="D29" i="11" s="1"/>
  <c r="N18" i="11"/>
  <c r="D9" i="11"/>
  <c r="E9" i="11"/>
  <c r="F9" i="11"/>
  <c r="G9" i="11"/>
  <c r="H9" i="11"/>
  <c r="I9" i="11"/>
  <c r="J9" i="11"/>
  <c r="K9" i="11"/>
  <c r="L9" i="11"/>
  <c r="M9" i="11"/>
  <c r="D10" i="11"/>
  <c r="E10" i="11"/>
  <c r="F10" i="11"/>
  <c r="G10" i="11"/>
  <c r="H10" i="11"/>
  <c r="I10" i="11"/>
  <c r="J10" i="11"/>
  <c r="K10" i="11"/>
  <c r="L10" i="11"/>
  <c r="M10" i="11"/>
  <c r="D11" i="11"/>
  <c r="E11" i="11"/>
  <c r="F11" i="11"/>
  <c r="G11" i="11"/>
  <c r="H11" i="11"/>
  <c r="I11" i="11"/>
  <c r="J11" i="11"/>
  <c r="K11" i="11"/>
  <c r="L11" i="11"/>
  <c r="M11" i="11"/>
  <c r="D12" i="11"/>
  <c r="E12" i="11"/>
  <c r="F12" i="11"/>
  <c r="G12" i="11"/>
  <c r="H12" i="11"/>
  <c r="I12" i="11"/>
  <c r="J12" i="11"/>
  <c r="K12" i="11"/>
  <c r="L12" i="11"/>
  <c r="M12" i="11"/>
  <c r="D13" i="11"/>
  <c r="E13" i="11"/>
  <c r="F13" i="11"/>
  <c r="G13" i="11"/>
  <c r="H13" i="11"/>
  <c r="I13" i="11"/>
  <c r="J13" i="11"/>
  <c r="K13" i="11"/>
  <c r="L13" i="11"/>
  <c r="M13" i="11"/>
  <c r="D14" i="11"/>
  <c r="E14" i="11"/>
  <c r="F14" i="11"/>
  <c r="G14" i="11"/>
  <c r="H14" i="11"/>
  <c r="I14" i="11"/>
  <c r="J14" i="11"/>
  <c r="K14" i="11"/>
  <c r="L14" i="11"/>
  <c r="M14" i="11"/>
  <c r="D15" i="11"/>
  <c r="E15" i="11"/>
  <c r="F15" i="11"/>
  <c r="G15" i="11"/>
  <c r="H15" i="11"/>
  <c r="I15" i="11"/>
  <c r="J15" i="11"/>
  <c r="K15" i="11"/>
  <c r="L15" i="11"/>
  <c r="M15" i="11"/>
  <c r="D16" i="11"/>
  <c r="E16" i="11"/>
  <c r="F16" i="11"/>
  <c r="G16" i="11"/>
  <c r="H16" i="11"/>
  <c r="I16" i="11"/>
  <c r="J16" i="11"/>
  <c r="K16" i="11"/>
  <c r="L16" i="11"/>
  <c r="M16" i="11"/>
  <c r="D17" i="11"/>
  <c r="E17" i="11"/>
  <c r="F17" i="11"/>
  <c r="G17" i="11"/>
  <c r="H17" i="11"/>
  <c r="I17" i="11"/>
  <c r="J17" i="11"/>
  <c r="K17" i="11"/>
  <c r="L17" i="11"/>
  <c r="M17" i="11"/>
  <c r="E8" i="11"/>
  <c r="F8" i="11"/>
  <c r="G8" i="11"/>
  <c r="H8" i="11"/>
  <c r="I8" i="11"/>
  <c r="J8" i="11"/>
  <c r="K8" i="11"/>
  <c r="L8" i="11"/>
  <c r="M8" i="11"/>
  <c r="D8" i="11"/>
  <c r="H47" i="5" a="1"/>
  <c r="H47" i="5" s="1"/>
  <c r="D33" i="5"/>
  <c r="D32" i="5"/>
  <c r="D31" i="5"/>
  <c r="D30" i="5"/>
  <c r="D29" i="5"/>
  <c r="D28" i="5"/>
  <c r="D27" i="5"/>
  <c r="E17" i="5"/>
  <c r="E16" i="5"/>
  <c r="E15" i="5"/>
  <c r="E14" i="5"/>
  <c r="E13" i="5"/>
  <c r="E12" i="5"/>
  <c r="E11" i="5"/>
  <c r="D110" i="4"/>
  <c r="C110" i="4" a="1"/>
  <c r="C110" i="4"/>
  <c r="F86" i="4" a="1"/>
  <c r="F86" i="4" s="1"/>
  <c r="F45" i="4" a="1"/>
  <c r="F45" i="4" s="1"/>
  <c r="E29" i="4"/>
  <c r="E35" i="4"/>
  <c r="E34" i="4"/>
  <c r="E33" i="4"/>
  <c r="E32" i="4"/>
  <c r="E31" i="4"/>
  <c r="E30" i="4"/>
  <c r="E84" i="8" a="1"/>
  <c r="E84" i="8" s="1"/>
  <c r="E69" i="8"/>
  <c r="E63" i="8"/>
  <c r="E64" i="8"/>
  <c r="E65" i="8"/>
  <c r="E66" i="8"/>
  <c r="E67" i="8"/>
  <c r="E62" i="8"/>
  <c r="E48" i="8" a="1"/>
  <c r="E48" i="8" s="1"/>
  <c r="E36" i="8"/>
  <c r="E37" i="8"/>
  <c r="E38" i="8"/>
  <c r="E39" i="8"/>
  <c r="E40" i="8"/>
  <c r="E35" i="8"/>
  <c r="H69" i="13"/>
  <c r="H68" i="13"/>
  <c r="H67" i="13"/>
  <c r="H66" i="13"/>
  <c r="H65" i="13"/>
  <c r="H64" i="13"/>
  <c r="H63" i="13"/>
  <c r="H62" i="13"/>
  <c r="H61" i="13"/>
  <c r="H60" i="13"/>
  <c r="H59" i="13"/>
  <c r="H58" i="13"/>
  <c r="H57" i="13"/>
  <c r="H56" i="13"/>
  <c r="F69" i="13"/>
  <c r="F68" i="13"/>
  <c r="F67" i="13"/>
  <c r="F66" i="13"/>
  <c r="F65" i="13"/>
  <c r="F64" i="13"/>
  <c r="F63" i="13"/>
  <c r="F62" i="13"/>
  <c r="F61" i="13"/>
  <c r="F60" i="13"/>
  <c r="F59" i="13"/>
  <c r="F58" i="13"/>
  <c r="F57" i="13"/>
  <c r="F56" i="13"/>
  <c r="D69" i="13"/>
  <c r="D68" i="13"/>
  <c r="D67" i="13"/>
  <c r="D66" i="13"/>
  <c r="D65" i="13"/>
  <c r="D64" i="13"/>
  <c r="D63" i="13"/>
  <c r="D62" i="13"/>
  <c r="D61" i="13"/>
  <c r="D60" i="13"/>
  <c r="D59" i="13"/>
  <c r="D58" i="13"/>
  <c r="D57" i="13"/>
  <c r="D56" i="13"/>
  <c r="D44" i="3"/>
  <c r="D30" i="3"/>
  <c r="D25" i="3"/>
  <c r="D33" i="3"/>
  <c r="D32" i="3"/>
  <c r="D31" i="3"/>
  <c r="D29" i="3"/>
  <c r="D28" i="3"/>
  <c r="D27" i="3"/>
  <c r="D26" i="3"/>
  <c r="D11" i="3"/>
  <c r="F33" i="13"/>
  <c r="F34" i="13"/>
  <c r="F35" i="13"/>
  <c r="F36" i="13"/>
  <c r="E21" i="13"/>
  <c r="E22" i="13"/>
  <c r="E23" i="13"/>
  <c r="E24" i="13"/>
  <c r="D11" i="13"/>
  <c r="D12" i="13"/>
  <c r="D13" i="13"/>
  <c r="D14" i="13"/>
  <c r="D15" i="13"/>
  <c r="F32" i="13"/>
  <c r="E20" i="13"/>
  <c r="D10" i="13"/>
  <c r="E50" i="8" l="1"/>
  <c r="E53" i="8"/>
  <c r="E52" i="8"/>
  <c r="E51" i="8"/>
  <c r="E49" i="8"/>
  <c r="E42" i="13"/>
  <c r="E41" i="13"/>
  <c r="E43" i="13"/>
  <c r="E44" i="13"/>
  <c r="B30" i="11" l="1"/>
  <c r="B31" i="11" s="1"/>
  <c r="B32" i="11" s="1"/>
  <c r="B33" i="11" s="1"/>
  <c r="B34" i="11" s="1"/>
  <c r="B35" i="11" s="1"/>
  <c r="B36" i="11" s="1"/>
  <c r="B37" i="11" s="1"/>
  <c r="B38" i="11" s="1"/>
  <c r="E27" i="11"/>
  <c r="F27" i="11" s="1"/>
  <c r="G27" i="11" s="1"/>
  <c r="H27" i="11" s="1"/>
  <c r="I27" i="11" s="1"/>
  <c r="J27" i="11" s="1"/>
  <c r="K27" i="11" s="1"/>
  <c r="L27" i="11" s="1"/>
  <c r="M27" i="11" s="1"/>
  <c r="E6" i="11"/>
  <c r="F6" i="11" s="1"/>
  <c r="G6" i="11" s="1"/>
  <c r="H6" i="11" s="1"/>
  <c r="I6" i="11" s="1"/>
  <c r="J6" i="11" s="1"/>
  <c r="K6" i="11" s="1"/>
  <c r="L6" i="11" s="1"/>
  <c r="M6" i="11" s="1"/>
  <c r="B9" i="11"/>
  <c r="B10" i="11" s="1"/>
  <c r="B11" i="11" s="1"/>
  <c r="B12" i="11" s="1"/>
  <c r="B13" i="11" s="1"/>
  <c r="B14" i="11" s="1"/>
  <c r="B15" i="11" s="1"/>
  <c r="B16" i="11" s="1"/>
  <c r="B17" i="11" s="1"/>
  <c r="D43" i="3" l="1"/>
  <c r="D12" i="3"/>
  <c r="D13" i="3"/>
  <c r="D14" i="3"/>
  <c r="D15" i="3"/>
  <c r="D16" i="3"/>
  <c r="D17" i="3"/>
  <c r="D18" i="3"/>
  <c r="D1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WiWi-Fakultaet</author>
    <author>Rechenzentrum</author>
  </authors>
  <commentList>
    <comment ref="D26" authorId="0" shapeId="0" xr:uid="{00000000-0006-0000-0400-000001000000}">
      <text>
        <r>
          <rPr>
            <sz val="14"/>
            <color indexed="81"/>
            <rFont val="Tahoma"/>
            <family val="2"/>
          </rPr>
          <t>Weise diesem Feld den Namen "pausch" zu!</t>
        </r>
      </text>
    </comment>
    <comment ref="E29" authorId="1" shapeId="0" xr:uid="{00000000-0006-0000-0400-000002000000}">
      <text>
        <r>
          <rPr>
            <sz val="14"/>
            <color indexed="81"/>
            <rFont val="Tahoma"/>
            <family val="2"/>
          </rPr>
          <t xml:space="preserve">Berechne das Kilometergeld, das jeder Mitarbeiter erhält, </t>
        </r>
        <r>
          <rPr>
            <b/>
            <sz val="14"/>
            <color indexed="81"/>
            <rFont val="Tahoma"/>
            <family val="2"/>
          </rPr>
          <t xml:space="preserve">ohne </t>
        </r>
        <r>
          <rPr>
            <sz val="14"/>
            <color indexed="81"/>
            <rFont val="Tahoma"/>
            <family val="2"/>
          </rPr>
          <t>Zuweisung eines Namens.</t>
        </r>
      </text>
    </comment>
    <comment ref="F29" authorId="0" shapeId="0" xr:uid="{00000000-0006-0000-0400-000003000000}">
      <text>
        <r>
          <rPr>
            <sz val="14"/>
            <color indexed="81"/>
            <rFont val="Tahoma"/>
            <family val="2"/>
          </rPr>
          <t xml:space="preserve">Führe die Berechnung des Kilometergelds erneut durch, nun aber </t>
        </r>
        <r>
          <rPr>
            <b/>
            <sz val="14"/>
            <color indexed="81"/>
            <rFont val="Tahoma"/>
            <family val="2"/>
          </rPr>
          <t xml:space="preserve">unter Verwendung des zugewiesenen Namens </t>
        </r>
        <r>
          <rPr>
            <sz val="14"/>
            <color indexed="81"/>
            <rFont val="Tahoma"/>
            <family val="2"/>
          </rPr>
          <t>der Kilometerpauschle.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<sst xmlns="http://schemas.openxmlformats.org/spreadsheetml/2006/main" count="298" uniqueCount="218">
  <si>
    <t>Anzahl</t>
  </si>
  <si>
    <t>Kilometerpauschale</t>
  </si>
  <si>
    <t>Mitarbeiter</t>
  </si>
  <si>
    <t>Kilometer</t>
  </si>
  <si>
    <t>Kilometergeld</t>
  </si>
  <si>
    <t>Schmidt</t>
  </si>
  <si>
    <t>Maier</t>
  </si>
  <si>
    <t>Jung</t>
  </si>
  <si>
    <t>Alt</t>
  </si>
  <si>
    <t>Müller</t>
  </si>
  <si>
    <t>Fischer</t>
  </si>
  <si>
    <t>Jansen</t>
  </si>
  <si>
    <t>Produkt-Nr.</t>
  </si>
  <si>
    <t>Umsatz</t>
  </si>
  <si>
    <t>2) Berechnen der restlichen Werte mittels "kopieren"</t>
  </si>
  <si>
    <t>Einfaches sortieren eines Bereichs</t>
  </si>
  <si>
    <t>Brenndauer (in 100h)</t>
  </si>
  <si>
    <t>Brenndauer in Tagen (=24h)</t>
  </si>
  <si>
    <t>minimal</t>
  </si>
  <si>
    <t>maximal</t>
  </si>
  <si>
    <t>Glühbirne-Nr.</t>
  </si>
  <si>
    <t>Reihenfolge</t>
  </si>
  <si>
    <t>Tages-Brenndauer</t>
  </si>
  <si>
    <t>Aktie</t>
  </si>
  <si>
    <t>BMW</t>
  </si>
  <si>
    <t xml:space="preserve">VW </t>
  </si>
  <si>
    <t>Porsche</t>
  </si>
  <si>
    <t>Kurs</t>
  </si>
  <si>
    <t>Wert:</t>
  </si>
  <si>
    <t>Welche Art der Addressierung wird hier eingesetzt?</t>
  </si>
  <si>
    <t>Monat</t>
  </si>
  <si>
    <t>Jahr</t>
  </si>
  <si>
    <t>Umsatz:</t>
  </si>
  <si>
    <t>Currywurst-Absatzmengen:</t>
  </si>
  <si>
    <t>Aufgabe: Berechne für alle drei Jahre die Monatsumsätze.</t>
  </si>
  <si>
    <t>Beispiel 3</t>
  </si>
  <si>
    <t>Susi liebt mich seit zwei Wochen…</t>
  </si>
  <si>
    <t>Heute ist schönes Wetter</t>
  </si>
  <si>
    <t xml:space="preserve">Preis (in €) für Susis Geschenk: </t>
  </si>
  <si>
    <t xml:space="preserve">Preis (in €) Porsche 911: </t>
  </si>
  <si>
    <t xml:space="preserve">Preis (in €) USA-Flug: </t>
  </si>
  <si>
    <t xml:space="preserve">Preis (in €) pro Döner: </t>
  </si>
  <si>
    <t>Urlaub vorauss. Ende Mai 2008. Urlaubsziel: Nepal</t>
  </si>
  <si>
    <t>Absatz</t>
  </si>
  <si>
    <t>Döner-Absatzmengen:</t>
  </si>
  <si>
    <t xml:space="preserve">Beispiel 2 </t>
  </si>
  <si>
    <t>Senf</t>
  </si>
  <si>
    <t>Brathähnchen</t>
  </si>
  <si>
    <t>Bananenbrei</t>
  </si>
  <si>
    <t>Rollmöpse</t>
  </si>
  <si>
    <t>Chilischoten</t>
  </si>
  <si>
    <t>Sardellen</t>
  </si>
  <si>
    <t>Rosinen</t>
  </si>
  <si>
    <t>Ausgaben</t>
  </si>
  <si>
    <t>Stückpreis</t>
  </si>
  <si>
    <t>Produkt</t>
  </si>
  <si>
    <t>Aufgabe: Berechne die Ausgaben für jedes Produkt</t>
  </si>
  <si>
    <t>Beispiel 1</t>
  </si>
  <si>
    <t>Aufgabe: Berechne die Monatsumsätze</t>
  </si>
  <si>
    <t>Welche Arten der Addressierung sind hier möglich?</t>
  </si>
  <si>
    <t>relativ addressierte Formel</t>
  </si>
  <si>
    <t>Was wird gleich in der gelb markierten Zelle erscheinen, wenn man die grüne Zelle kopiert und in die gelbe Zelle einfügt?</t>
  </si>
  <si>
    <t>Matrixfunktionen</t>
  </si>
  <si>
    <t>Mit Hilfe von Matrixformeln können vielfältige Berechnungen durchgeführt werden, die mit einfachen Funktionen (oft) nicht möglich sind. Dabei werden im Hintergrund Zwischenrechnungen durchgeführt. Das Ergebnis kann eine oder auch mehrere Zellen umfassen.</t>
  </si>
  <si>
    <t>Verwendung einer Matrixfunktion:</t>
  </si>
  <si>
    <t>Achtung: Enthält der Ergebnisvektor mehr als einen Wert, können einzelne Werte nicht mehr überschrieben oder gelöscht werden. Dies ist nur möglich, wenn der gesamte Zellbereich, der die Lösungswerte enthält, markiert wird.</t>
  </si>
  <si>
    <t>Auch einige in Excel integrierte Formeln stellen Matrixfunktionen dar, wie beispielsweise RGP() und HÄUFIGKEIT().</t>
  </si>
  <si>
    <t>Beispiel 1:</t>
  </si>
  <si>
    <t>Einzelpreis</t>
  </si>
  <si>
    <t>Menge</t>
  </si>
  <si>
    <t>1. Möglichkeit: klassischer Weg</t>
  </si>
  <si>
    <t>Man berechnet den Preis für Produkt 1 und überträgt die Berechnung in die nachfolgenden Zellen.</t>
  </si>
  <si>
    <t>Preis je Produkt</t>
  </si>
  <si>
    <t>Formel in Spalte E</t>
  </si>
  <si>
    <t>2. Möglichkeit: Mit Hilfe einer Matrixfunktion</t>
  </si>
  <si>
    <t>Beispiel 2:</t>
  </si>
  <si>
    <t>1. Auf dem klassischen Weg summiert man nach der Bestimmung der Preise je Produkt über alle Produkte.</t>
  </si>
  <si>
    <t>Formel</t>
  </si>
  <si>
    <t>Gesamtpreis</t>
  </si>
  <si>
    <t xml:space="preserve">   1) Die Formel enthält die Summe über das Produkt der beiden Matrixargumente (Einzelpreis und Menge).</t>
  </si>
  <si>
    <t xml:space="preserve">   2) Die Matrixformel wird mit der bekannten Tastenkombination abgechlossen.</t>
  </si>
  <si>
    <t>Kurze Wiederholung der Adressierungsarten</t>
  </si>
  <si>
    <t>Kopieren und Sortieren</t>
  </si>
  <si>
    <t>Summe:</t>
  </si>
  <si>
    <t>Jahre</t>
  </si>
  <si>
    <t>Zinsfuß</t>
  </si>
  <si>
    <t>Anlagedauer (in Jahren)</t>
  </si>
  <si>
    <t xml:space="preserve">n </t>
  </si>
  <si>
    <t>Zinssatz in Dezimalangabe</t>
  </si>
  <si>
    <t>i = p/100</t>
  </si>
  <si>
    <t>p</t>
  </si>
  <si>
    <t>Anfangskapital</t>
  </si>
  <si>
    <t>Endkapital</t>
  </si>
  <si>
    <t>Die Zinseszins-Formel aus der Finanzmathematik stellt sich (bekanntlich) folgendermaßen dar:</t>
  </si>
  <si>
    <t>Welche Zahl in der nachfolgenden Liste ist…</t>
  </si>
  <si>
    <t>(=(WAHR + WAHR)^3)</t>
  </si>
  <si>
    <t>(=FALSCH - WAHR)</t>
  </si>
  <si>
    <t>(=WAHR - WAHR, d.h. 1 -1)</t>
  </si>
  <si>
    <t>(=WAHR + WAHR, d.h. 1+1)</t>
  </si>
  <si>
    <t>Tumutlu</t>
  </si>
  <si>
    <t>Oleg</t>
  </si>
  <si>
    <t>Pleitegeier</t>
  </si>
  <si>
    <t>guter Kunde?</t>
  </si>
  <si>
    <t>Bonität</t>
  </si>
  <si>
    <t>Kunde</t>
  </si>
  <si>
    <t>Funktion UND()</t>
  </si>
  <si>
    <t>Funktion WENN()</t>
  </si>
  <si>
    <t>Vorname</t>
  </si>
  <si>
    <t>männlich?</t>
  </si>
  <si>
    <t>männlich 0/1</t>
  </si>
  <si>
    <t>Beate</t>
  </si>
  <si>
    <t>Klaus</t>
  </si>
  <si>
    <t>Tina</t>
  </si>
  <si>
    <t>Steffen</t>
  </si>
  <si>
    <t>ja</t>
  </si>
  <si>
    <t>nein</t>
  </si>
  <si>
    <t>wenn()</t>
  </si>
  <si>
    <t>und()</t>
  </si>
  <si>
    <t>Logikfunktionen</t>
  </si>
  <si>
    <t>Erstellung von Kommentaren</t>
  </si>
  <si>
    <t>Zellen mit Namen versehen und entfernen</t>
  </si>
  <si>
    <t>Themen in dieser Datei</t>
  </si>
  <si>
    <t>Tabellenblätter in dieser Datei</t>
  </si>
  <si>
    <t>Überblick</t>
  </si>
  <si>
    <t>WENN &amp; UND</t>
  </si>
  <si>
    <t>Namen zuordnen</t>
  </si>
  <si>
    <t>1x1</t>
  </si>
  <si>
    <t>1x1 Kapital</t>
  </si>
  <si>
    <t>Beispiel: Rohdaten von Glühbirnen-Brenndauern</t>
  </si>
  <si>
    <t xml:space="preserve">Aufgabe: Kopiere die Tages-Brenndauern und ordne sie anschließend der Größe nach (aufsteigend)  </t>
  </si>
  <si>
    <t>Was macht Excel also standardmäßig beim Kopieren von Zellen, 
die das Ergebnis einer relativ adressierten Berechnung sind?</t>
  </si>
  <si>
    <t xml:space="preserve">Logikfunktionen: WENN &amp; UND </t>
  </si>
  <si>
    <t>Aufgabe: Prüfe jede Zahl, ob sie kleiner als 3 ist. Falls ja, schreibe in Nachbarzelle "yes", ansonsten "no".</t>
  </si>
  <si>
    <t>Aufgabe: Umkodierung der Spalte "männlich?" In einen numerischen Wert.</t>
  </si>
  <si>
    <t>Beispiel 3: Kundenmanagement</t>
  </si>
  <si>
    <t>Aufgabe: Ein guter Kunde erbringt einen Umsatz von mind.10.000 und hat eine Bonität größer als 5.</t>
  </si>
  <si>
    <t>Übungsaufgabe</t>
  </si>
  <si>
    <t>a)</t>
  </si>
  <si>
    <t>b)</t>
  </si>
  <si>
    <t>c)</t>
  </si>
  <si>
    <t>größer als</t>
  </si>
  <si>
    <t>kleiner als</t>
  </si>
  <si>
    <t>(mit den Antworten 1/0)</t>
  </si>
  <si>
    <t>(mit den Antworten: ja/nein!)</t>
  </si>
  <si>
    <t>sowohl kleiner 18 als auch größer 9? (mit den Antworten right/wrong)</t>
  </si>
  <si>
    <t>Christian</t>
  </si>
  <si>
    <r>
      <t xml:space="preserve">1. Kennzeichnen des </t>
    </r>
    <r>
      <rPr>
        <u/>
        <sz val="12"/>
        <rFont val="Arial"/>
        <family val="2"/>
      </rPr>
      <t>Zielbereichs,</t>
    </r>
    <r>
      <rPr>
        <sz val="12"/>
        <rFont val="Arial"/>
        <family val="2"/>
      </rPr>
      <t xml:space="preserve"> indem diese Zellen mit der Maus markiert werden.</t>
    </r>
  </si>
  <si>
    <t>2. Eingabe der Formel wie gehabt ein (diese erscheint in der ersten markierten Zelle).</t>
  </si>
  <si>
    <t>Beispiel 1: Eine Person erscheint mit folgenden Produkten an der Kasse eines Supermarkts.</t>
  </si>
  <si>
    <t>=C35*D35</t>
  </si>
  <si>
    <t>=C36*D36</t>
  </si>
  <si>
    <t>=C37*D37</t>
  </si>
  <si>
    <t>=C38*D38</t>
  </si>
  <si>
    <t>=C39*D39</t>
  </si>
  <si>
    <t>=C40*D40</t>
  </si>
  <si>
    <t>Aufgabe: Nun möchte man die Preise ermitteln, die sich auf Grund der gekauften Menge je Produkt ergeben.</t>
  </si>
  <si>
    <t xml:space="preserve">   1) Man markiert den Zellbereich E48:E53.</t>
  </si>
  <si>
    <t>{=C48:C53*D48:D53}</t>
  </si>
  <si>
    <r>
      <t xml:space="preserve">Ist der Gesamtpreis von Interesse, gibt es auch die Möglichkeit, die Berechnung </t>
    </r>
    <r>
      <rPr>
        <b/>
        <u/>
        <sz val="12"/>
        <rFont val="Arial"/>
        <family val="2"/>
      </rPr>
      <t>mit und ohne</t>
    </r>
    <r>
      <rPr>
        <b/>
        <sz val="12"/>
        <rFont val="Arial"/>
        <family val="2"/>
      </rPr>
      <t xml:space="preserve"> Matrixformel durchzuführen.</t>
    </r>
  </si>
  <si>
    <t>2. Mit Hilfe einer Matrixformel geschieht diese Berechnung in einem Schritt, der Zielbereich besteht aus nur einer Zelle.</t>
  </si>
  <si>
    <t>Kommentare und Namen definieren</t>
  </si>
  <si>
    <t xml:space="preserve">     Registerkarte "Überprüfen" --&gt; Gruppe "Kommentare" --&gt; "Neuer Kommentar"</t>
  </si>
  <si>
    <t xml:space="preserve">     Alternativ: Rechte Maustaste --&gt; "Kommentar einfügen" im Kontextmenü</t>
  </si>
  <si>
    <t xml:space="preserve">     Registerkarte "Formeln" --&gt; Gruppe "Definierte Namen" --&gt; "Namen definieren"</t>
  </si>
  <si>
    <t>1. Grundlagen</t>
  </si>
  <si>
    <t>2. Übungsaufgaben</t>
  </si>
  <si>
    <t xml:space="preserve">ab hier: ganze Bereiche mit Namen versehen </t>
  </si>
  <si>
    <t>Aufgabe: Erstelle in Zelle C20 einen Kommentar mit folgendem Inhalt: "TS = Tax Shield"</t>
  </si>
  <si>
    <t>Aufgabe: Pro gefahrenen Kilometer werden 30 Cent gezahlt. Berechne das Kilometergeld für…</t>
  </si>
  <si>
    <t>Aufgabe: "klassische" Berechnung des Umsatzes</t>
  </si>
  <si>
    <t>Beispiel 4: weitere Aufgabe zu Matrixformel</t>
  </si>
  <si>
    <t>Angabe: Welchen Wert hat das nachfolgende Portfolio?</t>
  </si>
  <si>
    <r>
      <t>1) Eingabe in Zelle</t>
    </r>
    <r>
      <rPr>
        <sz val="12"/>
        <color indexed="17"/>
        <rFont val="Arial"/>
        <family val="2"/>
      </rPr>
      <t xml:space="preserve"> </t>
    </r>
    <r>
      <rPr>
        <b/>
        <sz val="12"/>
        <color indexed="17"/>
        <rFont val="Arial"/>
        <family val="2"/>
      </rPr>
      <t>F45</t>
    </r>
    <r>
      <rPr>
        <sz val="12"/>
        <rFont val="Arial"/>
        <family val="2"/>
      </rPr>
      <t>: =C45*D45</t>
    </r>
  </si>
  <si>
    <t>1. Lösungsweg:</t>
  </si>
  <si>
    <t>z.B. in obiger Aufgabe: "C45:C57" erhält den Namen "anzahl", "D45:D57" den Namen "preis". Nun möglich:</t>
  </si>
  <si>
    <r>
      <rPr>
        <u/>
        <sz val="12"/>
        <rFont val="Arial"/>
        <family val="2"/>
      </rPr>
      <t>auch möglich</t>
    </r>
    <r>
      <rPr>
        <sz val="12"/>
        <rFont val="Arial"/>
        <family val="2"/>
      </rPr>
      <t xml:space="preserve">: </t>
    </r>
    <r>
      <rPr>
        <b/>
        <sz val="12"/>
        <rFont val="Arial"/>
        <family val="2"/>
      </rPr>
      <t>Bereichen einen Namen vergeben</t>
    </r>
  </si>
  <si>
    <r>
      <t>Umsatz in F45 "</t>
    </r>
    <r>
      <rPr>
        <b/>
        <sz val="12"/>
        <rFont val="Arial"/>
        <family val="2"/>
      </rPr>
      <t>=anzahl*preis</t>
    </r>
    <r>
      <rPr>
        <sz val="12"/>
        <rFont val="Arial"/>
        <family val="2"/>
      </rPr>
      <t>", restliche Umsätze mittels "kopieren"</t>
    </r>
  </si>
  <si>
    <r>
      <rPr>
        <u/>
        <sz val="12"/>
        <rFont val="Arial"/>
        <family val="2"/>
      </rPr>
      <t>auch möglich</t>
    </r>
    <r>
      <rPr>
        <sz val="12"/>
        <rFont val="Arial"/>
        <family val="2"/>
      </rPr>
      <t xml:space="preserve">: Umsatzberechnung (=ann*pr) per </t>
    </r>
    <r>
      <rPr>
        <b/>
        <sz val="12"/>
        <rFont val="Arial"/>
        <family val="2"/>
      </rPr>
      <t>Matrixformel</t>
    </r>
    <r>
      <rPr>
        <sz val="12"/>
        <rFont val="Arial"/>
        <family val="2"/>
      </rPr>
      <t xml:space="preserve"> durchführen:</t>
    </r>
  </si>
  <si>
    <t>Absolute &amp; relative Bezüge</t>
  </si>
  <si>
    <r>
      <t xml:space="preserve">In Excel gibt es </t>
    </r>
    <r>
      <rPr>
        <b/>
        <sz val="12"/>
        <rFont val="Arial"/>
        <family val="2"/>
      </rPr>
      <t>drei</t>
    </r>
    <r>
      <rPr>
        <sz val="12"/>
        <rFont val="Arial"/>
        <family val="2"/>
      </rPr>
      <t xml:space="preserve"> Arten der Adressierung: absolute, halbabsolute (auch: gemischte), und relative Adressierung.</t>
    </r>
  </si>
  <si>
    <t>Jan</t>
  </si>
  <si>
    <t>Feb</t>
  </si>
  <si>
    <t>Mrz</t>
  </si>
  <si>
    <t>April</t>
  </si>
  <si>
    <t>Mai</t>
  </si>
  <si>
    <t>Jun</t>
  </si>
  <si>
    <t>Jul</t>
  </si>
  <si>
    <t>Eine Currywurst kostet:</t>
  </si>
  <si>
    <t>...und ein paar Informationen - nur ein bisschen durcheinander:</t>
  </si>
  <si>
    <t>Kleines 1x1</t>
  </si>
  <si>
    <r>
      <t>Führen Sie die Berechnung des "</t>
    </r>
    <r>
      <rPr>
        <b/>
        <sz val="12"/>
        <rFont val="Arial"/>
        <family val="2"/>
      </rPr>
      <t>Kleinen 1x1"</t>
    </r>
    <r>
      <rPr>
        <sz val="12"/>
        <rFont val="Arial"/>
        <family val="2"/>
      </rPr>
      <t xml:space="preserve"> nocheinmal durch, nun aber unter Eingabe einer einzigen (!) Matrixformel, die für den gesamten rot markierten Bereich gilt.</t>
    </r>
  </si>
  <si>
    <r>
      <t>K</t>
    </r>
    <r>
      <rPr>
        <vertAlign val="subscript"/>
        <sz val="12"/>
        <rFont val="Arial"/>
        <family val="2"/>
      </rPr>
      <t>n</t>
    </r>
  </si>
  <si>
    <r>
      <t>K</t>
    </r>
    <r>
      <rPr>
        <vertAlign val="subscript"/>
        <sz val="12"/>
        <rFont val="Arial"/>
        <family val="2"/>
      </rPr>
      <t>0</t>
    </r>
  </si>
  <si>
    <t>Dabei entspricht:</t>
  </si>
  <si>
    <t>2. Übungsaufgabe</t>
  </si>
  <si>
    <t>Angabe:</t>
  </si>
  <si>
    <t>Eine Person möchte 1000 € bei jährlicher Verzinsung zinseszinslich anlegen und ist an dem Endkapital interessiert, das sie nach n Jahren ausgezahlt bekommt. Dabei sollen verschiedene Kombinationen an Zinssätzen und Laufzeiten betrachtet werden.</t>
  </si>
  <si>
    <t>Aufgaben:</t>
  </si>
  <si>
    <t>1) Legen Sie eine Tabelle an, wobei in der ersten Spalte die Anlagedauer n stehen soll, wobei n = 2*k-1 ∀ k ∈ {1,2,…,13} ist.</t>
  </si>
  <si>
    <t>2) Die Zeilen repräsentieren den Zinsfuß, der in halben Prozentpunkten von 0,5% bis 6% gehen soll.</t>
  </si>
  <si>
    <t>3) Berechnen Sie anschließend das jeweilige Endkapital.</t>
  </si>
  <si>
    <r>
      <t xml:space="preserve">Lösungsweg 1: </t>
    </r>
    <r>
      <rPr>
        <b/>
        <u/>
        <sz val="12"/>
        <rFont val="Arial"/>
        <family val="2"/>
      </rPr>
      <t>ohne</t>
    </r>
    <r>
      <rPr>
        <b/>
        <sz val="12"/>
        <rFont val="Arial"/>
        <family val="2"/>
      </rPr>
      <t xml:space="preserve"> Matrixformel</t>
    </r>
  </si>
  <si>
    <r>
      <t xml:space="preserve">Lösungsweg 2: </t>
    </r>
    <r>
      <rPr>
        <b/>
        <u/>
        <sz val="12"/>
        <rFont val="Arial"/>
        <family val="2"/>
      </rPr>
      <t>mit</t>
    </r>
    <r>
      <rPr>
        <b/>
        <sz val="12"/>
        <rFont val="Arial"/>
        <family val="2"/>
      </rPr>
      <t xml:space="preserve"> Matrixformel</t>
    </r>
  </si>
  <si>
    <t>absolute &amp; relative Bezüge</t>
  </si>
  <si>
    <t>Kopieren &amp; Sortieren</t>
  </si>
  <si>
    <t xml:space="preserve">   2) Als Argumente der Multiplikation definiert man die beiden Bereiche Einzelpreis (C48:C53) und Menge (D48:D53).</t>
  </si>
  <si>
    <t>=SUMME(E62:E67)</t>
  </si>
  <si>
    <t>{=SUMME(C77:C82*D77:D82)}</t>
  </si>
  <si>
    <t xml:space="preserve">   3) Man schließt die Formel mit Strg + Shift + Enter ab. Anschließend steht in jeder Zelle des Ergebnisbereichs dieselbe Formel, die Werte sind aber verschieden</t>
  </si>
  <si>
    <t>Preis (in €) FC Chelsea:</t>
  </si>
  <si>
    <r>
      <rPr>
        <b/>
        <sz val="12"/>
        <rFont val="Arial"/>
        <family val="2"/>
      </rPr>
      <t>Beachte:</t>
    </r>
    <r>
      <rPr>
        <sz val="12"/>
        <rFont val="Arial"/>
        <family val="2"/>
      </rPr>
      <t xml:space="preserve"> Mit Wahrheitswerten kann man rechnen!</t>
    </r>
  </si>
  <si>
    <r>
      <t xml:space="preserve">3. Die Eingabe der Formel wird mit der Tastenkombination </t>
    </r>
    <r>
      <rPr>
        <u/>
        <sz val="12"/>
        <rFont val="Arial"/>
        <family val="2"/>
      </rPr>
      <t>"Strg"+"Shift"+"Enter"</t>
    </r>
    <r>
      <rPr>
        <sz val="12"/>
        <rFont val="Arial"/>
        <family val="2"/>
      </rPr>
      <t xml:space="preserve"> abgeschlossen. Dadurch wird die Formel auf den gesamten Zielbereich übertragen. Man erkennt die Matrixformel an den geschweiften Klammern um die Formel in der Bearbeitungsleiste. Diese geschweiften Klammern werden lediglich von Excel dargestellt, um kenntlich zu machen, dass die ausgewählte Zelle Teil einer Matrixfunktion ist. Die geschweiften Klammern dürfen NICHT eingetippt werden, da sosnt ein Fehler resultiert.</t>
    </r>
  </si>
  <si>
    <t xml:space="preserve">     Alternativ: STRG+[F3] ruft direkt den Namensmanager auf</t>
  </si>
  <si>
    <t>Berechnen Sie nachfolgend das "Kleine 1x1", indem Sie eine Formel in die rot markierte Zelle so eingeben, dass Sie diese dann in die weißen Zellen kopieren, ohne die Formel anpassen zu müssen. Hinweis: rufen Sie sich hierzu die verschiedenen Möglichkeiten der Adressierung in Erinnerung.</t>
  </si>
  <si>
    <t>Diese Datei ist urheberrechtlich geschützt. Der Urheber stellt sie ausschließlich denjenigen Studierenden der Universität Augsburg zur Verfügung, die für die jeweilige Veranstaltung bei Digicampus angemeldet sind. Jede Weitergabe und Vervielfältigung ist untersagt und wird als Urheberrechtsverletzung behandelt, die verfolgt wird. Es wird darauf hingewiesen, dass die Datei sichtbare oder unsichtbare Sicherheitsmerkmale aufweisen kann.</t>
  </si>
  <si>
    <t>halbabsolute / gemischte</t>
  </si>
  <si>
    <t>absolute</t>
  </si>
  <si>
    <t>gemischte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</si>
</sst>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73" formatCode="_-* #,##0.00\ [$€-407]_-;\-* #,##0.00\ [$€-407]_-;_-* &quot;-&quot;??\ [$€-407]_-;_-@_-"/>
    <numFmt numFmtId="174" formatCode="0.0%"/>
  </numFmts>
  <fonts count="22" x14ac:knownFonts="1">
    <font>
      <sz val="10"/>
      <name val="Arial"/>
    </font>
    <font>
      <sz val="8"/>
      <name val="Arial"/>
      <family val="2"/>
    </font>
    <font>
      <b/>
      <sz val="14"/>
      <name val="Arial"/>
      <family val="2"/>
    </font>
    <font>
      <sz val="14"/>
      <name val="Arial"/>
      <family val="2"/>
    </font>
    <font>
      <sz val="12"/>
      <name val="Arial"/>
      <family val="2"/>
    </font>
    <font>
      <sz val="12"/>
      <color indexed="17"/>
      <name val="Arial"/>
      <family val="2"/>
    </font>
    <font>
      <b/>
      <sz val="12"/>
      <color indexed="17"/>
      <name val="Arial"/>
      <family val="2"/>
    </font>
    <font>
      <b/>
      <sz val="14"/>
      <color indexed="81"/>
      <name val="Tahoma"/>
      <family val="2"/>
    </font>
    <font>
      <sz val="14"/>
      <color indexed="81"/>
      <name val="Tahoma"/>
      <family val="2"/>
    </font>
    <font>
      <sz val="10"/>
      <name val="Arial"/>
      <family val="2"/>
    </font>
    <font>
      <sz val="8"/>
      <name val="Arial"/>
      <family val="2"/>
    </font>
    <font>
      <b/>
      <sz val="16"/>
      <name val="Arial"/>
      <family val="2"/>
    </font>
    <font>
      <b/>
      <sz val="12"/>
      <name val="Arial"/>
      <family val="2"/>
    </font>
    <font>
      <b/>
      <u/>
      <sz val="16"/>
      <name val="Arial"/>
      <family val="2"/>
    </font>
    <font>
      <b/>
      <sz val="12"/>
      <color theme="3"/>
      <name val="Arial"/>
      <family val="2"/>
    </font>
    <font>
      <sz val="10"/>
      <name val="Arial"/>
      <family val="2"/>
    </font>
    <font>
      <b/>
      <u/>
      <sz val="14"/>
      <name val="Arial"/>
      <family val="2"/>
    </font>
    <font>
      <u/>
      <sz val="12"/>
      <name val="Arial"/>
      <family val="2"/>
    </font>
    <font>
      <b/>
      <u/>
      <sz val="12"/>
      <name val="Arial"/>
      <family val="2"/>
    </font>
    <font>
      <vertAlign val="subscript"/>
      <sz val="12"/>
      <name val="Arial"/>
      <family val="2"/>
    </font>
    <font>
      <sz val="20"/>
      <name val="Times New Roman"/>
      <family val="1"/>
    </font>
    <font>
      <sz val="10"/>
      <name val="Arial"/>
    </font>
  </fonts>
  <fills count="13">
    <fill>
      <patternFill patternType="none"/>
    </fill>
    <fill>
      <patternFill patternType="gray125"/>
    </fill>
    <fill>
      <patternFill patternType="solid">
        <fgColor indexed="43"/>
        <bgColor indexed="64"/>
      </patternFill>
    </fill>
    <fill>
      <patternFill patternType="solid">
        <fgColor indexed="13"/>
        <bgColor indexed="64"/>
      </patternFill>
    </fill>
    <fill>
      <patternFill patternType="solid">
        <fgColor indexed="5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bgColor indexed="64"/>
      </patternFill>
    </fill>
    <fill>
      <patternFill patternType="solid">
        <fgColor theme="4" tint="0.79998168889431442"/>
        <bgColor indexed="64"/>
      </patternFill>
    </fill>
    <fill>
      <patternFill patternType="solid">
        <fgColor rgb="FFFFFF99"/>
        <bgColor indexed="64"/>
      </patternFill>
    </fill>
    <fill>
      <patternFill patternType="solid">
        <fgColor theme="5" tint="0.59999389629810485"/>
        <bgColor indexed="64"/>
      </patternFill>
    </fill>
    <fill>
      <patternFill patternType="solid">
        <fgColor theme="0" tint="-4.9989318521683403E-2"/>
        <bgColor indexed="64"/>
      </patternFill>
    </fill>
  </fills>
  <borders count="5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right/>
      <top style="dashDot">
        <color indexed="64"/>
      </top>
      <bottom style="dashDot">
        <color indexed="64"/>
      </bottom>
      <diagonal/>
    </border>
    <border>
      <left/>
      <right style="medium">
        <color indexed="64"/>
      </right>
      <top/>
      <bottom style="thin">
        <color indexed="64"/>
      </bottom>
      <diagonal/>
    </border>
    <border>
      <left style="medium">
        <color indexed="64"/>
      </left>
      <right/>
      <top style="dashDot">
        <color indexed="64"/>
      </top>
      <bottom style="dashDot">
        <color indexed="64"/>
      </bottom>
      <diagonal/>
    </border>
    <border>
      <left/>
      <right style="medium">
        <color indexed="64"/>
      </right>
      <top style="dashDot">
        <color indexed="64"/>
      </top>
      <bottom style="dashDot">
        <color indexed="64"/>
      </bottom>
      <diagonal/>
    </border>
  </borders>
  <cellStyleXfs count="4">
    <xf numFmtId="0" fontId="0" fillId="0" borderId="0"/>
    <xf numFmtId="0" fontId="9" fillId="0" borderId="0"/>
    <xf numFmtId="44" fontId="15" fillId="0" borderId="0" applyFont="0" applyFill="0" applyBorder="0" applyAlignment="0" applyProtection="0"/>
    <xf numFmtId="9" fontId="21" fillId="0" borderId="0" applyFont="0" applyFill="0" applyBorder="0" applyAlignment="0" applyProtection="0"/>
  </cellStyleXfs>
  <cellXfs count="333">
    <xf numFmtId="0" fontId="0" fillId="0" borderId="0" xfId="0"/>
    <xf numFmtId="0" fontId="4" fillId="0" borderId="0" xfId="0" applyFont="1"/>
    <xf numFmtId="0" fontId="0" fillId="0" borderId="0" xfId="0" applyAlignment="1">
      <alignment vertical="center"/>
    </xf>
    <xf numFmtId="14" fontId="0" fillId="0" borderId="0" xfId="0" applyNumberFormat="1" applyAlignment="1">
      <alignment vertical="center"/>
    </xf>
    <xf numFmtId="0" fontId="12" fillId="0" borderId="0" xfId="0" applyFont="1"/>
    <xf numFmtId="0" fontId="4" fillId="0" borderId="11" xfId="0" applyFont="1" applyBorder="1"/>
    <xf numFmtId="0" fontId="4" fillId="7" borderId="0" xfId="0" applyFont="1" applyFill="1"/>
    <xf numFmtId="0" fontId="13" fillId="8" borderId="11" xfId="0" applyFont="1" applyFill="1" applyBorder="1" applyAlignment="1">
      <alignment vertical="center"/>
    </xf>
    <xf numFmtId="0" fontId="0" fillId="8" borderId="0" xfId="0" applyFill="1"/>
    <xf numFmtId="0" fontId="0" fillId="8" borderId="12" xfId="0" applyFill="1" applyBorder="1"/>
    <xf numFmtId="0" fontId="12" fillId="8" borderId="11" xfId="0" applyFont="1" applyFill="1" applyBorder="1" applyAlignment="1">
      <alignment vertical="center"/>
    </xf>
    <xf numFmtId="0" fontId="4" fillId="8" borderId="0" xfId="0" applyFont="1" applyFill="1"/>
    <xf numFmtId="0" fontId="4" fillId="8" borderId="11" xfId="0" applyFont="1" applyFill="1" applyBorder="1"/>
    <xf numFmtId="0" fontId="12" fillId="8" borderId="11" xfId="0" applyFont="1" applyFill="1" applyBorder="1"/>
    <xf numFmtId="0" fontId="0" fillId="8" borderId="11" xfId="0" applyFill="1" applyBorder="1"/>
    <xf numFmtId="0" fontId="12" fillId="8" borderId="0" xfId="0" applyFont="1" applyFill="1" applyAlignment="1">
      <alignment vertical="center"/>
    </xf>
    <xf numFmtId="0" fontId="0" fillId="8" borderId="13" xfId="0" applyFill="1" applyBorder="1"/>
    <xf numFmtId="0" fontId="12" fillId="8" borderId="14" xfId="0" applyFont="1" applyFill="1" applyBorder="1" applyAlignment="1">
      <alignment vertical="center"/>
    </xf>
    <xf numFmtId="0" fontId="0" fillId="8" borderId="14" xfId="0" applyFill="1" applyBorder="1"/>
    <xf numFmtId="0" fontId="0" fillId="8" borderId="15" xfId="0" applyFill="1" applyBorder="1"/>
    <xf numFmtId="0" fontId="16" fillId="9" borderId="46" xfId="0" applyFont="1" applyFill="1" applyBorder="1" applyAlignment="1">
      <alignment vertical="center"/>
    </xf>
    <xf numFmtId="0" fontId="0" fillId="9" borderId="27" xfId="0" applyFill="1" applyBorder="1"/>
    <xf numFmtId="0" fontId="0" fillId="9" borderId="19" xfId="0" applyFill="1" applyBorder="1"/>
    <xf numFmtId="0" fontId="16" fillId="9" borderId="11" xfId="0" applyFont="1" applyFill="1" applyBorder="1" applyAlignment="1">
      <alignment vertical="center"/>
    </xf>
    <xf numFmtId="0" fontId="0" fillId="9" borderId="0" xfId="0" applyFill="1"/>
    <xf numFmtId="0" fontId="0" fillId="9" borderId="12" xfId="0" applyFill="1" applyBorder="1"/>
    <xf numFmtId="0" fontId="11" fillId="9" borderId="0" xfId="0" applyFont="1" applyFill="1"/>
    <xf numFmtId="0" fontId="4" fillId="9" borderId="0" xfId="0" applyFont="1" applyFill="1"/>
    <xf numFmtId="0" fontId="11" fillId="9" borderId="0" xfId="0" applyFont="1" applyFill="1" applyAlignment="1">
      <alignment vertical="center"/>
    </xf>
    <xf numFmtId="0" fontId="0" fillId="9" borderId="0" xfId="0" applyFill="1" applyAlignment="1">
      <alignment vertical="center"/>
    </xf>
    <xf numFmtId="0" fontId="4" fillId="10" borderId="46" xfId="0" applyFont="1" applyFill="1" applyBorder="1"/>
    <xf numFmtId="0" fontId="4" fillId="10" borderId="11" xfId="0" applyFont="1" applyFill="1" applyBorder="1"/>
    <xf numFmtId="0" fontId="4" fillId="10" borderId="13" xfId="0" applyFont="1" applyFill="1" applyBorder="1"/>
    <xf numFmtId="0" fontId="4" fillId="10" borderId="25" xfId="0" applyFont="1" applyFill="1" applyBorder="1"/>
    <xf numFmtId="0" fontId="4" fillId="10" borderId="22" xfId="0" applyFont="1" applyFill="1" applyBorder="1"/>
    <xf numFmtId="0" fontId="4" fillId="10" borderId="23" xfId="0" applyFont="1" applyFill="1" applyBorder="1"/>
    <xf numFmtId="0" fontId="4" fillId="0" borderId="0" xfId="0" applyFont="1" applyAlignment="1">
      <alignment wrapText="1"/>
    </xf>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4" fillId="0" borderId="20" xfId="0" applyFont="1" applyBorder="1"/>
    <xf numFmtId="0" fontId="4" fillId="0" borderId="8" xfId="0" applyFont="1" applyBorder="1"/>
    <xf numFmtId="0" fontId="12" fillId="0" borderId="1" xfId="0" applyFont="1" applyBorder="1"/>
    <xf numFmtId="0" fontId="4" fillId="0" borderId="2" xfId="0" applyFont="1" applyBorder="1"/>
    <xf numFmtId="0" fontId="4" fillId="0" borderId="1" xfId="0" applyFont="1" applyBorder="1"/>
    <xf numFmtId="0" fontId="4" fillId="0" borderId="3" xfId="0" applyFont="1" applyBorder="1"/>
    <xf numFmtId="0" fontId="4" fillId="0" borderId="6" xfId="0" applyFont="1" applyBorder="1"/>
    <xf numFmtId="0" fontId="4" fillId="0" borderId="4" xfId="0" applyFont="1" applyBorder="1"/>
    <xf numFmtId="0" fontId="17" fillId="8" borderId="7" xfId="0" applyFont="1" applyFill="1" applyBorder="1"/>
    <xf numFmtId="0" fontId="17" fillId="8" borderId="20" xfId="0" applyFont="1" applyFill="1" applyBorder="1"/>
    <xf numFmtId="0" fontId="4" fillId="8" borderId="20" xfId="0" applyFont="1" applyFill="1" applyBorder="1"/>
    <xf numFmtId="0" fontId="4" fillId="8" borderId="8" xfId="0" applyFont="1" applyFill="1" applyBorder="1"/>
    <xf numFmtId="0" fontId="4" fillId="8" borderId="2" xfId="0" applyFont="1" applyFill="1" applyBorder="1"/>
    <xf numFmtId="0" fontId="4" fillId="8" borderId="1" xfId="0" applyFont="1" applyFill="1" applyBorder="1"/>
    <xf numFmtId="0" fontId="4" fillId="8" borderId="24" xfId="0" applyFont="1" applyFill="1" applyBorder="1"/>
    <xf numFmtId="0" fontId="4" fillId="8" borderId="17" xfId="0" applyFont="1" applyFill="1" applyBorder="1"/>
    <xf numFmtId="0" fontId="4" fillId="8" borderId="18" xfId="0" applyFont="1" applyFill="1" applyBorder="1"/>
    <xf numFmtId="0" fontId="4" fillId="8" borderId="12" xfId="0" applyFont="1" applyFill="1" applyBorder="1"/>
    <xf numFmtId="0" fontId="4" fillId="8" borderId="26" xfId="0" applyFont="1" applyFill="1" applyBorder="1"/>
    <xf numFmtId="0" fontId="4" fillId="8" borderId="14" xfId="0" applyFont="1" applyFill="1" applyBorder="1"/>
    <xf numFmtId="0" fontId="4" fillId="8" borderId="15" xfId="0" applyFont="1" applyFill="1" applyBorder="1"/>
    <xf numFmtId="0" fontId="12" fillId="8" borderId="0" xfId="0" applyFont="1" applyFill="1"/>
    <xf numFmtId="0" fontId="4" fillId="8" borderId="0" xfId="0" applyFont="1" applyFill="1" applyAlignment="1">
      <alignment wrapText="1"/>
    </xf>
    <xf numFmtId="0" fontId="4" fillId="8" borderId="6" xfId="0" applyFont="1" applyFill="1" applyBorder="1"/>
    <xf numFmtId="0" fontId="4" fillId="8" borderId="4" xfId="0" applyFont="1" applyFill="1" applyBorder="1"/>
    <xf numFmtId="0" fontId="4" fillId="8" borderId="3" xfId="0" applyFont="1" applyFill="1" applyBorder="1"/>
    <xf numFmtId="0" fontId="4" fillId="8" borderId="13" xfId="0" applyFont="1" applyFill="1" applyBorder="1"/>
    <xf numFmtId="0" fontId="4" fillId="4" borderId="23" xfId="0" applyFont="1" applyFill="1" applyBorder="1"/>
    <xf numFmtId="0" fontId="4" fillId="8" borderId="21" xfId="0" applyFont="1" applyFill="1" applyBorder="1"/>
    <xf numFmtId="0" fontId="12" fillId="9" borderId="1" xfId="0" applyFont="1" applyFill="1" applyBorder="1"/>
    <xf numFmtId="0" fontId="4" fillId="9" borderId="2" xfId="0" applyFont="1" applyFill="1" applyBorder="1"/>
    <xf numFmtId="0" fontId="4" fillId="12" borderId="1" xfId="0" applyFont="1" applyFill="1" applyBorder="1"/>
    <xf numFmtId="0" fontId="4" fillId="12" borderId="0" xfId="0" applyFont="1" applyFill="1"/>
    <xf numFmtId="0" fontId="4" fillId="12" borderId="2" xfId="0" applyFont="1" applyFill="1" applyBorder="1"/>
    <xf numFmtId="0" fontId="4" fillId="7" borderId="2" xfId="0" applyFont="1" applyFill="1" applyBorder="1"/>
    <xf numFmtId="0" fontId="12" fillId="7" borderId="1" xfId="0" applyFont="1" applyFill="1" applyBorder="1"/>
    <xf numFmtId="0" fontId="12" fillId="7" borderId="0" xfId="0" applyFont="1" applyFill="1"/>
    <xf numFmtId="0" fontId="12" fillId="7" borderId="2" xfId="0" applyFont="1" applyFill="1" applyBorder="1"/>
    <xf numFmtId="0" fontId="12" fillId="12" borderId="1" xfId="0" applyFont="1" applyFill="1" applyBorder="1"/>
    <xf numFmtId="0" fontId="12" fillId="12" borderId="0" xfId="0" applyFont="1" applyFill="1"/>
    <xf numFmtId="0" fontId="12" fillId="12" borderId="2" xfId="0" applyFont="1" applyFill="1" applyBorder="1"/>
    <xf numFmtId="0" fontId="4" fillId="0" borderId="0" xfId="1" applyFont="1"/>
    <xf numFmtId="0" fontId="4" fillId="0" borderId="7" xfId="1" applyFont="1" applyBorder="1"/>
    <xf numFmtId="0" fontId="4" fillId="0" borderId="20" xfId="1" applyFont="1" applyBorder="1"/>
    <xf numFmtId="0" fontId="4" fillId="0" borderId="8" xfId="1" applyFont="1" applyBorder="1"/>
    <xf numFmtId="0" fontId="4" fillId="0" borderId="1" xfId="1" applyFont="1" applyBorder="1"/>
    <xf numFmtId="3" fontId="4" fillId="0" borderId="0" xfId="1" applyNumberFormat="1" applyFont="1"/>
    <xf numFmtId="0" fontId="4" fillId="0" borderId="2" xfId="1" applyFont="1" applyBorder="1"/>
    <xf numFmtId="0" fontId="4" fillId="0" borderId="3" xfId="1" applyFont="1" applyBorder="1"/>
    <xf numFmtId="0" fontId="4" fillId="0" borderId="6" xfId="1" applyFont="1" applyBorder="1"/>
    <xf numFmtId="0" fontId="4" fillId="0" borderId="4" xfId="1" applyFont="1" applyBorder="1"/>
    <xf numFmtId="0" fontId="4" fillId="0" borderId="27" xfId="1" applyFont="1" applyBorder="1"/>
    <xf numFmtId="0" fontId="4" fillId="0" borderId="19" xfId="1" applyFont="1" applyBorder="1"/>
    <xf numFmtId="0" fontId="4" fillId="0" borderId="11" xfId="1" applyFont="1" applyBorder="1"/>
    <xf numFmtId="0" fontId="4" fillId="0" borderId="12" xfId="1" applyFont="1" applyBorder="1"/>
    <xf numFmtId="0" fontId="4" fillId="0" borderId="13" xfId="1" applyFont="1" applyBorder="1"/>
    <xf numFmtId="0" fontId="4" fillId="0" borderId="14" xfId="1" applyFont="1" applyBorder="1"/>
    <xf numFmtId="0" fontId="4" fillId="0" borderId="14" xfId="1" quotePrefix="1" applyFont="1" applyBorder="1"/>
    <xf numFmtId="0" fontId="4" fillId="0" borderId="15" xfId="1" applyFont="1" applyBorder="1"/>
    <xf numFmtId="0" fontId="4" fillId="0" borderId="45" xfId="1" applyFont="1" applyBorder="1"/>
    <xf numFmtId="0" fontId="4" fillId="0" borderId="44" xfId="1" applyFont="1" applyBorder="1"/>
    <xf numFmtId="0" fontId="4" fillId="0" borderId="42" xfId="1" applyFont="1" applyBorder="1"/>
    <xf numFmtId="0" fontId="4" fillId="0" borderId="41" xfId="1" applyFont="1" applyBorder="1"/>
    <xf numFmtId="0" fontId="4" fillId="0" borderId="39" xfId="1" applyFont="1" applyBorder="1"/>
    <xf numFmtId="0" fontId="4" fillId="0" borderId="38" xfId="1" applyFont="1" applyBorder="1"/>
    <xf numFmtId="0" fontId="11" fillId="9" borderId="0" xfId="1" applyFont="1" applyFill="1"/>
    <xf numFmtId="0" fontId="4" fillId="9" borderId="0" xfId="1" applyFont="1" applyFill="1"/>
    <xf numFmtId="0" fontId="4" fillId="0" borderId="46" xfId="1" applyFont="1" applyBorder="1"/>
    <xf numFmtId="0" fontId="4" fillId="0" borderId="26" xfId="1" applyFont="1" applyBorder="1"/>
    <xf numFmtId="0" fontId="4" fillId="0" borderId="1" xfId="1" applyFont="1" applyBorder="1" applyAlignment="1">
      <alignment horizontal="right"/>
    </xf>
    <xf numFmtId="0" fontId="4" fillId="0" borderId="0" xfId="1" applyFont="1" applyAlignment="1">
      <alignment horizontal="center"/>
    </xf>
    <xf numFmtId="0" fontId="12" fillId="9" borderId="1" xfId="1" applyFont="1" applyFill="1" applyBorder="1"/>
    <xf numFmtId="0" fontId="4" fillId="9" borderId="2" xfId="1" applyFont="1" applyFill="1" applyBorder="1"/>
    <xf numFmtId="0" fontId="12" fillId="12" borderId="1" xfId="1" applyFont="1" applyFill="1" applyBorder="1"/>
    <xf numFmtId="0" fontId="4" fillId="12" borderId="0" xfId="1" applyFont="1" applyFill="1"/>
    <xf numFmtId="0" fontId="4" fillId="12" borderId="2" xfId="1" applyFont="1" applyFill="1" applyBorder="1"/>
    <xf numFmtId="0" fontId="12" fillId="7" borderId="1" xfId="1" applyFont="1" applyFill="1" applyBorder="1"/>
    <xf numFmtId="0" fontId="4" fillId="7" borderId="0" xfId="1" applyFont="1" applyFill="1"/>
    <xf numFmtId="0" fontId="4" fillId="7" borderId="2" xfId="1" applyFont="1" applyFill="1" applyBorder="1"/>
    <xf numFmtId="0" fontId="2" fillId="9" borderId="7" xfId="1" applyFont="1" applyFill="1" applyBorder="1"/>
    <xf numFmtId="0" fontId="4" fillId="9" borderId="20" xfId="1" applyFont="1" applyFill="1" applyBorder="1"/>
    <xf numFmtId="0" fontId="4" fillId="9" borderId="8" xfId="1" applyFont="1" applyFill="1" applyBorder="1"/>
    <xf numFmtId="0" fontId="4" fillId="8" borderId="7" xfId="1" applyFont="1" applyFill="1" applyBorder="1"/>
    <xf numFmtId="0" fontId="4" fillId="8" borderId="20" xfId="1" applyFont="1" applyFill="1" applyBorder="1"/>
    <xf numFmtId="0" fontId="4" fillId="8" borderId="8" xfId="1" applyFont="1" applyFill="1" applyBorder="1"/>
    <xf numFmtId="0" fontId="4" fillId="8" borderId="1" xfId="1" applyFont="1" applyFill="1" applyBorder="1"/>
    <xf numFmtId="0" fontId="4" fillId="8" borderId="0" xfId="1" applyFont="1" applyFill="1"/>
    <xf numFmtId="0" fontId="4" fillId="8" borderId="2" xfId="1" applyFont="1" applyFill="1" applyBorder="1"/>
    <xf numFmtId="0" fontId="4" fillId="8" borderId="3" xfId="1" applyFont="1" applyFill="1" applyBorder="1"/>
    <xf numFmtId="0" fontId="4" fillId="8" borderId="6" xfId="1" applyFont="1" applyFill="1" applyBorder="1"/>
    <xf numFmtId="0" fontId="4" fillId="8" borderId="4" xfId="1" applyFont="1" applyFill="1" applyBorder="1"/>
    <xf numFmtId="0" fontId="12" fillId="0" borderId="16" xfId="1" applyFont="1" applyBorder="1"/>
    <xf numFmtId="0" fontId="12" fillId="0" borderId="17" xfId="1" applyFont="1" applyBorder="1"/>
    <xf numFmtId="0" fontId="12" fillId="0" borderId="18" xfId="1" applyFont="1" applyBorder="1"/>
    <xf numFmtId="0" fontId="12" fillId="8" borderId="1" xfId="1" applyFont="1" applyFill="1" applyBorder="1"/>
    <xf numFmtId="3" fontId="4" fillId="0" borderId="14" xfId="1" quotePrefix="1" applyNumberFormat="1" applyFont="1" applyBorder="1"/>
    <xf numFmtId="0" fontId="4" fillId="10" borderId="19" xfId="1" applyFont="1" applyFill="1" applyBorder="1"/>
    <xf numFmtId="0" fontId="4" fillId="10" borderId="12" xfId="1" applyFont="1" applyFill="1" applyBorder="1"/>
    <xf numFmtId="0" fontId="4" fillId="10" borderId="15" xfId="1" applyFont="1" applyFill="1" applyBorder="1"/>
    <xf numFmtId="0" fontId="4" fillId="10" borderId="44" xfId="1" applyFont="1" applyFill="1" applyBorder="1"/>
    <xf numFmtId="0" fontId="4" fillId="10" borderId="41" xfId="1" applyFont="1" applyFill="1" applyBorder="1"/>
    <xf numFmtId="0" fontId="4" fillId="10" borderId="38" xfId="1" applyFont="1" applyFill="1" applyBorder="1"/>
    <xf numFmtId="0" fontId="4" fillId="10" borderId="43" xfId="1" applyFont="1" applyFill="1" applyBorder="1"/>
    <xf numFmtId="0" fontId="4" fillId="10" borderId="40" xfId="1" applyFont="1" applyFill="1" applyBorder="1"/>
    <xf numFmtId="0" fontId="4" fillId="10" borderId="37" xfId="1" applyFont="1" applyFill="1" applyBorder="1"/>
    <xf numFmtId="0" fontId="4" fillId="11" borderId="0" xfId="1" applyFont="1" applyFill="1"/>
    <xf numFmtId="0" fontId="4" fillId="11" borderId="2" xfId="1" applyFont="1" applyFill="1" applyBorder="1"/>
    <xf numFmtId="0" fontId="12" fillId="0" borderId="24" xfId="0" applyFont="1" applyBorder="1" applyAlignment="1">
      <alignment horizontal="center" vertical="center"/>
    </xf>
    <xf numFmtId="0" fontId="12" fillId="0" borderId="21" xfId="0" applyFont="1" applyBorder="1" applyAlignment="1">
      <alignment horizontal="center" vertical="center"/>
    </xf>
    <xf numFmtId="0" fontId="12" fillId="0" borderId="18" xfId="0" applyFont="1" applyBorder="1" applyAlignment="1">
      <alignment horizontal="center" vertical="center"/>
    </xf>
    <xf numFmtId="0" fontId="4" fillId="0" borderId="9" xfId="0" applyFont="1" applyBorder="1" applyAlignment="1">
      <alignment horizontal="center" vertical="center"/>
    </xf>
    <xf numFmtId="0" fontId="4" fillId="0" borderId="25" xfId="0" applyFont="1" applyBorder="1" applyAlignment="1">
      <alignment horizontal="center" vertical="center"/>
    </xf>
    <xf numFmtId="0" fontId="4" fillId="0" borderId="19" xfId="0" applyFont="1" applyBorder="1" applyAlignment="1">
      <alignment horizontal="center" vertical="center"/>
    </xf>
    <xf numFmtId="0" fontId="4" fillId="0" borderId="1" xfId="0" applyFont="1" applyBorder="1" applyAlignment="1">
      <alignment horizontal="center" vertical="center"/>
    </xf>
    <xf numFmtId="0" fontId="4" fillId="0" borderId="22" xfId="0" applyFont="1" applyBorder="1" applyAlignment="1">
      <alignment horizontal="center" vertical="center"/>
    </xf>
    <xf numFmtId="0" fontId="4" fillId="0" borderId="12" xfId="0" applyFont="1" applyBorder="1" applyAlignment="1">
      <alignment horizontal="center" vertical="center"/>
    </xf>
    <xf numFmtId="0" fontId="4" fillId="0" borderId="26" xfId="0" applyFont="1" applyBorder="1" applyAlignment="1">
      <alignment horizontal="center" vertical="center"/>
    </xf>
    <xf numFmtId="0" fontId="4" fillId="0" borderId="23" xfId="0" applyFont="1" applyBorder="1" applyAlignment="1">
      <alignment horizontal="center" vertical="center"/>
    </xf>
    <xf numFmtId="0" fontId="4" fillId="0" borderId="15" xfId="0" applyFont="1" applyBorder="1" applyAlignment="1">
      <alignment horizontal="center" vertical="center"/>
    </xf>
    <xf numFmtId="0" fontId="12" fillId="0" borderId="16" xfId="0" applyFont="1" applyBorder="1" applyAlignment="1">
      <alignment horizontal="left" vertical="center"/>
    </xf>
    <xf numFmtId="0" fontId="4" fillId="2" borderId="0" xfId="0" applyFont="1" applyFill="1" applyAlignment="1">
      <alignment horizontal="center" vertical="center"/>
    </xf>
    <xf numFmtId="0" fontId="4" fillId="2" borderId="13" xfId="0" applyFont="1" applyFill="1" applyBorder="1" applyAlignment="1">
      <alignment horizontal="center" vertical="center"/>
    </xf>
    <xf numFmtId="0" fontId="12" fillId="0" borderId="21" xfId="0" applyFont="1" applyBorder="1" applyAlignment="1">
      <alignment horizontal="left" vertical="center"/>
    </xf>
    <xf numFmtId="0" fontId="4" fillId="2" borderId="25" xfId="0" quotePrefix="1" applyFont="1" applyFill="1" applyBorder="1" applyAlignment="1">
      <alignment vertical="center"/>
    </xf>
    <xf numFmtId="0" fontId="4" fillId="2" borderId="22" xfId="0" quotePrefix="1" applyFont="1" applyFill="1" applyBorder="1" applyAlignment="1">
      <alignment vertical="center"/>
    </xf>
    <xf numFmtId="0" fontId="4" fillId="2" borderId="23" xfId="0" quotePrefix="1" applyFont="1" applyFill="1" applyBorder="1" applyAlignment="1">
      <alignment vertical="center"/>
    </xf>
    <xf numFmtId="0" fontId="4" fillId="2" borderId="11" xfId="0" applyFont="1" applyFill="1" applyBorder="1" applyAlignment="1">
      <alignment horizontal="center" vertical="center"/>
    </xf>
    <xf numFmtId="0" fontId="12" fillId="0" borderId="16" xfId="0" applyFont="1" applyBorder="1" applyAlignment="1">
      <alignment vertical="center"/>
    </xf>
    <xf numFmtId="0" fontId="12" fillId="2" borderId="21" xfId="0" applyFont="1" applyFill="1" applyBorder="1" applyAlignment="1">
      <alignment horizontal="center" vertical="center"/>
    </xf>
    <xf numFmtId="0" fontId="4" fillId="8" borderId="7" xfId="0" applyFont="1" applyFill="1" applyBorder="1" applyAlignment="1">
      <alignment vertical="center"/>
    </xf>
    <xf numFmtId="0" fontId="4" fillId="8" borderId="20" xfId="0" applyFont="1" applyFill="1" applyBorder="1" applyAlignment="1">
      <alignment vertical="center"/>
    </xf>
    <xf numFmtId="0" fontId="4" fillId="8" borderId="8" xfId="0" applyFont="1" applyFill="1" applyBorder="1" applyAlignment="1">
      <alignment vertical="center"/>
    </xf>
    <xf numFmtId="22" fontId="4" fillId="8" borderId="1" xfId="0" applyNumberFormat="1" applyFont="1" applyFill="1" applyBorder="1" applyAlignment="1">
      <alignment vertical="center"/>
    </xf>
    <xf numFmtId="0" fontId="4" fillId="8" borderId="0" xfId="0" applyFont="1" applyFill="1" applyAlignment="1">
      <alignment vertical="center"/>
    </xf>
    <xf numFmtId="0" fontId="4" fillId="8" borderId="2" xfId="0" applyFont="1" applyFill="1" applyBorder="1" applyAlignment="1">
      <alignment vertical="center"/>
    </xf>
    <xf numFmtId="0" fontId="4" fillId="8" borderId="1" xfId="0" applyFont="1" applyFill="1" applyBorder="1" applyAlignment="1">
      <alignment vertical="center"/>
    </xf>
    <xf numFmtId="0" fontId="12" fillId="8" borderId="1" xfId="0" applyFont="1" applyFill="1" applyBorder="1" applyAlignment="1">
      <alignment vertical="center"/>
    </xf>
    <xf numFmtId="0" fontId="4" fillId="8" borderId="1" xfId="0" applyFont="1" applyFill="1" applyBorder="1" applyAlignment="1">
      <alignment vertical="center" wrapText="1"/>
    </xf>
    <xf numFmtId="0" fontId="4" fillId="8" borderId="0" xfId="0" applyFont="1" applyFill="1" applyAlignment="1">
      <alignment vertical="center" wrapText="1"/>
    </xf>
    <xf numFmtId="0" fontId="4" fillId="8" borderId="2" xfId="0" applyFont="1" applyFill="1" applyBorder="1" applyAlignment="1">
      <alignment vertical="center" wrapText="1"/>
    </xf>
    <xf numFmtId="0" fontId="4" fillId="8" borderId="3" xfId="0" applyFont="1" applyFill="1" applyBorder="1" applyAlignment="1">
      <alignment vertical="center"/>
    </xf>
    <xf numFmtId="0" fontId="4" fillId="8" borderId="6" xfId="0" applyFont="1" applyFill="1" applyBorder="1" applyAlignment="1">
      <alignment vertical="center"/>
    </xf>
    <xf numFmtId="0" fontId="4" fillId="8" borderId="4" xfId="0" applyFont="1" applyFill="1" applyBorder="1" applyAlignment="1">
      <alignment vertical="center"/>
    </xf>
    <xf numFmtId="0" fontId="12" fillId="9" borderId="1" xfId="0" applyFont="1" applyFill="1" applyBorder="1" applyAlignment="1">
      <alignment vertical="center"/>
    </xf>
    <xf numFmtId="0" fontId="4" fillId="9" borderId="0" xfId="0" applyFont="1" applyFill="1" applyAlignment="1">
      <alignment vertical="center"/>
    </xf>
    <xf numFmtId="0" fontId="4" fillId="9" borderId="2" xfId="0" applyFont="1" applyFill="1" applyBorder="1" applyAlignment="1">
      <alignment vertical="center"/>
    </xf>
    <xf numFmtId="0" fontId="12" fillId="8" borderId="24" xfId="0" applyFont="1" applyFill="1" applyBorder="1" applyAlignment="1">
      <alignment horizontal="center" vertical="center"/>
    </xf>
    <xf numFmtId="0" fontId="12" fillId="8" borderId="21" xfId="0" applyFont="1" applyFill="1" applyBorder="1" applyAlignment="1">
      <alignment horizontal="center" vertical="center"/>
    </xf>
    <xf numFmtId="0" fontId="12" fillId="12" borderId="1" xfId="0" applyFont="1" applyFill="1" applyBorder="1" applyAlignment="1">
      <alignment vertical="center"/>
    </xf>
    <xf numFmtId="0" fontId="4" fillId="12" borderId="0" xfId="0" applyFont="1" applyFill="1" applyAlignment="1">
      <alignment vertical="center"/>
    </xf>
    <xf numFmtId="0" fontId="4" fillId="12" borderId="2" xfId="0" applyFont="1" applyFill="1" applyBorder="1" applyAlignment="1">
      <alignment vertical="center"/>
    </xf>
    <xf numFmtId="0" fontId="12" fillId="7" borderId="1" xfId="0" applyFont="1" applyFill="1" applyBorder="1" applyAlignment="1">
      <alignment vertical="center"/>
    </xf>
    <xf numFmtId="0" fontId="4" fillId="7" borderId="0" xfId="0" applyFont="1" applyFill="1" applyAlignment="1">
      <alignment vertical="center"/>
    </xf>
    <xf numFmtId="0" fontId="4" fillId="7" borderId="2" xfId="0" applyFont="1" applyFill="1" applyBorder="1" applyAlignment="1">
      <alignment vertical="center"/>
    </xf>
    <xf numFmtId="0" fontId="4" fillId="2" borderId="19" xfId="0" quotePrefix="1" applyFont="1" applyFill="1" applyBorder="1" applyAlignment="1">
      <alignment horizontal="center" vertical="center"/>
    </xf>
    <xf numFmtId="0" fontId="4" fillId="2" borderId="12" xfId="0" quotePrefix="1" applyFont="1" applyFill="1" applyBorder="1" applyAlignment="1">
      <alignment horizontal="center" vertical="center"/>
    </xf>
    <xf numFmtId="0" fontId="12" fillId="0" borderId="46" xfId="0" applyFont="1" applyBorder="1" applyAlignment="1">
      <alignment horizontal="left" vertical="center"/>
    </xf>
    <xf numFmtId="0" fontId="4" fillId="2" borderId="25" xfId="0" applyFont="1" applyFill="1" applyBorder="1" applyAlignment="1">
      <alignment horizontal="center" vertical="center"/>
    </xf>
    <xf numFmtId="0" fontId="4" fillId="8" borderId="1" xfId="0" applyFont="1" applyFill="1" applyBorder="1" applyAlignment="1">
      <alignment horizontal="left" vertical="center"/>
    </xf>
    <xf numFmtId="0" fontId="12" fillId="0" borderId="25" xfId="0" applyFont="1" applyBorder="1" applyAlignment="1">
      <alignment horizontal="center" vertical="center"/>
    </xf>
    <xf numFmtId="0" fontId="4" fillId="0" borderId="27"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4" fillId="8" borderId="14" xfId="0" applyFont="1" applyFill="1" applyBorder="1" applyAlignment="1">
      <alignment vertical="center"/>
    </xf>
    <xf numFmtId="0" fontId="12" fillId="2" borderId="16" xfId="0" applyFont="1" applyFill="1" applyBorder="1" applyAlignment="1">
      <alignment horizontal="center" vertical="center"/>
    </xf>
    <xf numFmtId="0" fontId="4" fillId="8" borderId="11" xfId="0" applyFont="1" applyFill="1" applyBorder="1" applyAlignment="1">
      <alignment vertical="center"/>
    </xf>
    <xf numFmtId="0" fontId="4" fillId="8" borderId="12" xfId="0" applyFont="1" applyFill="1" applyBorder="1" applyAlignment="1">
      <alignment vertical="center"/>
    </xf>
    <xf numFmtId="0" fontId="4" fillId="0" borderId="7" xfId="0" applyFont="1" applyBorder="1"/>
    <xf numFmtId="0" fontId="4" fillId="0" borderId="5" xfId="0" applyFont="1" applyBorder="1"/>
    <xf numFmtId="0" fontId="2" fillId="9" borderId="0" xfId="0" applyFont="1" applyFill="1"/>
    <xf numFmtId="0" fontId="3" fillId="9" borderId="0" xfId="0" applyFont="1" applyFill="1"/>
    <xf numFmtId="0" fontId="12" fillId="8" borderId="7" xfId="0" applyFont="1" applyFill="1" applyBorder="1"/>
    <xf numFmtId="0" fontId="12" fillId="0" borderId="16" xfId="0" applyFont="1" applyBorder="1"/>
    <xf numFmtId="0" fontId="12" fillId="0" borderId="17" xfId="0" applyFont="1" applyBorder="1"/>
    <xf numFmtId="0" fontId="12" fillId="0" borderId="19" xfId="0" applyFont="1" applyBorder="1"/>
    <xf numFmtId="44" fontId="4" fillId="0" borderId="19" xfId="2" applyFont="1" applyBorder="1"/>
    <xf numFmtId="44" fontId="4" fillId="0" borderId="12" xfId="2" applyFont="1" applyBorder="1"/>
    <xf numFmtId="44" fontId="4" fillId="0" borderId="15" xfId="2" applyFont="1" applyBorder="1"/>
    <xf numFmtId="0" fontId="12" fillId="0" borderId="25" xfId="0" applyFont="1" applyBorder="1"/>
    <xf numFmtId="0" fontId="4" fillId="0" borderId="25" xfId="0" applyFont="1" applyBorder="1"/>
    <xf numFmtId="0" fontId="4" fillId="0" borderId="22" xfId="0" applyFont="1" applyBorder="1"/>
    <xf numFmtId="0" fontId="4" fillId="0" borderId="23" xfId="0" applyFont="1" applyBorder="1"/>
    <xf numFmtId="44" fontId="14" fillId="10" borderId="22" xfId="0" applyNumberFormat="1" applyFont="1" applyFill="1" applyBorder="1"/>
    <xf numFmtId="44" fontId="14" fillId="10" borderId="23" xfId="0" applyNumberFormat="1" applyFont="1" applyFill="1" applyBorder="1"/>
    <xf numFmtId="0" fontId="12" fillId="0" borderId="21" xfId="0" applyFont="1" applyBorder="1"/>
    <xf numFmtId="0" fontId="4" fillId="2" borderId="21" xfId="0" applyFont="1" applyFill="1" applyBorder="1"/>
    <xf numFmtId="0" fontId="12" fillId="0" borderId="18" xfId="0" applyFont="1" applyBorder="1"/>
    <xf numFmtId="0" fontId="2" fillId="0" borderId="7" xfId="0" applyFont="1" applyBorder="1"/>
    <xf numFmtId="0" fontId="12" fillId="0" borderId="36" xfId="0" applyFont="1" applyBorder="1"/>
    <xf numFmtId="0" fontId="4" fillId="0" borderId="36" xfId="0" applyFont="1" applyBorder="1"/>
    <xf numFmtId="0" fontId="4" fillId="0" borderId="35" xfId="0" applyFont="1" applyBorder="1"/>
    <xf numFmtId="0" fontId="4" fillId="0" borderId="34" xfId="0" applyFont="1" applyBorder="1"/>
    <xf numFmtId="0" fontId="17" fillId="11" borderId="1" xfId="0" applyFont="1" applyFill="1" applyBorder="1"/>
    <xf numFmtId="0" fontId="4" fillId="11" borderId="0" xfId="0" applyFont="1" applyFill="1"/>
    <xf numFmtId="0" fontId="4" fillId="11" borderId="2" xfId="0" applyFont="1" applyFill="1" applyBorder="1"/>
    <xf numFmtId="0" fontId="4" fillId="11" borderId="1" xfId="0" applyFont="1" applyFill="1" applyBorder="1"/>
    <xf numFmtId="0" fontId="12" fillId="0" borderId="24" xfId="0" applyFont="1" applyBorder="1"/>
    <xf numFmtId="0" fontId="12" fillId="0" borderId="26" xfId="0" applyFont="1" applyBorder="1"/>
    <xf numFmtId="11" fontId="4" fillId="0" borderId="0" xfId="1" applyNumberFormat="1" applyFont="1"/>
    <xf numFmtId="0" fontId="4" fillId="0" borderId="18" xfId="1" applyFont="1" applyBorder="1"/>
    <xf numFmtId="0" fontId="4" fillId="0" borderId="21" xfId="1" applyFont="1" applyBorder="1"/>
    <xf numFmtId="0" fontId="4" fillId="0" borderId="22" xfId="1" applyFont="1" applyBorder="1"/>
    <xf numFmtId="0" fontId="4" fillId="0" borderId="23" xfId="1" applyFont="1" applyBorder="1"/>
    <xf numFmtId="0" fontId="12" fillId="0" borderId="21" xfId="1" applyFont="1" applyBorder="1"/>
    <xf numFmtId="0" fontId="4" fillId="0" borderId="25" xfId="1" applyFont="1" applyBorder="1"/>
    <xf numFmtId="44" fontId="4" fillId="0" borderId="0" xfId="2" applyFont="1" applyBorder="1"/>
    <xf numFmtId="0" fontId="4" fillId="10" borderId="0" xfId="1" applyFont="1" applyFill="1"/>
    <xf numFmtId="0" fontId="12" fillId="0" borderId="24" xfId="1" applyFont="1" applyBorder="1"/>
    <xf numFmtId="0" fontId="4" fillId="0" borderId="47" xfId="1" applyFont="1" applyBorder="1"/>
    <xf numFmtId="0" fontId="4" fillId="0" borderId="35" xfId="1" applyFont="1" applyBorder="1"/>
    <xf numFmtId="0" fontId="4" fillId="0" borderId="34" xfId="1" applyFont="1" applyBorder="1"/>
    <xf numFmtId="0" fontId="4" fillId="0" borderId="9" xfId="1" applyFont="1" applyBorder="1"/>
    <xf numFmtId="0" fontId="4" fillId="0" borderId="10" xfId="1" applyFont="1" applyBorder="1"/>
    <xf numFmtId="0" fontId="4" fillId="0" borderId="49" xfId="1" applyFont="1" applyBorder="1"/>
    <xf numFmtId="0" fontId="18" fillId="0" borderId="0" xfId="0" applyFont="1"/>
    <xf numFmtId="0" fontId="12" fillId="0" borderId="33" xfId="0" applyFont="1" applyBorder="1" applyAlignment="1">
      <alignment horizontal="center"/>
    </xf>
    <xf numFmtId="0" fontId="4" fillId="0" borderId="32" xfId="0" applyFont="1" applyBorder="1"/>
    <xf numFmtId="0" fontId="12" fillId="3" borderId="31" xfId="0" applyFont="1" applyFill="1" applyBorder="1" applyAlignment="1">
      <alignment horizontal="center"/>
    </xf>
    <xf numFmtId="0" fontId="12" fillId="3" borderId="30" xfId="0" applyFont="1" applyFill="1" applyBorder="1" applyAlignment="1">
      <alignment horizontal="center"/>
    </xf>
    <xf numFmtId="0" fontId="12" fillId="3" borderId="29" xfId="0" applyFont="1" applyFill="1" applyBorder="1" applyAlignment="1">
      <alignment horizontal="center"/>
    </xf>
    <xf numFmtId="0" fontId="4" fillId="5" borderId="0" xfId="0" applyFont="1" applyFill="1" applyAlignment="1">
      <alignment horizontal="center"/>
    </xf>
    <xf numFmtId="0" fontId="12" fillId="3" borderId="28" xfId="0" applyFont="1" applyFill="1" applyBorder="1" applyAlignment="1">
      <alignment horizontal="center"/>
    </xf>
    <xf numFmtId="0" fontId="4" fillId="6" borderId="0" xfId="0" applyFont="1" applyFill="1" applyAlignment="1">
      <alignment horizontal="center"/>
    </xf>
    <xf numFmtId="0" fontId="4" fillId="6" borderId="2" xfId="0" applyFont="1" applyFill="1" applyBorder="1" applyAlignment="1">
      <alignment horizontal="center"/>
    </xf>
    <xf numFmtId="0" fontId="4" fillId="6" borderId="6" xfId="0" applyFont="1" applyFill="1" applyBorder="1" applyAlignment="1">
      <alignment horizontal="center"/>
    </xf>
    <xf numFmtId="0" fontId="4" fillId="6" borderId="4" xfId="0" applyFont="1" applyFill="1" applyBorder="1" applyAlignment="1">
      <alignment horizontal="center"/>
    </xf>
    <xf numFmtId="0" fontId="12" fillId="10" borderId="0" xfId="0" applyFont="1" applyFill="1"/>
    <xf numFmtId="0" fontId="12" fillId="0" borderId="27" xfId="0" applyFont="1" applyBorder="1"/>
    <xf numFmtId="0" fontId="4" fillId="0" borderId="27" xfId="0" applyFont="1" applyBorder="1"/>
    <xf numFmtId="0" fontId="4" fillId="0" borderId="19" xfId="0" applyFont="1" applyBorder="1"/>
    <xf numFmtId="0" fontId="12" fillId="0" borderId="34" xfId="0" applyFont="1" applyBorder="1"/>
    <xf numFmtId="0" fontId="12" fillId="0" borderId="2" xfId="0" applyFont="1" applyBorder="1"/>
    <xf numFmtId="0" fontId="12" fillId="2" borderId="35" xfId="0" applyFont="1" applyFill="1" applyBorder="1" applyAlignment="1">
      <alignment horizontal="center"/>
    </xf>
    <xf numFmtId="0" fontId="12" fillId="2" borderId="34" xfId="0" applyFont="1" applyFill="1" applyBorder="1" applyAlignment="1">
      <alignment horizontal="center"/>
    </xf>
    <xf numFmtId="0" fontId="4" fillId="8" borderId="1" xfId="0" applyFont="1" applyFill="1" applyBorder="1" applyAlignment="1">
      <alignment horizontal="left" vertical="center" wrapText="1"/>
    </xf>
    <xf numFmtId="0" fontId="4" fillId="8" borderId="0" xfId="0" applyFont="1" applyFill="1" applyAlignment="1">
      <alignment horizontal="left" vertical="center" wrapText="1"/>
    </xf>
    <xf numFmtId="0" fontId="4" fillId="8" borderId="2" xfId="0" applyFont="1" applyFill="1" applyBorder="1" applyAlignment="1">
      <alignment horizontal="left" vertical="center" wrapText="1"/>
    </xf>
    <xf numFmtId="0" fontId="12" fillId="8" borderId="18" xfId="0" applyFont="1" applyFill="1" applyBorder="1" applyAlignment="1">
      <alignment horizontal="center" vertical="center"/>
    </xf>
    <xf numFmtId="0" fontId="4" fillId="2" borderId="15" xfId="0" quotePrefix="1" applyFont="1" applyFill="1" applyBorder="1" applyAlignment="1">
      <alignment horizontal="center" vertical="center"/>
    </xf>
    <xf numFmtId="0" fontId="4" fillId="11" borderId="1" xfId="1" applyFont="1" applyFill="1" applyBorder="1"/>
    <xf numFmtId="0" fontId="20" fillId="0" borderId="0" xfId="1" applyFont="1" applyAlignment="1">
      <alignment horizontal="left" vertical="center" wrapText="1"/>
    </xf>
    <xf numFmtId="0" fontId="4" fillId="11" borderId="1" xfId="0" applyFont="1" applyFill="1" applyBorder="1" applyAlignment="1">
      <alignment horizontal="left" wrapText="1"/>
    </xf>
    <xf numFmtId="0" fontId="4" fillId="11" borderId="0" xfId="0" applyFont="1" applyFill="1" applyAlignment="1">
      <alignment horizontal="left" wrapText="1"/>
    </xf>
    <xf numFmtId="0" fontId="4" fillId="10" borderId="14" xfId="1" applyFont="1" applyFill="1" applyBorder="1" applyAlignment="1">
      <alignment horizontal="center"/>
    </xf>
    <xf numFmtId="0" fontId="4" fillId="10" borderId="15" xfId="1" applyFont="1" applyFill="1" applyBorder="1" applyAlignment="1">
      <alignment horizontal="center"/>
    </xf>
    <xf numFmtId="0" fontId="12" fillId="0" borderId="17" xfId="1" applyFont="1" applyBorder="1" applyAlignment="1">
      <alignment horizontal="center"/>
    </xf>
    <xf numFmtId="0" fontId="12" fillId="0" borderId="18" xfId="1" applyFont="1" applyBorder="1" applyAlignment="1">
      <alignment horizontal="center"/>
    </xf>
    <xf numFmtId="0" fontId="4" fillId="10" borderId="27" xfId="1" applyFont="1" applyFill="1" applyBorder="1" applyAlignment="1">
      <alignment horizontal="center"/>
    </xf>
    <xf numFmtId="0" fontId="4" fillId="10" borderId="19" xfId="1" applyFont="1" applyFill="1" applyBorder="1" applyAlignment="1">
      <alignment horizontal="center"/>
    </xf>
    <xf numFmtId="0" fontId="4" fillId="10" borderId="0" xfId="1" applyFont="1" applyFill="1" applyAlignment="1">
      <alignment horizontal="center"/>
    </xf>
    <xf numFmtId="0" fontId="4" fillId="10" borderId="12" xfId="1" applyFont="1" applyFill="1" applyBorder="1" applyAlignment="1">
      <alignment horizontal="center"/>
    </xf>
    <xf numFmtId="0" fontId="4" fillId="8" borderId="1" xfId="0" applyFont="1" applyFill="1" applyBorder="1" applyAlignment="1">
      <alignment horizontal="left" vertical="center" wrapText="1"/>
    </xf>
    <xf numFmtId="0" fontId="4" fillId="8" borderId="0" xfId="0" applyFont="1" applyFill="1" applyAlignment="1">
      <alignment horizontal="left" vertical="center" wrapText="1"/>
    </xf>
    <xf numFmtId="0" fontId="4" fillId="8" borderId="2"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12" fillId="11" borderId="0" xfId="0" applyFont="1" applyFill="1" applyAlignment="1">
      <alignment horizontal="left" vertical="center" wrapText="1"/>
    </xf>
    <xf numFmtId="0" fontId="12" fillId="11" borderId="2" xfId="0" applyFont="1" applyFill="1" applyBorder="1" applyAlignment="1">
      <alignment horizontal="left" vertical="center" wrapText="1"/>
    </xf>
    <xf numFmtId="0" fontId="4" fillId="2" borderId="16" xfId="0" quotePrefix="1" applyFont="1" applyFill="1" applyBorder="1" applyAlignment="1">
      <alignment horizontal="left" vertical="center"/>
    </xf>
    <xf numFmtId="0" fontId="4" fillId="2" borderId="18" xfId="0" quotePrefix="1" applyFont="1" applyFill="1" applyBorder="1" applyAlignment="1">
      <alignment horizontal="left" vertical="center"/>
    </xf>
    <xf numFmtId="0" fontId="12" fillId="8" borderId="16" xfId="0" applyFont="1" applyFill="1" applyBorder="1" applyAlignment="1">
      <alignment horizontal="center" vertical="center"/>
    </xf>
    <xf numFmtId="0" fontId="12" fillId="8" borderId="18" xfId="0" applyFont="1" applyFill="1" applyBorder="1" applyAlignment="1">
      <alignment horizontal="center" vertical="center"/>
    </xf>
    <xf numFmtId="0" fontId="4" fillId="2" borderId="13" xfId="0" quotePrefix="1" applyFont="1" applyFill="1" applyBorder="1" applyAlignment="1">
      <alignment horizontal="center" vertical="center"/>
    </xf>
    <xf numFmtId="0" fontId="4" fillId="2" borderId="15" xfId="0" quotePrefix="1" applyFont="1" applyFill="1" applyBorder="1" applyAlignment="1">
      <alignment horizontal="center" vertical="center"/>
    </xf>
    <xf numFmtId="0" fontId="12" fillId="0" borderId="46" xfId="0" applyFont="1" applyBorder="1" applyAlignment="1">
      <alignment horizontal="center" vertical="center"/>
    </xf>
    <xf numFmtId="0" fontId="12" fillId="0" borderId="19" xfId="0" applyFont="1" applyBorder="1" applyAlignment="1">
      <alignment horizontal="center" vertical="center"/>
    </xf>
    <xf numFmtId="0" fontId="12" fillId="12" borderId="1" xfId="0" applyFont="1" applyFill="1" applyBorder="1" applyAlignment="1">
      <alignment horizontal="left" vertical="top" wrapText="1"/>
    </xf>
    <xf numFmtId="0" fontId="12" fillId="12" borderId="0" xfId="0" applyFont="1" applyFill="1" applyAlignment="1">
      <alignment horizontal="left" vertical="top" wrapText="1"/>
    </xf>
    <xf numFmtId="0" fontId="12" fillId="12" borderId="2" xfId="0" applyFont="1" applyFill="1" applyBorder="1" applyAlignment="1">
      <alignment horizontal="left" vertical="top" wrapText="1"/>
    </xf>
    <xf numFmtId="0" fontId="12" fillId="9" borderId="1" xfId="0" applyFont="1" applyFill="1" applyBorder="1" applyAlignment="1">
      <alignment horizontal="left" vertical="top" wrapText="1"/>
    </xf>
    <xf numFmtId="0" fontId="12" fillId="9" borderId="0" xfId="0" applyFont="1" applyFill="1" applyAlignment="1">
      <alignment horizontal="left" vertical="top" wrapText="1"/>
    </xf>
    <xf numFmtId="0" fontId="12" fillId="9" borderId="2" xfId="0" applyFont="1" applyFill="1" applyBorder="1" applyAlignment="1">
      <alignment horizontal="left" vertical="top" wrapText="1"/>
    </xf>
    <xf numFmtId="0" fontId="12" fillId="0" borderId="17" xfId="0" applyFont="1" applyBorder="1" applyAlignment="1">
      <alignment horizontal="center"/>
    </xf>
    <xf numFmtId="0" fontId="12" fillId="0" borderId="18" xfId="0" applyFont="1" applyBorder="1" applyAlignment="1">
      <alignment horizontal="center"/>
    </xf>
    <xf numFmtId="0" fontId="4" fillId="0" borderId="1" xfId="0" applyFont="1" applyBorder="1" applyAlignment="1">
      <alignment horizontal="right"/>
    </xf>
    <xf numFmtId="0" fontId="4" fillId="0" borderId="0" xfId="0" applyFont="1" applyAlignment="1">
      <alignment horizontal="right"/>
    </xf>
    <xf numFmtId="0" fontId="12" fillId="11" borderId="50" xfId="0" applyFont="1" applyFill="1" applyBorder="1" applyAlignment="1">
      <alignment horizontal="left"/>
    </xf>
    <xf numFmtId="0" fontId="12" fillId="11" borderId="48" xfId="0" applyFont="1" applyFill="1" applyBorder="1" applyAlignment="1">
      <alignment horizontal="left"/>
    </xf>
    <xf numFmtId="0" fontId="12" fillId="11" borderId="51" xfId="0" applyFont="1" applyFill="1" applyBorder="1" applyAlignment="1">
      <alignment horizontal="left"/>
    </xf>
    <xf numFmtId="0" fontId="4" fillId="11" borderId="0" xfId="0" applyFont="1" applyFill="1" applyAlignment="1">
      <alignment vertical="top" wrapText="1"/>
    </xf>
    <xf numFmtId="0" fontId="4" fillId="11" borderId="0" xfId="0" applyFont="1" applyFill="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2" xfId="0" applyFont="1" applyBorder="1" applyAlignment="1">
      <alignment horizontal="left" vertical="top" wrapText="1"/>
    </xf>
    <xf numFmtId="173" fontId="4" fillId="10" borderId="0" xfId="1" applyNumberFormat="1" applyFont="1" applyFill="1"/>
    <xf numFmtId="173" fontId="4" fillId="10" borderId="2" xfId="1" applyNumberFormat="1" applyFont="1" applyFill="1" applyBorder="1"/>
    <xf numFmtId="173" fontId="4" fillId="10" borderId="14" xfId="1" applyNumberFormat="1" applyFont="1" applyFill="1" applyBorder="1"/>
    <xf numFmtId="173" fontId="4" fillId="10" borderId="49" xfId="1" applyNumberFormat="1" applyFont="1" applyFill="1" applyBorder="1"/>
    <xf numFmtId="9" fontId="12" fillId="2" borderId="14" xfId="3" applyFont="1" applyFill="1" applyBorder="1" applyAlignment="1">
      <alignment horizontal="center"/>
    </xf>
    <xf numFmtId="174" fontId="12" fillId="2" borderId="14" xfId="3" applyNumberFormat="1" applyFont="1" applyFill="1" applyBorder="1" applyAlignment="1">
      <alignment horizontal="center"/>
    </xf>
    <xf numFmtId="173" fontId="4" fillId="2" borderId="0" xfId="2" applyNumberFormat="1" applyFont="1" applyFill="1"/>
    <xf numFmtId="173" fontId="4" fillId="0" borderId="2" xfId="2" applyNumberFormat="1" applyFont="1" applyBorder="1"/>
    <xf numFmtId="173" fontId="4" fillId="0" borderId="0" xfId="2" applyNumberFormat="1" applyFont="1"/>
  </cellXfs>
  <cellStyles count="4">
    <cellStyle name="Prozent" xfId="3" builtinId="5"/>
    <cellStyle name="Standard" xfId="0" builtinId="0"/>
    <cellStyle name="Standard 2" xfId="1" xr:uid="{00000000-0005-0000-0000-000001000000}"/>
    <cellStyle name="Währung" xfId="2" builtinId="4"/>
  </cellStyles>
  <dxfs count="0"/>
  <tableStyles count="0" defaultTableStyle="TableStyleMedium9"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209550</xdr:colOff>
          <xdr:row>6</xdr:row>
          <xdr:rowOff>133350</xdr:rowOff>
        </xdr:from>
        <xdr:to>
          <xdr:col>4</xdr:col>
          <xdr:colOff>895350</xdr:colOff>
          <xdr:row>9</xdr:row>
          <xdr:rowOff>133350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7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U28"/>
  <sheetViews>
    <sheetView zoomScale="80" zoomScaleNormal="80" workbookViewId="0">
      <selection activeCell="B1" sqref="B1"/>
    </sheetView>
  </sheetViews>
  <sheetFormatPr baseColWidth="10" defaultRowHeight="12.5" x14ac:dyDescent="0.25"/>
  <cols>
    <col min="2" max="2" width="5.54296875" customWidth="1"/>
  </cols>
  <sheetData>
    <row r="2" spans="2:21" ht="18" x14ac:dyDescent="0.25">
      <c r="B2" s="20" t="s">
        <v>121</v>
      </c>
      <c r="C2" s="21"/>
      <c r="D2" s="21"/>
      <c r="E2" s="21"/>
      <c r="F2" s="21"/>
      <c r="G2" s="21"/>
      <c r="H2" s="21"/>
      <c r="I2" s="21"/>
      <c r="J2" s="22"/>
    </row>
    <row r="3" spans="2:21" ht="20" x14ac:dyDescent="0.25">
      <c r="B3" s="7"/>
      <c r="C3" s="8"/>
      <c r="D3" s="8"/>
      <c r="E3" s="8"/>
      <c r="F3" s="8"/>
      <c r="G3" s="8"/>
      <c r="H3" s="8"/>
      <c r="I3" s="8"/>
      <c r="J3" s="9"/>
      <c r="L3" s="281" t="s">
        <v>214</v>
      </c>
      <c r="M3" s="281"/>
      <c r="N3" s="281"/>
      <c r="O3" s="281"/>
      <c r="P3" s="281"/>
      <c r="Q3" s="281"/>
      <c r="R3" s="281"/>
      <c r="S3" s="281"/>
      <c r="T3" s="281"/>
      <c r="U3" s="281"/>
    </row>
    <row r="4" spans="2:21" ht="15.5" x14ac:dyDescent="0.35">
      <c r="B4" s="10" t="s">
        <v>82</v>
      </c>
      <c r="C4" s="11"/>
      <c r="D4" s="11"/>
      <c r="E4" s="11"/>
      <c r="F4" s="11"/>
      <c r="G4" s="11"/>
      <c r="H4" s="11"/>
      <c r="I4" s="8"/>
      <c r="J4" s="9"/>
      <c r="L4" s="281"/>
      <c r="M4" s="281"/>
      <c r="N4" s="281"/>
      <c r="O4" s="281"/>
      <c r="P4" s="281"/>
      <c r="Q4" s="281"/>
      <c r="R4" s="281"/>
      <c r="S4" s="281"/>
      <c r="T4" s="281"/>
      <c r="U4" s="281"/>
    </row>
    <row r="5" spans="2:21" ht="15.5" x14ac:dyDescent="0.35">
      <c r="B5" s="12"/>
      <c r="C5" s="11"/>
      <c r="D5" s="11"/>
      <c r="E5" s="11"/>
      <c r="F5" s="11"/>
      <c r="G5" s="11"/>
      <c r="H5" s="11"/>
      <c r="I5" s="8"/>
      <c r="J5" s="9"/>
      <c r="L5" s="281"/>
      <c r="M5" s="281"/>
      <c r="N5" s="281"/>
      <c r="O5" s="281"/>
      <c r="P5" s="281"/>
      <c r="Q5" s="281"/>
      <c r="R5" s="281"/>
      <c r="S5" s="281"/>
      <c r="T5" s="281"/>
      <c r="U5" s="281"/>
    </row>
    <row r="6" spans="2:21" ht="15.5" x14ac:dyDescent="0.35">
      <c r="B6" s="10" t="s">
        <v>118</v>
      </c>
      <c r="C6" s="11"/>
      <c r="D6" s="11"/>
      <c r="E6" s="11"/>
      <c r="F6" s="11"/>
      <c r="G6" s="11"/>
      <c r="H6" s="11"/>
      <c r="I6" s="8"/>
      <c r="J6" s="9"/>
      <c r="L6" s="281"/>
      <c r="M6" s="281"/>
      <c r="N6" s="281"/>
      <c r="O6" s="281"/>
      <c r="P6" s="281"/>
      <c r="Q6" s="281"/>
      <c r="R6" s="281"/>
      <c r="S6" s="281"/>
      <c r="T6" s="281"/>
      <c r="U6" s="281"/>
    </row>
    <row r="7" spans="2:21" ht="15.5" x14ac:dyDescent="0.35">
      <c r="B7" s="12"/>
      <c r="C7" s="11" t="s">
        <v>116</v>
      </c>
      <c r="D7" s="11"/>
      <c r="E7" s="11"/>
      <c r="F7" s="11"/>
      <c r="G7" s="11"/>
      <c r="H7" s="11"/>
      <c r="I7" s="8"/>
      <c r="J7" s="9"/>
      <c r="L7" s="281"/>
      <c r="M7" s="281"/>
      <c r="N7" s="281"/>
      <c r="O7" s="281"/>
      <c r="P7" s="281"/>
      <c r="Q7" s="281"/>
      <c r="R7" s="281"/>
      <c r="S7" s="281"/>
      <c r="T7" s="281"/>
      <c r="U7" s="281"/>
    </row>
    <row r="8" spans="2:21" ht="15.5" x14ac:dyDescent="0.35">
      <c r="B8" s="12"/>
      <c r="C8" s="11" t="s">
        <v>117</v>
      </c>
      <c r="D8" s="11"/>
      <c r="E8" s="11"/>
      <c r="F8" s="11"/>
      <c r="G8" s="11"/>
      <c r="H8" s="11"/>
      <c r="I8" s="8"/>
      <c r="J8" s="9"/>
      <c r="L8" s="281"/>
      <c r="M8" s="281"/>
      <c r="N8" s="281"/>
      <c r="O8" s="281"/>
      <c r="P8" s="281"/>
      <c r="Q8" s="281"/>
      <c r="R8" s="281"/>
      <c r="S8" s="281"/>
      <c r="T8" s="281"/>
      <c r="U8" s="281"/>
    </row>
    <row r="9" spans="2:21" ht="15.5" x14ac:dyDescent="0.35">
      <c r="B9" s="12"/>
      <c r="C9" s="11"/>
      <c r="D9" s="11"/>
      <c r="E9" s="11"/>
      <c r="F9" s="11"/>
      <c r="G9" s="11"/>
      <c r="H9" s="11"/>
      <c r="I9" s="8"/>
      <c r="J9" s="9"/>
      <c r="L9" s="281"/>
      <c r="M9" s="281"/>
      <c r="N9" s="281"/>
      <c r="O9" s="281"/>
      <c r="P9" s="281"/>
      <c r="Q9" s="281"/>
      <c r="R9" s="281"/>
      <c r="S9" s="281"/>
      <c r="T9" s="281"/>
      <c r="U9" s="281"/>
    </row>
    <row r="10" spans="2:21" ht="15.5" x14ac:dyDescent="0.35">
      <c r="B10" s="13" t="s">
        <v>62</v>
      </c>
      <c r="C10" s="11"/>
      <c r="D10" s="11"/>
      <c r="E10" s="11"/>
      <c r="F10" s="11"/>
      <c r="G10" s="11"/>
      <c r="H10" s="11"/>
      <c r="I10" s="8"/>
      <c r="J10" s="9"/>
      <c r="L10" s="281"/>
      <c r="M10" s="281"/>
      <c r="N10" s="281"/>
      <c r="O10" s="281"/>
      <c r="P10" s="281"/>
      <c r="Q10" s="281"/>
      <c r="R10" s="281"/>
      <c r="S10" s="281"/>
      <c r="T10" s="281"/>
      <c r="U10" s="281"/>
    </row>
    <row r="11" spans="2:21" ht="15.5" x14ac:dyDescent="0.35">
      <c r="B11" s="12"/>
      <c r="C11" s="11"/>
      <c r="D11" s="11"/>
      <c r="E11" s="11"/>
      <c r="F11" s="11"/>
      <c r="G11" s="11"/>
      <c r="H11" s="11"/>
      <c r="I11" s="8"/>
      <c r="J11" s="9"/>
      <c r="L11" s="281"/>
      <c r="M11" s="281"/>
      <c r="N11" s="281"/>
      <c r="O11" s="281"/>
      <c r="P11" s="281"/>
      <c r="Q11" s="281"/>
      <c r="R11" s="281"/>
      <c r="S11" s="281"/>
      <c r="T11" s="281"/>
      <c r="U11" s="281"/>
    </row>
    <row r="12" spans="2:21" ht="15.5" x14ac:dyDescent="0.35">
      <c r="B12" s="13" t="s">
        <v>119</v>
      </c>
      <c r="C12" s="11"/>
      <c r="D12" s="11"/>
      <c r="E12" s="11"/>
      <c r="F12" s="11"/>
      <c r="G12" s="11"/>
      <c r="H12" s="11"/>
      <c r="I12" s="8"/>
      <c r="J12" s="9"/>
      <c r="L12" s="281"/>
      <c r="M12" s="281"/>
      <c r="N12" s="281"/>
      <c r="O12" s="281"/>
      <c r="P12" s="281"/>
      <c r="Q12" s="281"/>
      <c r="R12" s="281"/>
      <c r="S12" s="281"/>
      <c r="T12" s="281"/>
      <c r="U12" s="281"/>
    </row>
    <row r="13" spans="2:21" ht="15.5" x14ac:dyDescent="0.35">
      <c r="B13" s="12"/>
      <c r="C13" s="11"/>
      <c r="D13" s="11"/>
      <c r="E13" s="11"/>
      <c r="F13" s="11"/>
      <c r="G13" s="11"/>
      <c r="H13" s="11"/>
      <c r="I13" s="8"/>
      <c r="J13" s="9"/>
      <c r="L13" s="281"/>
      <c r="M13" s="281"/>
      <c r="N13" s="281"/>
      <c r="O13" s="281"/>
      <c r="P13" s="281"/>
      <c r="Q13" s="281"/>
      <c r="R13" s="281"/>
      <c r="S13" s="281"/>
      <c r="T13" s="281"/>
      <c r="U13" s="281"/>
    </row>
    <row r="14" spans="2:21" ht="15.5" x14ac:dyDescent="0.35">
      <c r="B14" s="13" t="s">
        <v>120</v>
      </c>
      <c r="C14" s="11"/>
      <c r="D14" s="11"/>
      <c r="E14" s="11"/>
      <c r="F14" s="11"/>
      <c r="G14" s="11"/>
      <c r="H14" s="11"/>
      <c r="I14" s="8"/>
      <c r="J14" s="9"/>
      <c r="L14" s="281"/>
      <c r="M14" s="281"/>
      <c r="N14" s="281"/>
      <c r="O14" s="281"/>
      <c r="P14" s="281"/>
      <c r="Q14" s="281"/>
      <c r="R14" s="281"/>
      <c r="S14" s="281"/>
      <c r="T14" s="281"/>
      <c r="U14" s="281"/>
    </row>
    <row r="15" spans="2:21" ht="15.5" x14ac:dyDescent="0.35">
      <c r="B15" s="12"/>
      <c r="C15" s="11"/>
      <c r="D15" s="11"/>
      <c r="E15" s="11"/>
      <c r="F15" s="11"/>
      <c r="G15" s="11"/>
      <c r="H15" s="11"/>
      <c r="I15" s="8"/>
      <c r="J15" s="9"/>
      <c r="L15" s="281"/>
      <c r="M15" s="281"/>
      <c r="N15" s="281"/>
      <c r="O15" s="281"/>
      <c r="P15" s="281"/>
      <c r="Q15" s="281"/>
      <c r="R15" s="281"/>
      <c r="S15" s="281"/>
      <c r="T15" s="281"/>
      <c r="U15" s="281"/>
    </row>
    <row r="16" spans="2:21" ht="15.5" x14ac:dyDescent="0.35">
      <c r="B16" s="13" t="s">
        <v>81</v>
      </c>
      <c r="C16" s="11"/>
      <c r="D16" s="11"/>
      <c r="E16" s="11"/>
      <c r="F16" s="11"/>
      <c r="G16" s="11"/>
      <c r="H16" s="11"/>
      <c r="I16" s="8"/>
      <c r="J16" s="9"/>
      <c r="L16" s="281"/>
      <c r="M16" s="281"/>
      <c r="N16" s="281"/>
      <c r="O16" s="281"/>
      <c r="P16" s="281"/>
      <c r="Q16" s="281"/>
      <c r="R16" s="281"/>
      <c r="S16" s="281"/>
      <c r="T16" s="281"/>
      <c r="U16" s="281"/>
    </row>
    <row r="17" spans="2:21" ht="15.5" x14ac:dyDescent="0.35">
      <c r="B17" s="12"/>
      <c r="C17" s="11"/>
      <c r="D17" s="11"/>
      <c r="E17" s="11"/>
      <c r="F17" s="11"/>
      <c r="G17" s="11"/>
      <c r="H17" s="11"/>
      <c r="I17" s="8"/>
      <c r="J17" s="9"/>
      <c r="L17" s="281"/>
      <c r="M17" s="281"/>
      <c r="N17" s="281"/>
      <c r="O17" s="281"/>
      <c r="P17" s="281"/>
      <c r="Q17" s="281"/>
      <c r="R17" s="281"/>
      <c r="S17" s="281"/>
      <c r="T17" s="281"/>
      <c r="U17" s="281"/>
    </row>
    <row r="18" spans="2:21" x14ac:dyDescent="0.25">
      <c r="B18" s="14"/>
      <c r="C18" s="8"/>
      <c r="D18" s="8"/>
      <c r="E18" s="8"/>
      <c r="F18" s="8"/>
      <c r="G18" s="8"/>
      <c r="H18" s="8"/>
      <c r="I18" s="8"/>
      <c r="J18" s="9"/>
      <c r="L18" s="281"/>
      <c r="M18" s="281"/>
      <c r="N18" s="281"/>
      <c r="O18" s="281"/>
      <c r="P18" s="281"/>
      <c r="Q18" s="281"/>
      <c r="R18" s="281"/>
      <c r="S18" s="281"/>
      <c r="T18" s="281"/>
      <c r="U18" s="281"/>
    </row>
    <row r="19" spans="2:21" x14ac:dyDescent="0.25">
      <c r="B19" s="14"/>
      <c r="C19" s="8"/>
      <c r="D19" s="8"/>
      <c r="E19" s="8"/>
      <c r="F19" s="8"/>
      <c r="G19" s="8"/>
      <c r="H19" s="8"/>
      <c r="I19" s="8"/>
      <c r="J19" s="9"/>
    </row>
    <row r="20" spans="2:21" ht="18" x14ac:dyDescent="0.25">
      <c r="B20" s="23" t="s">
        <v>122</v>
      </c>
      <c r="C20" s="24"/>
      <c r="D20" s="24"/>
      <c r="E20" s="24"/>
      <c r="F20" s="24"/>
      <c r="G20" s="24"/>
      <c r="H20" s="24"/>
      <c r="I20" s="24"/>
      <c r="J20" s="25"/>
    </row>
    <row r="21" spans="2:21" ht="15.5" x14ac:dyDescent="0.25">
      <c r="B21" s="14"/>
      <c r="C21" s="15" t="s">
        <v>123</v>
      </c>
      <c r="D21" s="8"/>
      <c r="E21" s="8"/>
      <c r="F21" s="8"/>
      <c r="G21" s="8"/>
      <c r="H21" s="8"/>
      <c r="I21" s="8"/>
      <c r="J21" s="9"/>
    </row>
    <row r="22" spans="2:21" ht="15.5" x14ac:dyDescent="0.25">
      <c r="B22" s="14"/>
      <c r="C22" s="15" t="s">
        <v>204</v>
      </c>
      <c r="D22" s="8"/>
      <c r="E22" s="8"/>
      <c r="F22" s="8"/>
      <c r="G22" s="8"/>
      <c r="H22" s="8"/>
      <c r="I22" s="8"/>
      <c r="J22" s="9"/>
    </row>
    <row r="23" spans="2:21" ht="15.5" x14ac:dyDescent="0.25">
      <c r="B23" s="14"/>
      <c r="C23" s="15" t="s">
        <v>124</v>
      </c>
      <c r="D23" s="8"/>
      <c r="E23" s="8"/>
      <c r="F23" s="8"/>
      <c r="G23" s="8"/>
      <c r="H23" s="8"/>
      <c r="I23" s="8"/>
      <c r="J23" s="9"/>
    </row>
    <row r="24" spans="2:21" ht="15.5" x14ac:dyDescent="0.25">
      <c r="B24" s="14"/>
      <c r="C24" s="15" t="s">
        <v>62</v>
      </c>
      <c r="D24" s="8"/>
      <c r="E24" s="8"/>
      <c r="F24" s="8"/>
      <c r="G24" s="8"/>
      <c r="H24" s="8"/>
      <c r="I24" s="8"/>
      <c r="J24" s="9"/>
    </row>
    <row r="25" spans="2:21" ht="15.5" x14ac:dyDescent="0.25">
      <c r="B25" s="14"/>
      <c r="C25" s="15" t="s">
        <v>125</v>
      </c>
      <c r="D25" s="8"/>
      <c r="E25" s="8"/>
      <c r="F25" s="8"/>
      <c r="G25" s="8"/>
      <c r="H25" s="8"/>
      <c r="I25" s="8"/>
      <c r="J25" s="9"/>
    </row>
    <row r="26" spans="2:21" ht="15.5" x14ac:dyDescent="0.25">
      <c r="B26" s="14"/>
      <c r="C26" s="15" t="s">
        <v>203</v>
      </c>
      <c r="D26" s="8"/>
      <c r="E26" s="8"/>
      <c r="F26" s="8"/>
      <c r="G26" s="8"/>
      <c r="H26" s="8"/>
      <c r="I26" s="8"/>
      <c r="J26" s="9"/>
    </row>
    <row r="27" spans="2:21" ht="15.5" x14ac:dyDescent="0.25">
      <c r="B27" s="14"/>
      <c r="C27" s="15" t="s">
        <v>126</v>
      </c>
      <c r="D27" s="8"/>
      <c r="E27" s="8"/>
      <c r="F27" s="8"/>
      <c r="G27" s="8"/>
      <c r="H27" s="8"/>
      <c r="I27" s="8"/>
      <c r="J27" s="9"/>
    </row>
    <row r="28" spans="2:21" ht="15.5" x14ac:dyDescent="0.25">
      <c r="B28" s="16"/>
      <c r="C28" s="17" t="s">
        <v>127</v>
      </c>
      <c r="D28" s="18"/>
      <c r="E28" s="18"/>
      <c r="F28" s="18"/>
      <c r="G28" s="18"/>
      <c r="H28" s="18"/>
      <c r="I28" s="18"/>
      <c r="J28" s="19"/>
    </row>
  </sheetData>
  <mergeCells count="1">
    <mergeCell ref="L3:U18"/>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I45"/>
  <sheetViews>
    <sheetView zoomScale="80" zoomScaleNormal="80" workbookViewId="0">
      <selection activeCell="D26" sqref="D26"/>
    </sheetView>
  </sheetViews>
  <sheetFormatPr baseColWidth="10" defaultColWidth="11.54296875" defaultRowHeight="15.5" x14ac:dyDescent="0.35"/>
  <cols>
    <col min="1" max="1" width="0.7265625" style="1" customWidth="1"/>
    <col min="2" max="2" width="14.54296875" style="1" customWidth="1"/>
    <col min="3" max="3" width="21.81640625" style="1" customWidth="1"/>
    <col min="4" max="4" width="30.26953125" style="1" customWidth="1"/>
    <col min="5" max="7" width="11.54296875" style="1"/>
    <col min="8" max="8" width="8.453125" style="1" customWidth="1"/>
    <col min="9" max="16384" width="11.54296875" style="1"/>
  </cols>
  <sheetData>
    <row r="2" spans="2:9" ht="20" x14ac:dyDescent="0.4">
      <c r="B2" s="26" t="s">
        <v>82</v>
      </c>
      <c r="C2" s="27"/>
      <c r="D2" s="27"/>
    </row>
    <row r="4" spans="2:9" ht="16" thickBot="1" x14ac:dyDescent="0.4"/>
    <row r="5" spans="2:9" x14ac:dyDescent="0.35">
      <c r="B5" s="49"/>
      <c r="C5" s="50"/>
      <c r="D5" s="50"/>
      <c r="E5" s="51"/>
      <c r="F5" s="51"/>
      <c r="G5" s="51"/>
      <c r="H5" s="51"/>
      <c r="I5" s="52"/>
    </row>
    <row r="6" spans="2:9" x14ac:dyDescent="0.35">
      <c r="B6" s="70" t="s">
        <v>15</v>
      </c>
      <c r="C6" s="27"/>
      <c r="D6" s="27"/>
      <c r="E6" s="27"/>
      <c r="F6" s="27"/>
      <c r="G6" s="27"/>
      <c r="H6" s="27"/>
      <c r="I6" s="71"/>
    </row>
    <row r="7" spans="2:9" x14ac:dyDescent="0.35">
      <c r="B7" s="54"/>
      <c r="C7" s="11"/>
      <c r="D7" s="11"/>
      <c r="E7" s="11"/>
      <c r="F7" s="11"/>
      <c r="G7" s="11"/>
      <c r="H7" s="11"/>
      <c r="I7" s="53"/>
    </row>
    <row r="8" spans="2:9" x14ac:dyDescent="0.35">
      <c r="B8" s="76" t="s">
        <v>128</v>
      </c>
      <c r="C8" s="77"/>
      <c r="D8" s="77"/>
      <c r="E8" s="77"/>
      <c r="F8" s="77"/>
      <c r="G8" s="77"/>
      <c r="H8" s="77"/>
      <c r="I8" s="78"/>
    </row>
    <row r="9" spans="2:9" x14ac:dyDescent="0.35">
      <c r="B9" s="54"/>
      <c r="C9" s="11"/>
      <c r="D9" s="11"/>
      <c r="E9" s="11"/>
      <c r="F9" s="11"/>
      <c r="G9" s="11"/>
      <c r="H9" s="11"/>
      <c r="I9" s="53"/>
    </row>
    <row r="10" spans="2:9" x14ac:dyDescent="0.35">
      <c r="B10" s="55" t="s">
        <v>20</v>
      </c>
      <c r="C10" s="56" t="s">
        <v>16</v>
      </c>
      <c r="D10" s="57" t="s">
        <v>17</v>
      </c>
      <c r="E10" s="11"/>
      <c r="F10" s="11"/>
      <c r="G10" s="11"/>
      <c r="H10" s="11"/>
      <c r="I10" s="53"/>
    </row>
    <row r="11" spans="2:9" x14ac:dyDescent="0.35">
      <c r="B11" s="54">
        <v>1</v>
      </c>
      <c r="C11" s="11">
        <v>8</v>
      </c>
      <c r="D11" s="58">
        <f>C11*100/24</f>
        <v>33.333333333333336</v>
      </c>
      <c r="E11" s="11"/>
      <c r="F11" s="11"/>
      <c r="G11" s="11"/>
      <c r="H11" s="11"/>
      <c r="I11" s="53"/>
    </row>
    <row r="12" spans="2:9" x14ac:dyDescent="0.35">
      <c r="B12" s="54">
        <v>2</v>
      </c>
      <c r="C12" s="11">
        <v>10</v>
      </c>
      <c r="D12" s="58">
        <f t="shared" ref="D11:D19" si="0">C12*100/24</f>
        <v>41.666666666666664</v>
      </c>
      <c r="E12" s="11"/>
      <c r="F12" s="11"/>
      <c r="G12" s="11"/>
      <c r="H12" s="11"/>
      <c r="I12" s="53"/>
    </row>
    <row r="13" spans="2:9" x14ac:dyDescent="0.35">
      <c r="B13" s="54">
        <v>3</v>
      </c>
      <c r="C13" s="11">
        <v>12</v>
      </c>
      <c r="D13" s="58">
        <f t="shared" si="0"/>
        <v>50</v>
      </c>
      <c r="E13" s="11"/>
      <c r="F13" s="11"/>
      <c r="G13" s="11"/>
      <c r="H13" s="11"/>
      <c r="I13" s="53"/>
    </row>
    <row r="14" spans="2:9" x14ac:dyDescent="0.35">
      <c r="B14" s="54">
        <v>4</v>
      </c>
      <c r="C14" s="11">
        <v>8</v>
      </c>
      <c r="D14" s="58">
        <f t="shared" si="0"/>
        <v>33.333333333333336</v>
      </c>
      <c r="E14" s="11"/>
      <c r="F14" s="11"/>
      <c r="G14" s="11"/>
      <c r="H14" s="11"/>
      <c r="I14" s="53"/>
    </row>
    <row r="15" spans="2:9" x14ac:dyDescent="0.35">
      <c r="B15" s="54">
        <v>5</v>
      </c>
      <c r="C15" s="11">
        <v>6</v>
      </c>
      <c r="D15" s="58">
        <f t="shared" si="0"/>
        <v>25</v>
      </c>
      <c r="E15" s="11"/>
      <c r="F15" s="11"/>
      <c r="G15" s="11"/>
      <c r="H15" s="11"/>
      <c r="I15" s="53"/>
    </row>
    <row r="16" spans="2:9" x14ac:dyDescent="0.35">
      <c r="B16" s="54">
        <v>6</v>
      </c>
      <c r="C16" s="11">
        <v>8</v>
      </c>
      <c r="D16" s="58">
        <f t="shared" si="0"/>
        <v>33.333333333333336</v>
      </c>
      <c r="E16" s="11"/>
      <c r="F16" s="11"/>
      <c r="G16" s="11"/>
      <c r="H16" s="11"/>
      <c r="I16" s="53"/>
    </row>
    <row r="17" spans="2:9" x14ac:dyDescent="0.35">
      <c r="B17" s="54">
        <v>7</v>
      </c>
      <c r="C17" s="11">
        <v>4</v>
      </c>
      <c r="D17" s="58">
        <f t="shared" si="0"/>
        <v>16.666666666666668</v>
      </c>
      <c r="E17" s="11"/>
      <c r="F17" s="11"/>
      <c r="G17" s="11"/>
      <c r="H17" s="11"/>
      <c r="I17" s="53"/>
    </row>
    <row r="18" spans="2:9" x14ac:dyDescent="0.35">
      <c r="B18" s="54">
        <v>8</v>
      </c>
      <c r="C18" s="11">
        <v>9</v>
      </c>
      <c r="D18" s="58">
        <f t="shared" si="0"/>
        <v>37.5</v>
      </c>
      <c r="E18" s="11"/>
      <c r="F18" s="11"/>
      <c r="G18" s="11"/>
      <c r="H18" s="11"/>
      <c r="I18" s="53"/>
    </row>
    <row r="19" spans="2:9" x14ac:dyDescent="0.35">
      <c r="B19" s="59">
        <v>9</v>
      </c>
      <c r="C19" s="60">
        <v>2</v>
      </c>
      <c r="D19" s="61">
        <f t="shared" si="0"/>
        <v>8.3333333333333339</v>
      </c>
      <c r="E19" s="11"/>
      <c r="F19" s="11"/>
      <c r="G19" s="11"/>
      <c r="H19" s="11"/>
      <c r="I19" s="53"/>
    </row>
    <row r="20" spans="2:9" x14ac:dyDescent="0.35">
      <c r="B20" s="54"/>
      <c r="C20" s="11"/>
      <c r="D20" s="11"/>
      <c r="E20" s="11"/>
      <c r="F20" s="11"/>
      <c r="G20" s="11"/>
      <c r="H20" s="11"/>
      <c r="I20" s="53"/>
    </row>
    <row r="21" spans="2:9" x14ac:dyDescent="0.35">
      <c r="B21" s="54"/>
      <c r="C21" s="11"/>
      <c r="D21" s="11"/>
      <c r="E21" s="11"/>
      <c r="F21" s="11"/>
      <c r="G21" s="11"/>
      <c r="H21" s="11"/>
      <c r="I21" s="53"/>
    </row>
    <row r="22" spans="2:9" x14ac:dyDescent="0.35">
      <c r="B22" s="79" t="s">
        <v>129</v>
      </c>
      <c r="C22" s="80"/>
      <c r="D22" s="80"/>
      <c r="E22" s="80"/>
      <c r="F22" s="80"/>
      <c r="G22" s="80"/>
      <c r="H22" s="80"/>
      <c r="I22" s="81"/>
    </row>
    <row r="23" spans="2:9" x14ac:dyDescent="0.35">
      <c r="B23" s="54"/>
      <c r="C23" s="11"/>
      <c r="D23" s="11"/>
      <c r="E23" s="11"/>
      <c r="F23" s="11"/>
      <c r="G23" s="11"/>
      <c r="H23" s="11"/>
      <c r="I23" s="53"/>
    </row>
    <row r="24" spans="2:9" x14ac:dyDescent="0.35">
      <c r="B24" s="54"/>
      <c r="C24" s="62" t="s">
        <v>21</v>
      </c>
      <c r="D24" s="62" t="s">
        <v>22</v>
      </c>
      <c r="E24" s="11"/>
      <c r="F24" s="11"/>
      <c r="G24" s="11"/>
      <c r="H24" s="11"/>
      <c r="I24" s="53"/>
    </row>
    <row r="25" spans="2:9" x14ac:dyDescent="0.35">
      <c r="B25" s="54" t="s">
        <v>18</v>
      </c>
      <c r="C25" s="30">
        <v>1</v>
      </c>
      <c r="D25" s="30">
        <f>C25*100/24</f>
        <v>4.166666666666667</v>
      </c>
      <c r="E25" s="11"/>
      <c r="F25" s="11"/>
      <c r="G25" s="11"/>
      <c r="H25" s="11"/>
      <c r="I25" s="53"/>
    </row>
    <row r="26" spans="2:9" x14ac:dyDescent="0.35">
      <c r="B26" s="54"/>
      <c r="C26" s="31">
        <v>2</v>
      </c>
      <c r="D26" s="31">
        <f>C26*100/24</f>
        <v>8.3333333333333339</v>
      </c>
      <c r="E26" s="11"/>
      <c r="F26" s="11"/>
      <c r="G26" s="11"/>
      <c r="H26" s="11"/>
      <c r="I26" s="53"/>
    </row>
    <row r="27" spans="2:9" x14ac:dyDescent="0.35">
      <c r="B27" s="54"/>
      <c r="C27" s="31">
        <v>3</v>
      </c>
      <c r="D27" s="31">
        <f>C27*100/24</f>
        <v>12.5</v>
      </c>
      <c r="E27" s="11"/>
      <c r="F27" s="11"/>
      <c r="G27" s="11"/>
      <c r="H27" s="11"/>
      <c r="I27" s="53"/>
    </row>
    <row r="28" spans="2:9" x14ac:dyDescent="0.35">
      <c r="B28" s="54"/>
      <c r="C28" s="31">
        <v>4</v>
      </c>
      <c r="D28" s="31">
        <f>C28*100/24</f>
        <v>16.666666666666668</v>
      </c>
      <c r="E28" s="11"/>
      <c r="F28" s="11"/>
      <c r="G28" s="11"/>
      <c r="H28" s="11"/>
      <c r="I28" s="53"/>
    </row>
    <row r="29" spans="2:9" x14ac:dyDescent="0.35">
      <c r="B29" s="54"/>
      <c r="C29" s="31">
        <v>5</v>
      </c>
      <c r="D29" s="31">
        <f>C29*100/24</f>
        <v>20.833333333333332</v>
      </c>
      <c r="E29" s="11"/>
      <c r="F29" s="11"/>
      <c r="G29" s="11"/>
      <c r="H29" s="11"/>
      <c r="I29" s="53"/>
    </row>
    <row r="30" spans="2:9" x14ac:dyDescent="0.35">
      <c r="B30" s="54"/>
      <c r="C30" s="31">
        <v>6</v>
      </c>
      <c r="D30" s="31">
        <f>C30*100/24</f>
        <v>25</v>
      </c>
      <c r="E30" s="11"/>
      <c r="F30" s="11"/>
      <c r="G30" s="11"/>
      <c r="H30" s="11"/>
      <c r="I30" s="53"/>
    </row>
    <row r="31" spans="2:9" x14ac:dyDescent="0.35">
      <c r="B31" s="54"/>
      <c r="C31" s="31">
        <v>7</v>
      </c>
      <c r="D31" s="31">
        <f>C31*100/24</f>
        <v>29.166666666666668</v>
      </c>
      <c r="E31" s="11"/>
      <c r="F31" s="11"/>
      <c r="G31" s="11"/>
      <c r="H31" s="11"/>
      <c r="I31" s="53"/>
    </row>
    <row r="32" spans="2:9" x14ac:dyDescent="0.35">
      <c r="B32" s="54"/>
      <c r="C32" s="31">
        <v>8</v>
      </c>
      <c r="D32" s="31">
        <f>C32*100/24</f>
        <v>33.333333333333336</v>
      </c>
      <c r="E32" s="11"/>
      <c r="F32" s="11"/>
      <c r="G32" s="11"/>
      <c r="H32" s="11"/>
      <c r="I32" s="53"/>
    </row>
    <row r="33" spans="2:9" x14ac:dyDescent="0.35">
      <c r="B33" s="54" t="s">
        <v>19</v>
      </c>
      <c r="C33" s="32">
        <v>9</v>
      </c>
      <c r="D33" s="32">
        <f>C33*100/24</f>
        <v>37.5</v>
      </c>
      <c r="E33" s="11"/>
      <c r="F33" s="11"/>
      <c r="G33" s="11"/>
      <c r="H33" s="11"/>
      <c r="I33" s="53"/>
    </row>
    <row r="34" spans="2:9" x14ac:dyDescent="0.35">
      <c r="B34" s="54"/>
      <c r="C34" s="11"/>
      <c r="D34" s="11"/>
      <c r="E34" s="11"/>
      <c r="F34" s="11"/>
      <c r="G34" s="11"/>
      <c r="H34" s="11"/>
      <c r="I34" s="53"/>
    </row>
    <row r="35" spans="2:9" x14ac:dyDescent="0.35">
      <c r="B35" s="54"/>
      <c r="C35" s="11"/>
      <c r="D35" s="11"/>
      <c r="E35" s="11"/>
      <c r="F35" s="11"/>
      <c r="G35" s="11"/>
      <c r="H35" s="11"/>
      <c r="I35" s="53"/>
    </row>
    <row r="36" spans="2:9" x14ac:dyDescent="0.35">
      <c r="B36" s="54"/>
      <c r="C36" s="11"/>
      <c r="D36" s="11"/>
      <c r="E36" s="11"/>
      <c r="F36" s="11"/>
      <c r="G36" s="11"/>
      <c r="H36" s="11"/>
      <c r="I36" s="53"/>
    </row>
    <row r="37" spans="2:9" ht="56.25" customHeight="1" x14ac:dyDescent="0.35">
      <c r="B37" s="282" t="s">
        <v>130</v>
      </c>
      <c r="C37" s="283"/>
      <c r="D37" s="283"/>
      <c r="E37" s="63"/>
      <c r="F37" s="63"/>
      <c r="G37" s="63"/>
      <c r="H37" s="11"/>
      <c r="I37" s="53"/>
    </row>
    <row r="38" spans="2:9" x14ac:dyDescent="0.35">
      <c r="B38" s="54"/>
      <c r="C38" s="11"/>
      <c r="D38" s="11"/>
      <c r="E38" s="11"/>
      <c r="F38" s="11"/>
      <c r="G38" s="11"/>
      <c r="H38" s="11"/>
      <c r="I38" s="53"/>
    </row>
    <row r="39" spans="2:9" x14ac:dyDescent="0.35">
      <c r="B39" s="54"/>
      <c r="C39" s="11"/>
      <c r="D39" s="11"/>
      <c r="E39" s="11"/>
      <c r="F39" s="11"/>
      <c r="G39" s="11"/>
      <c r="H39" s="11"/>
      <c r="I39" s="53"/>
    </row>
    <row r="40" spans="2:9" x14ac:dyDescent="0.35">
      <c r="B40" s="72" t="s">
        <v>61</v>
      </c>
      <c r="C40" s="73"/>
      <c r="D40" s="73"/>
      <c r="E40" s="73"/>
      <c r="F40" s="73"/>
      <c r="G40" s="73"/>
      <c r="H40" s="73"/>
      <c r="I40" s="74"/>
    </row>
    <row r="41" spans="2:9" x14ac:dyDescent="0.35">
      <c r="B41" s="54"/>
      <c r="D41" s="11"/>
      <c r="E41" s="11"/>
      <c r="F41" s="11"/>
      <c r="G41" s="11"/>
      <c r="H41" s="11"/>
      <c r="I41" s="53"/>
    </row>
    <row r="42" spans="2:9" x14ac:dyDescent="0.35">
      <c r="B42" s="59"/>
      <c r="C42" s="58"/>
      <c r="D42" s="57" t="s">
        <v>60</v>
      </c>
      <c r="E42" s="11"/>
      <c r="F42" s="11"/>
      <c r="G42" s="11"/>
      <c r="H42" s="11"/>
      <c r="I42" s="53"/>
    </row>
    <row r="43" spans="2:9" x14ac:dyDescent="0.35">
      <c r="B43" s="55">
        <v>4</v>
      </c>
      <c r="C43" s="69">
        <v>5</v>
      </c>
      <c r="D43" s="68">
        <f>B43+C43</f>
        <v>9</v>
      </c>
      <c r="E43" s="11"/>
      <c r="F43" s="11"/>
      <c r="G43" s="11"/>
      <c r="H43" s="11"/>
      <c r="I43" s="53"/>
    </row>
    <row r="44" spans="2:9" x14ac:dyDescent="0.35">
      <c r="B44" s="59">
        <v>100</v>
      </c>
      <c r="C44" s="67">
        <v>200</v>
      </c>
      <c r="D44" s="68">
        <f>B44+C44</f>
        <v>300</v>
      </c>
      <c r="E44" s="11"/>
      <c r="F44" s="11"/>
      <c r="G44" s="11"/>
      <c r="H44" s="11"/>
      <c r="I44" s="53"/>
    </row>
    <row r="45" spans="2:9" ht="16" thickBot="1" x14ac:dyDescent="0.4">
      <c r="B45" s="66"/>
      <c r="C45" s="64"/>
      <c r="D45" s="64"/>
      <c r="E45" s="64"/>
      <c r="F45" s="64"/>
      <c r="G45" s="64"/>
      <c r="H45" s="64"/>
      <c r="I45" s="65"/>
    </row>
  </sheetData>
  <sortState xmlns:xlrd2="http://schemas.microsoft.com/office/spreadsheetml/2017/richdata2" ref="D25:D33">
    <sortCondition ref="D25:D33"/>
  </sortState>
  <mergeCells count="1">
    <mergeCell ref="B37:D37"/>
  </mergeCells>
  <phoneticPr fontId="1" type="noConversion"/>
  <pageMargins left="0.78740157499999996" right="0.78740157499999996" top="0.984251969" bottom="0.984251969" header="0.4921259845" footer="0.492125984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K70"/>
  <sheetViews>
    <sheetView topLeftCell="A47" zoomScale="80" zoomScaleNormal="80" workbookViewId="0">
      <selection activeCell="H69" sqref="H69"/>
    </sheetView>
  </sheetViews>
  <sheetFormatPr baseColWidth="10" defaultColWidth="11.453125" defaultRowHeight="15.5" x14ac:dyDescent="0.35"/>
  <cols>
    <col min="1" max="1" width="0.81640625" style="82" customWidth="1"/>
    <col min="2" max="2" width="11.453125" style="82"/>
    <col min="3" max="3" width="13.54296875" style="82" customWidth="1"/>
    <col min="4" max="4" width="13.1796875" style="82" customWidth="1"/>
    <col min="5" max="5" width="14.26953125" style="82" customWidth="1"/>
    <col min="6" max="6" width="5.453125" style="82" customWidth="1"/>
    <col min="7" max="11" width="12.54296875" style="82" customWidth="1"/>
    <col min="12" max="16384" width="11.453125" style="82"/>
  </cols>
  <sheetData>
    <row r="2" spans="2:11" ht="20" x14ac:dyDescent="0.4">
      <c r="B2" s="106" t="s">
        <v>131</v>
      </c>
      <c r="C2" s="107"/>
      <c r="D2" s="107"/>
      <c r="E2" s="107"/>
    </row>
    <row r="4" spans="2:11" ht="16" thickBot="1" x14ac:dyDescent="0.4"/>
    <row r="5" spans="2:11" x14ac:dyDescent="0.35">
      <c r="B5" s="123"/>
      <c r="C5" s="124"/>
      <c r="D5" s="124"/>
      <c r="E5" s="124"/>
      <c r="F5" s="124"/>
      <c r="G5" s="124"/>
      <c r="H5" s="124"/>
      <c r="I5" s="124"/>
      <c r="J5" s="124"/>
      <c r="K5" s="125"/>
    </row>
    <row r="6" spans="2:11" x14ac:dyDescent="0.35">
      <c r="B6" s="112" t="s">
        <v>106</v>
      </c>
      <c r="C6" s="107"/>
      <c r="D6" s="107"/>
      <c r="E6" s="107"/>
      <c r="F6" s="107"/>
      <c r="G6" s="107"/>
      <c r="H6" s="107"/>
      <c r="I6" s="107"/>
      <c r="J6" s="107"/>
      <c r="K6" s="113"/>
    </row>
    <row r="7" spans="2:11" x14ac:dyDescent="0.35">
      <c r="B7" s="126"/>
      <c r="C7" s="127"/>
      <c r="D7" s="127"/>
      <c r="E7" s="127"/>
      <c r="F7" s="127"/>
      <c r="G7" s="127"/>
      <c r="H7" s="127"/>
      <c r="I7" s="127"/>
      <c r="J7" s="127"/>
      <c r="K7" s="128"/>
    </row>
    <row r="8" spans="2:11" x14ac:dyDescent="0.35">
      <c r="B8" s="117" t="s">
        <v>67</v>
      </c>
      <c r="C8" s="118"/>
      <c r="D8" s="118"/>
      <c r="E8" s="118"/>
      <c r="F8" s="118"/>
      <c r="G8" s="118"/>
      <c r="H8" s="118"/>
      <c r="I8" s="118"/>
      <c r="J8" s="118"/>
      <c r="K8" s="119"/>
    </row>
    <row r="9" spans="2:11" x14ac:dyDescent="0.35">
      <c r="B9" s="114" t="s">
        <v>132</v>
      </c>
      <c r="C9" s="115"/>
      <c r="D9" s="115"/>
      <c r="E9" s="115"/>
      <c r="F9" s="115"/>
      <c r="G9" s="115"/>
      <c r="H9" s="115"/>
      <c r="I9" s="115"/>
      <c r="J9" s="115"/>
      <c r="K9" s="116"/>
    </row>
    <row r="10" spans="2:11" x14ac:dyDescent="0.35">
      <c r="B10" s="126"/>
      <c r="C10" s="108">
        <v>1</v>
      </c>
      <c r="D10" s="137" t="str">
        <f>IF(C10&lt;3,"yes","no")</f>
        <v>yes</v>
      </c>
      <c r="E10" s="127"/>
      <c r="F10" s="127"/>
      <c r="G10" s="127"/>
      <c r="H10" s="127"/>
      <c r="I10" s="127"/>
      <c r="J10" s="127"/>
      <c r="K10" s="128"/>
    </row>
    <row r="11" spans="2:11" x14ac:dyDescent="0.35">
      <c r="B11" s="126"/>
      <c r="C11" s="94">
        <v>2</v>
      </c>
      <c r="D11" s="138" t="str">
        <f t="shared" ref="D11:D15" si="0">IF(C11&lt;3,"yes","no")</f>
        <v>yes</v>
      </c>
      <c r="E11" s="127"/>
      <c r="F11" s="127"/>
      <c r="G11" s="127"/>
      <c r="H11" s="127"/>
      <c r="I11" s="127"/>
      <c r="J11" s="127"/>
      <c r="K11" s="128"/>
    </row>
    <row r="12" spans="2:11" x14ac:dyDescent="0.35">
      <c r="B12" s="126"/>
      <c r="C12" s="94">
        <v>3</v>
      </c>
      <c r="D12" s="138" t="str">
        <f t="shared" si="0"/>
        <v>no</v>
      </c>
      <c r="E12" s="127"/>
      <c r="F12" s="127"/>
      <c r="G12" s="127"/>
      <c r="H12" s="127"/>
      <c r="I12" s="127"/>
      <c r="J12" s="127"/>
      <c r="K12" s="128"/>
    </row>
    <row r="13" spans="2:11" x14ac:dyDescent="0.35">
      <c r="B13" s="126"/>
      <c r="C13" s="94">
        <v>4</v>
      </c>
      <c r="D13" s="138" t="str">
        <f t="shared" si="0"/>
        <v>no</v>
      </c>
      <c r="E13" s="127"/>
      <c r="F13" s="127"/>
      <c r="G13" s="127"/>
      <c r="H13" s="127"/>
      <c r="I13" s="127"/>
      <c r="J13" s="127"/>
      <c r="K13" s="128"/>
    </row>
    <row r="14" spans="2:11" x14ac:dyDescent="0.35">
      <c r="B14" s="126"/>
      <c r="C14" s="94">
        <v>5</v>
      </c>
      <c r="D14" s="138" t="str">
        <f t="shared" si="0"/>
        <v>no</v>
      </c>
      <c r="E14" s="127"/>
      <c r="F14" s="127"/>
      <c r="G14" s="127"/>
      <c r="H14" s="127"/>
      <c r="I14" s="127"/>
      <c r="J14" s="127"/>
      <c r="K14" s="128"/>
    </row>
    <row r="15" spans="2:11" x14ac:dyDescent="0.35">
      <c r="B15" s="126"/>
      <c r="C15" s="96">
        <v>0.2</v>
      </c>
      <c r="D15" s="139" t="str">
        <f t="shared" si="0"/>
        <v>yes</v>
      </c>
      <c r="E15" s="127"/>
      <c r="F15" s="127"/>
      <c r="G15" s="127"/>
      <c r="H15" s="127"/>
      <c r="I15" s="127"/>
      <c r="J15" s="127"/>
      <c r="K15" s="128"/>
    </row>
    <row r="16" spans="2:11" x14ac:dyDescent="0.35">
      <c r="B16" s="126"/>
      <c r="C16" s="127"/>
      <c r="D16" s="127"/>
      <c r="E16" s="127"/>
      <c r="F16" s="127"/>
      <c r="G16" s="127"/>
      <c r="H16" s="127"/>
      <c r="I16" s="127"/>
      <c r="J16" s="127"/>
      <c r="K16" s="128"/>
    </row>
    <row r="17" spans="2:11" x14ac:dyDescent="0.35">
      <c r="B17" s="117" t="s">
        <v>75</v>
      </c>
      <c r="C17" s="118"/>
      <c r="D17" s="118"/>
      <c r="E17" s="118"/>
      <c r="F17" s="118"/>
      <c r="G17" s="118"/>
      <c r="H17" s="118"/>
      <c r="I17" s="118"/>
      <c r="J17" s="118"/>
      <c r="K17" s="119"/>
    </row>
    <row r="18" spans="2:11" x14ac:dyDescent="0.35">
      <c r="B18" s="114" t="s">
        <v>133</v>
      </c>
      <c r="C18" s="115"/>
      <c r="D18" s="115"/>
      <c r="E18" s="115"/>
      <c r="F18" s="115"/>
      <c r="G18" s="115"/>
      <c r="H18" s="115"/>
      <c r="I18" s="115"/>
      <c r="J18" s="115"/>
      <c r="K18" s="116"/>
    </row>
    <row r="19" spans="2:11" x14ac:dyDescent="0.35">
      <c r="B19" s="126"/>
      <c r="C19" s="132" t="s">
        <v>107</v>
      </c>
      <c r="D19" s="133" t="s">
        <v>108</v>
      </c>
      <c r="E19" s="134" t="s">
        <v>109</v>
      </c>
      <c r="F19" s="127"/>
      <c r="G19" s="127"/>
      <c r="H19" s="127"/>
      <c r="I19" s="127"/>
      <c r="J19" s="127"/>
      <c r="K19" s="128"/>
    </row>
    <row r="20" spans="2:11" x14ac:dyDescent="0.35">
      <c r="B20" s="126"/>
      <c r="C20" s="94" t="s">
        <v>110</v>
      </c>
      <c r="D20" s="82" t="s">
        <v>115</v>
      </c>
      <c r="E20" s="137">
        <f>IF(D20="ja",1,0)</f>
        <v>0</v>
      </c>
      <c r="F20" s="127"/>
      <c r="G20" s="127"/>
      <c r="H20" s="127"/>
      <c r="I20" s="127"/>
      <c r="J20" s="127"/>
      <c r="K20" s="128"/>
    </row>
    <row r="21" spans="2:11" x14ac:dyDescent="0.35">
      <c r="B21" s="126"/>
      <c r="C21" s="94" t="s">
        <v>111</v>
      </c>
      <c r="D21" s="82" t="s">
        <v>114</v>
      </c>
      <c r="E21" s="138">
        <f t="shared" ref="E21:E24" si="1">IF(D21="ja",1,0)</f>
        <v>1</v>
      </c>
      <c r="F21" s="127"/>
      <c r="G21" s="127"/>
      <c r="H21" s="127"/>
      <c r="I21" s="127"/>
      <c r="J21" s="127"/>
      <c r="K21" s="128"/>
    </row>
    <row r="22" spans="2:11" x14ac:dyDescent="0.35">
      <c r="B22" s="126"/>
      <c r="C22" s="94" t="s">
        <v>112</v>
      </c>
      <c r="D22" s="82" t="s">
        <v>115</v>
      </c>
      <c r="E22" s="138">
        <f t="shared" si="1"/>
        <v>0</v>
      </c>
      <c r="F22" s="127"/>
      <c r="G22" s="127"/>
      <c r="H22" s="127"/>
      <c r="I22" s="127"/>
      <c r="J22" s="127"/>
      <c r="K22" s="128"/>
    </row>
    <row r="23" spans="2:11" x14ac:dyDescent="0.35">
      <c r="B23" s="126"/>
      <c r="C23" s="94" t="s">
        <v>145</v>
      </c>
      <c r="D23" s="82" t="s">
        <v>114</v>
      </c>
      <c r="E23" s="138">
        <f t="shared" si="1"/>
        <v>1</v>
      </c>
      <c r="F23" s="127"/>
      <c r="G23" s="127"/>
      <c r="H23" s="127"/>
      <c r="I23" s="127"/>
      <c r="J23" s="127"/>
      <c r="K23" s="128"/>
    </row>
    <row r="24" spans="2:11" x14ac:dyDescent="0.35">
      <c r="B24" s="126"/>
      <c r="C24" s="96" t="s">
        <v>113</v>
      </c>
      <c r="D24" s="97" t="s">
        <v>114</v>
      </c>
      <c r="E24" s="139">
        <f t="shared" si="1"/>
        <v>1</v>
      </c>
      <c r="F24" s="127"/>
      <c r="G24" s="127"/>
      <c r="H24" s="127"/>
      <c r="I24" s="127"/>
      <c r="J24" s="127"/>
      <c r="K24" s="128"/>
    </row>
    <row r="25" spans="2:11" ht="16" thickBot="1" x14ac:dyDescent="0.4">
      <c r="B25" s="129"/>
      <c r="C25" s="130"/>
      <c r="D25" s="130"/>
      <c r="E25" s="130"/>
      <c r="F25" s="130"/>
      <c r="G25" s="130"/>
      <c r="H25" s="130"/>
      <c r="I25" s="130"/>
      <c r="J25" s="130"/>
      <c r="K25" s="131"/>
    </row>
    <row r="26" spans="2:11" x14ac:dyDescent="0.35">
      <c r="B26" s="126"/>
      <c r="C26" s="127"/>
      <c r="D26" s="127"/>
      <c r="E26" s="127"/>
      <c r="F26" s="127"/>
      <c r="G26" s="127"/>
      <c r="H26" s="127"/>
      <c r="I26" s="127"/>
      <c r="J26" s="127"/>
      <c r="K26" s="128"/>
    </row>
    <row r="27" spans="2:11" x14ac:dyDescent="0.35">
      <c r="B27" s="112" t="s">
        <v>105</v>
      </c>
      <c r="C27" s="107"/>
      <c r="D27" s="107"/>
      <c r="E27" s="107"/>
      <c r="F27" s="107"/>
      <c r="G27" s="107"/>
      <c r="H27" s="107"/>
      <c r="I27" s="107"/>
      <c r="J27" s="107"/>
      <c r="K27" s="113"/>
    </row>
    <row r="28" spans="2:11" x14ac:dyDescent="0.35">
      <c r="B28" s="135"/>
      <c r="C28" s="127"/>
      <c r="D28" s="127"/>
      <c r="E28" s="127"/>
      <c r="F28" s="127"/>
      <c r="G28" s="127"/>
      <c r="H28" s="127"/>
      <c r="I28" s="127"/>
      <c r="J28" s="127"/>
      <c r="K28" s="128"/>
    </row>
    <row r="29" spans="2:11" x14ac:dyDescent="0.35">
      <c r="B29" s="117" t="s">
        <v>134</v>
      </c>
      <c r="C29" s="118"/>
      <c r="D29" s="118"/>
      <c r="E29" s="118"/>
      <c r="F29" s="118"/>
      <c r="G29" s="118"/>
      <c r="H29" s="118"/>
      <c r="I29" s="118"/>
      <c r="J29" s="118"/>
      <c r="K29" s="119"/>
    </row>
    <row r="30" spans="2:11" x14ac:dyDescent="0.35">
      <c r="B30" s="114" t="s">
        <v>135</v>
      </c>
      <c r="C30" s="115"/>
      <c r="D30" s="115"/>
      <c r="E30" s="115"/>
      <c r="F30" s="115"/>
      <c r="G30" s="115"/>
      <c r="H30" s="115"/>
      <c r="I30" s="115"/>
      <c r="J30" s="115"/>
      <c r="K30" s="116"/>
    </row>
    <row r="31" spans="2:11" x14ac:dyDescent="0.35">
      <c r="B31" s="126"/>
      <c r="C31" s="132" t="s">
        <v>104</v>
      </c>
      <c r="D31" s="133" t="s">
        <v>13</v>
      </c>
      <c r="E31" s="133" t="s">
        <v>103</v>
      </c>
      <c r="F31" s="286" t="s">
        <v>102</v>
      </c>
      <c r="G31" s="287"/>
      <c r="H31" s="127"/>
      <c r="I31" s="127"/>
      <c r="J31" s="127"/>
      <c r="K31" s="128"/>
    </row>
    <row r="32" spans="2:11" x14ac:dyDescent="0.35">
      <c r="B32" s="126"/>
      <c r="C32" s="94" t="s">
        <v>6</v>
      </c>
      <c r="D32" s="87">
        <v>12000</v>
      </c>
      <c r="E32" s="82">
        <v>4</v>
      </c>
      <c r="F32" s="288" t="b">
        <f>AND(D32&gt;=10000,E32&gt;5)</f>
        <v>0</v>
      </c>
      <c r="G32" s="289"/>
      <c r="H32" s="127"/>
      <c r="I32" s="127"/>
      <c r="J32" s="127"/>
      <c r="K32" s="128"/>
    </row>
    <row r="33" spans="2:11" x14ac:dyDescent="0.35">
      <c r="B33" s="126"/>
      <c r="C33" s="94" t="s">
        <v>5</v>
      </c>
      <c r="D33" s="87">
        <v>80000</v>
      </c>
      <c r="E33" s="82">
        <v>9</v>
      </c>
      <c r="F33" s="290" t="b">
        <f t="shared" ref="F33:F36" si="2">AND(D33&gt;=10000,E33&gt;5)</f>
        <v>1</v>
      </c>
      <c r="G33" s="291"/>
      <c r="H33" s="127"/>
      <c r="I33" s="127"/>
      <c r="J33" s="127"/>
      <c r="K33" s="128"/>
    </row>
    <row r="34" spans="2:11" x14ac:dyDescent="0.35">
      <c r="B34" s="126"/>
      <c r="C34" s="94" t="s">
        <v>101</v>
      </c>
      <c r="D34" s="87">
        <v>2300</v>
      </c>
      <c r="E34" s="82">
        <v>2</v>
      </c>
      <c r="F34" s="290" t="b">
        <f t="shared" si="2"/>
        <v>0</v>
      </c>
      <c r="G34" s="291"/>
      <c r="H34" s="127"/>
      <c r="I34" s="127"/>
      <c r="J34" s="127"/>
      <c r="K34" s="128"/>
    </row>
    <row r="35" spans="2:11" x14ac:dyDescent="0.35">
      <c r="B35" s="126"/>
      <c r="C35" s="94" t="s">
        <v>100</v>
      </c>
      <c r="D35" s="87">
        <v>24900</v>
      </c>
      <c r="E35" s="82">
        <v>5</v>
      </c>
      <c r="F35" s="290" t="b">
        <f t="shared" si="2"/>
        <v>0</v>
      </c>
      <c r="G35" s="291"/>
      <c r="H35" s="127"/>
      <c r="I35" s="127"/>
      <c r="J35" s="127"/>
      <c r="K35" s="128"/>
    </row>
    <row r="36" spans="2:11" x14ac:dyDescent="0.35">
      <c r="B36" s="126"/>
      <c r="C36" s="96" t="s">
        <v>99</v>
      </c>
      <c r="D36" s="136">
        <v>120990</v>
      </c>
      <c r="E36" s="97">
        <v>7</v>
      </c>
      <c r="F36" s="284" t="b">
        <f t="shared" si="2"/>
        <v>1</v>
      </c>
      <c r="G36" s="285"/>
      <c r="H36" s="127"/>
      <c r="I36" s="127"/>
      <c r="J36" s="127"/>
      <c r="K36" s="128"/>
    </row>
    <row r="37" spans="2:11" x14ac:dyDescent="0.35">
      <c r="B37" s="126"/>
      <c r="C37" s="127"/>
      <c r="D37" s="127"/>
      <c r="E37" s="127"/>
      <c r="F37" s="127"/>
      <c r="G37" s="127"/>
      <c r="H37" s="127"/>
      <c r="I37" s="127"/>
      <c r="J37" s="127"/>
      <c r="K37" s="128"/>
    </row>
    <row r="38" spans="2:11" x14ac:dyDescent="0.35">
      <c r="B38" s="126"/>
      <c r="C38" s="127"/>
      <c r="D38" s="127"/>
      <c r="E38" s="127"/>
      <c r="F38" s="127"/>
      <c r="G38" s="127"/>
      <c r="H38" s="127"/>
      <c r="I38" s="127"/>
      <c r="J38" s="127"/>
      <c r="K38" s="128"/>
    </row>
    <row r="39" spans="2:11" x14ac:dyDescent="0.35">
      <c r="B39" s="280" t="s">
        <v>210</v>
      </c>
      <c r="C39" s="146"/>
      <c r="D39" s="146"/>
      <c r="E39" s="146"/>
      <c r="F39" s="146"/>
      <c r="G39" s="146"/>
      <c r="H39" s="146"/>
      <c r="I39" s="146"/>
      <c r="J39" s="146"/>
      <c r="K39" s="147"/>
    </row>
    <row r="40" spans="2:11" x14ac:dyDescent="0.35">
      <c r="B40" s="126"/>
      <c r="C40" s="127"/>
      <c r="D40" s="127"/>
      <c r="E40" s="127"/>
      <c r="F40" s="127"/>
      <c r="G40" s="127"/>
      <c r="H40" s="127"/>
      <c r="I40" s="127"/>
      <c r="J40" s="127"/>
      <c r="K40" s="128"/>
    </row>
    <row r="41" spans="2:11" x14ac:dyDescent="0.35">
      <c r="B41" s="126"/>
      <c r="C41" s="108" t="b">
        <v>1</v>
      </c>
      <c r="D41" s="92" t="b">
        <v>1</v>
      </c>
      <c r="E41" s="92">
        <f>C41+D41</f>
        <v>2</v>
      </c>
      <c r="F41" s="92" t="s">
        <v>98</v>
      </c>
      <c r="G41" s="92"/>
      <c r="H41" s="93"/>
      <c r="I41" s="127"/>
      <c r="J41" s="127"/>
      <c r="K41" s="128"/>
    </row>
    <row r="42" spans="2:11" x14ac:dyDescent="0.35">
      <c r="B42" s="126"/>
      <c r="C42" s="94" t="b">
        <v>1</v>
      </c>
      <c r="D42" s="82" t="b">
        <v>1</v>
      </c>
      <c r="E42" s="82">
        <f>C42-D42</f>
        <v>0</v>
      </c>
      <c r="F42" s="82" t="s">
        <v>97</v>
      </c>
      <c r="H42" s="95"/>
      <c r="I42" s="127"/>
      <c r="J42" s="127"/>
      <c r="K42" s="128"/>
    </row>
    <row r="43" spans="2:11" x14ac:dyDescent="0.35">
      <c r="B43" s="126"/>
      <c r="C43" s="94" t="b">
        <v>0</v>
      </c>
      <c r="D43" s="82" t="b">
        <v>1</v>
      </c>
      <c r="E43" s="82">
        <f>C43-D43</f>
        <v>-1</v>
      </c>
      <c r="F43" s="82" t="s">
        <v>96</v>
      </c>
      <c r="H43" s="95"/>
      <c r="I43" s="127"/>
      <c r="J43" s="127"/>
      <c r="K43" s="128"/>
    </row>
    <row r="44" spans="2:11" x14ac:dyDescent="0.35">
      <c r="B44" s="126"/>
      <c r="C44" s="96"/>
      <c r="D44" s="97"/>
      <c r="E44" s="97">
        <f>(C42+D42)^3</f>
        <v>8</v>
      </c>
      <c r="F44" s="98" t="s">
        <v>95</v>
      </c>
      <c r="G44" s="97"/>
      <c r="H44" s="99"/>
      <c r="I44" s="127"/>
      <c r="J44" s="127"/>
      <c r="K44" s="128"/>
    </row>
    <row r="45" spans="2:11" ht="16" thickBot="1" x14ac:dyDescent="0.4">
      <c r="B45" s="129"/>
      <c r="C45" s="130"/>
      <c r="D45" s="130"/>
      <c r="E45" s="130"/>
      <c r="F45" s="130"/>
      <c r="G45" s="130"/>
      <c r="H45" s="130"/>
      <c r="I45" s="130"/>
      <c r="J45" s="130"/>
      <c r="K45" s="131"/>
    </row>
    <row r="48" spans="2:11" ht="16" thickBot="1" x14ac:dyDescent="0.4"/>
    <row r="49" spans="2:11" ht="18" x14ac:dyDescent="0.4">
      <c r="B49" s="120" t="s">
        <v>136</v>
      </c>
      <c r="C49" s="121"/>
      <c r="D49" s="121"/>
      <c r="E49" s="121"/>
      <c r="F49" s="121"/>
      <c r="G49" s="121"/>
      <c r="H49" s="121"/>
      <c r="I49" s="121"/>
      <c r="J49" s="121"/>
      <c r="K49" s="122"/>
    </row>
    <row r="50" spans="2:11" x14ac:dyDescent="0.35">
      <c r="B50" s="86"/>
      <c r="K50" s="88"/>
    </row>
    <row r="51" spans="2:11" x14ac:dyDescent="0.35">
      <c r="B51" s="86" t="s">
        <v>94</v>
      </c>
      <c r="K51" s="88"/>
    </row>
    <row r="52" spans="2:11" x14ac:dyDescent="0.35">
      <c r="B52" s="110" t="s">
        <v>137</v>
      </c>
      <c r="C52" s="82" t="s">
        <v>140</v>
      </c>
      <c r="D52" s="111">
        <v>9</v>
      </c>
      <c r="E52" s="82" t="s">
        <v>143</v>
      </c>
      <c r="K52" s="88"/>
    </row>
    <row r="53" spans="2:11" x14ac:dyDescent="0.35">
      <c r="B53" s="110" t="s">
        <v>138</v>
      </c>
      <c r="C53" s="82" t="s">
        <v>141</v>
      </c>
      <c r="D53" s="111">
        <v>18</v>
      </c>
      <c r="E53" s="82" t="s">
        <v>142</v>
      </c>
      <c r="K53" s="88"/>
    </row>
    <row r="54" spans="2:11" x14ac:dyDescent="0.35">
      <c r="B54" s="110" t="s">
        <v>139</v>
      </c>
      <c r="C54" s="82" t="s">
        <v>144</v>
      </c>
      <c r="K54" s="88"/>
    </row>
    <row r="55" spans="2:11" ht="16" thickBot="1" x14ac:dyDescent="0.4">
      <c r="B55" s="86"/>
      <c r="K55" s="88"/>
    </row>
    <row r="56" spans="2:11" x14ac:dyDescent="0.35">
      <c r="B56" s="86"/>
      <c r="C56" s="100">
        <v>12</v>
      </c>
      <c r="D56" s="140" t="str">
        <f>IF(C56&gt;9,"ja","nein!")</f>
        <v>ja</v>
      </c>
      <c r="E56" s="101"/>
      <c r="F56" s="140">
        <f>IF(C56&lt;18,1,0)</f>
        <v>1</v>
      </c>
      <c r="G56" s="101"/>
      <c r="H56" s="143" t="b">
        <f>AND(C56&lt;18,C56&gt;9)</f>
        <v>1</v>
      </c>
      <c r="K56" s="88"/>
    </row>
    <row r="57" spans="2:11" x14ac:dyDescent="0.35">
      <c r="B57" s="86"/>
      <c r="C57" s="102">
        <v>23</v>
      </c>
      <c r="D57" s="141" t="str">
        <f t="shared" ref="D57:D69" si="3">IF(C57&gt;9,"ja","nein!")</f>
        <v>ja</v>
      </c>
      <c r="E57" s="103"/>
      <c r="F57" s="141">
        <f t="shared" ref="F57:F69" si="4">IF(C57&lt;18,1,0)</f>
        <v>0</v>
      </c>
      <c r="G57" s="103"/>
      <c r="H57" s="144" t="b">
        <f t="shared" ref="H57:H69" si="5">AND(C57&lt;18,C57&gt;9)</f>
        <v>0</v>
      </c>
      <c r="K57" s="88"/>
    </row>
    <row r="58" spans="2:11" x14ac:dyDescent="0.35">
      <c r="B58" s="86"/>
      <c r="C58" s="102">
        <v>34</v>
      </c>
      <c r="D58" s="141" t="str">
        <f t="shared" si="3"/>
        <v>ja</v>
      </c>
      <c r="E58" s="103"/>
      <c r="F58" s="141">
        <f t="shared" si="4"/>
        <v>0</v>
      </c>
      <c r="G58" s="103"/>
      <c r="H58" s="144" t="b">
        <f t="shared" si="5"/>
        <v>0</v>
      </c>
      <c r="K58" s="88"/>
    </row>
    <row r="59" spans="2:11" x14ac:dyDescent="0.35">
      <c r="B59" s="86"/>
      <c r="C59" s="102">
        <v>32</v>
      </c>
      <c r="D59" s="141" t="str">
        <f t="shared" si="3"/>
        <v>ja</v>
      </c>
      <c r="E59" s="103"/>
      <c r="F59" s="141">
        <f t="shared" si="4"/>
        <v>0</v>
      </c>
      <c r="G59" s="103"/>
      <c r="H59" s="144" t="b">
        <f t="shared" si="5"/>
        <v>0</v>
      </c>
      <c r="K59" s="88"/>
    </row>
    <row r="60" spans="2:11" x14ac:dyDescent="0.35">
      <c r="B60" s="86"/>
      <c r="C60" s="102">
        <v>18</v>
      </c>
      <c r="D60" s="141" t="str">
        <f t="shared" si="3"/>
        <v>ja</v>
      </c>
      <c r="E60" s="103"/>
      <c r="F60" s="141">
        <f t="shared" si="4"/>
        <v>0</v>
      </c>
      <c r="G60" s="103"/>
      <c r="H60" s="144" t="b">
        <f t="shared" si="5"/>
        <v>0</v>
      </c>
      <c r="K60" s="88"/>
    </row>
    <row r="61" spans="2:11" x14ac:dyDescent="0.35">
      <c r="B61" s="86"/>
      <c r="C61" s="102">
        <v>19</v>
      </c>
      <c r="D61" s="141" t="str">
        <f t="shared" si="3"/>
        <v>ja</v>
      </c>
      <c r="E61" s="103"/>
      <c r="F61" s="141">
        <f t="shared" si="4"/>
        <v>0</v>
      </c>
      <c r="G61" s="103"/>
      <c r="H61" s="144" t="b">
        <f t="shared" si="5"/>
        <v>0</v>
      </c>
      <c r="K61" s="88"/>
    </row>
    <row r="62" spans="2:11" x14ac:dyDescent="0.35">
      <c r="B62" s="86"/>
      <c r="C62" s="102">
        <v>17</v>
      </c>
      <c r="D62" s="141" t="str">
        <f t="shared" si="3"/>
        <v>ja</v>
      </c>
      <c r="E62" s="103"/>
      <c r="F62" s="141">
        <f t="shared" si="4"/>
        <v>1</v>
      </c>
      <c r="G62" s="103"/>
      <c r="H62" s="144" t="b">
        <f t="shared" si="5"/>
        <v>1</v>
      </c>
      <c r="K62" s="88"/>
    </row>
    <row r="63" spans="2:11" x14ac:dyDescent="0.35">
      <c r="B63" s="86"/>
      <c r="C63" s="102">
        <v>16</v>
      </c>
      <c r="D63" s="141" t="str">
        <f t="shared" si="3"/>
        <v>ja</v>
      </c>
      <c r="E63" s="103"/>
      <c r="F63" s="141">
        <f t="shared" si="4"/>
        <v>1</v>
      </c>
      <c r="G63" s="103"/>
      <c r="H63" s="144" t="b">
        <f t="shared" si="5"/>
        <v>1</v>
      </c>
      <c r="K63" s="88"/>
    </row>
    <row r="64" spans="2:11" x14ac:dyDescent="0.35">
      <c r="B64" s="86"/>
      <c r="C64" s="102">
        <v>14</v>
      </c>
      <c r="D64" s="141" t="str">
        <f t="shared" si="3"/>
        <v>ja</v>
      </c>
      <c r="E64" s="103"/>
      <c r="F64" s="141">
        <f t="shared" si="4"/>
        <v>1</v>
      </c>
      <c r="G64" s="103"/>
      <c r="H64" s="144" t="b">
        <f t="shared" si="5"/>
        <v>1</v>
      </c>
      <c r="K64" s="88"/>
    </row>
    <row r="65" spans="2:11" x14ac:dyDescent="0.35">
      <c r="B65" s="86"/>
      <c r="C65" s="102">
        <v>15</v>
      </c>
      <c r="D65" s="141" t="str">
        <f t="shared" si="3"/>
        <v>ja</v>
      </c>
      <c r="E65" s="103"/>
      <c r="F65" s="141">
        <f t="shared" si="4"/>
        <v>1</v>
      </c>
      <c r="G65" s="103"/>
      <c r="H65" s="144" t="b">
        <f t="shared" si="5"/>
        <v>1</v>
      </c>
      <c r="K65" s="88"/>
    </row>
    <row r="66" spans="2:11" x14ac:dyDescent="0.35">
      <c r="B66" s="86"/>
      <c r="C66" s="102">
        <v>8</v>
      </c>
      <c r="D66" s="141" t="str">
        <f t="shared" si="3"/>
        <v>nein!</v>
      </c>
      <c r="E66" s="103"/>
      <c r="F66" s="141">
        <f t="shared" si="4"/>
        <v>1</v>
      </c>
      <c r="G66" s="103"/>
      <c r="H66" s="144" t="b">
        <f t="shared" si="5"/>
        <v>0</v>
      </c>
      <c r="K66" s="88"/>
    </row>
    <row r="67" spans="2:11" x14ac:dyDescent="0.35">
      <c r="B67" s="86"/>
      <c r="C67" s="102">
        <v>12</v>
      </c>
      <c r="D67" s="141" t="str">
        <f t="shared" si="3"/>
        <v>ja</v>
      </c>
      <c r="E67" s="103"/>
      <c r="F67" s="141">
        <f t="shared" si="4"/>
        <v>1</v>
      </c>
      <c r="G67" s="103"/>
      <c r="H67" s="144" t="b">
        <f t="shared" si="5"/>
        <v>1</v>
      </c>
      <c r="K67" s="88"/>
    </row>
    <row r="68" spans="2:11" x14ac:dyDescent="0.35">
      <c r="B68" s="86"/>
      <c r="C68" s="102">
        <v>4</v>
      </c>
      <c r="D68" s="141" t="str">
        <f t="shared" si="3"/>
        <v>nein!</v>
      </c>
      <c r="E68" s="103"/>
      <c r="F68" s="141">
        <f t="shared" si="4"/>
        <v>1</v>
      </c>
      <c r="G68" s="103"/>
      <c r="H68" s="144" t="b">
        <f t="shared" si="5"/>
        <v>0</v>
      </c>
      <c r="K68" s="88"/>
    </row>
    <row r="69" spans="2:11" ht="16" thickBot="1" x14ac:dyDescent="0.4">
      <c r="B69" s="86"/>
      <c r="C69" s="104">
        <v>1</v>
      </c>
      <c r="D69" s="142" t="str">
        <f t="shared" si="3"/>
        <v>nein!</v>
      </c>
      <c r="E69" s="105"/>
      <c r="F69" s="142">
        <f t="shared" si="4"/>
        <v>1</v>
      </c>
      <c r="G69" s="105"/>
      <c r="H69" s="145" t="b">
        <f t="shared" si="5"/>
        <v>0</v>
      </c>
      <c r="K69" s="88"/>
    </row>
    <row r="70" spans="2:11" ht="16" thickBot="1" x14ac:dyDescent="0.4">
      <c r="B70" s="89"/>
      <c r="C70" s="90"/>
      <c r="D70" s="90"/>
      <c r="E70" s="90"/>
      <c r="F70" s="90"/>
      <c r="G70" s="90"/>
      <c r="H70" s="90"/>
      <c r="I70" s="90"/>
      <c r="J70" s="90"/>
      <c r="K70" s="91"/>
    </row>
  </sheetData>
  <mergeCells count="6">
    <mergeCell ref="F36:G36"/>
    <mergeCell ref="F31:G31"/>
    <mergeCell ref="F32:G32"/>
    <mergeCell ref="F33:G33"/>
    <mergeCell ref="F34:G34"/>
    <mergeCell ref="F35:G35"/>
  </mergeCells>
  <pageMargins left="0.78740157499999996" right="0.78740157499999996" top="0.984251969" bottom="0.984251969" header="0.4921259845" footer="0.492125984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7"/>
  <sheetViews>
    <sheetView topLeftCell="A45" zoomScale="80" zoomScaleNormal="80" workbookViewId="0">
      <selection activeCell="H79" sqref="H79"/>
    </sheetView>
  </sheetViews>
  <sheetFormatPr baseColWidth="10" defaultColWidth="11.453125" defaultRowHeight="12.5" x14ac:dyDescent="0.25"/>
  <cols>
    <col min="1" max="1" width="0.81640625" style="2" customWidth="1"/>
    <col min="2" max="2" width="10.81640625" style="2" customWidth="1"/>
    <col min="3" max="3" width="14.26953125" style="2" customWidth="1"/>
    <col min="4" max="4" width="15.453125" style="2" customWidth="1"/>
    <col min="5" max="5" width="19.26953125" style="2" customWidth="1"/>
    <col min="6" max="6" width="22.7265625" style="2" customWidth="1"/>
    <col min="7" max="9" width="11.453125" style="2"/>
    <col min="10" max="10" width="5.26953125" style="2" customWidth="1"/>
    <col min="11" max="16384" width="11.453125" style="2"/>
  </cols>
  <sheetData>
    <row r="1" spans="2:10" ht="17.25" customHeight="1" x14ac:dyDescent="0.25"/>
    <row r="2" spans="2:10" ht="20" x14ac:dyDescent="0.25">
      <c r="B2" s="28" t="s">
        <v>62</v>
      </c>
      <c r="C2" s="29"/>
      <c r="D2" s="29"/>
    </row>
    <row r="4" spans="2:10" ht="13" thickBot="1" x14ac:dyDescent="0.3"/>
    <row r="5" spans="2:10" ht="15.5" x14ac:dyDescent="0.25">
      <c r="B5" s="170"/>
      <c r="C5" s="171"/>
      <c r="D5" s="171"/>
      <c r="E5" s="171"/>
      <c r="F5" s="171"/>
      <c r="G5" s="171"/>
      <c r="H5" s="171"/>
      <c r="I5" s="171"/>
      <c r="J5" s="172"/>
    </row>
    <row r="6" spans="2:10" ht="45" customHeight="1" x14ac:dyDescent="0.25">
      <c r="B6" s="292" t="s">
        <v>63</v>
      </c>
      <c r="C6" s="293"/>
      <c r="D6" s="293"/>
      <c r="E6" s="293"/>
      <c r="F6" s="293"/>
      <c r="G6" s="293"/>
      <c r="H6" s="293"/>
      <c r="I6" s="293"/>
      <c r="J6" s="294"/>
    </row>
    <row r="7" spans="2:10" ht="15.5" x14ac:dyDescent="0.25">
      <c r="B7" s="173"/>
      <c r="C7" s="174"/>
      <c r="D7" s="174"/>
      <c r="E7" s="174"/>
      <c r="F7" s="174"/>
      <c r="G7" s="174"/>
      <c r="H7" s="174"/>
      <c r="I7" s="174"/>
      <c r="J7" s="175"/>
    </row>
    <row r="8" spans="2:10" ht="15.5" x14ac:dyDescent="0.25">
      <c r="B8" s="184" t="s">
        <v>64</v>
      </c>
      <c r="C8" s="185"/>
      <c r="D8" s="185"/>
      <c r="E8" s="185"/>
      <c r="F8" s="185"/>
      <c r="G8" s="185"/>
      <c r="H8" s="185"/>
      <c r="I8" s="185"/>
      <c r="J8" s="186"/>
    </row>
    <row r="9" spans="2:10" ht="15.5" x14ac:dyDescent="0.25">
      <c r="B9" s="176" t="s">
        <v>146</v>
      </c>
      <c r="C9" s="174"/>
      <c r="D9" s="174"/>
      <c r="E9" s="174"/>
      <c r="F9" s="174"/>
      <c r="G9" s="174"/>
      <c r="H9" s="174"/>
      <c r="I9" s="174"/>
      <c r="J9" s="175"/>
    </row>
    <row r="10" spans="2:10" ht="15.5" x14ac:dyDescent="0.25">
      <c r="B10" s="176" t="s">
        <v>147</v>
      </c>
      <c r="C10" s="174"/>
      <c r="D10" s="174"/>
      <c r="E10" s="174"/>
      <c r="F10" s="174"/>
      <c r="G10" s="174"/>
      <c r="H10" s="174"/>
      <c r="I10" s="174"/>
      <c r="J10" s="175"/>
    </row>
    <row r="11" spans="2:10" ht="80.25" customHeight="1" x14ac:dyDescent="0.25">
      <c r="B11" s="292" t="s">
        <v>211</v>
      </c>
      <c r="C11" s="293"/>
      <c r="D11" s="293"/>
      <c r="E11" s="293"/>
      <c r="F11" s="293"/>
      <c r="G11" s="293"/>
      <c r="H11" s="293"/>
      <c r="I11" s="293"/>
      <c r="J11" s="294"/>
    </row>
    <row r="12" spans="2:10" ht="15.5" x14ac:dyDescent="0.25">
      <c r="B12" s="178"/>
      <c r="C12" s="179"/>
      <c r="D12" s="179"/>
      <c r="E12" s="179"/>
      <c r="F12" s="179"/>
      <c r="G12" s="179"/>
      <c r="H12" s="179"/>
      <c r="I12" s="179"/>
      <c r="J12" s="180"/>
    </row>
    <row r="13" spans="2:10" ht="48" customHeight="1" x14ac:dyDescent="0.25">
      <c r="B13" s="295" t="s">
        <v>65</v>
      </c>
      <c r="C13" s="296"/>
      <c r="D13" s="296"/>
      <c r="E13" s="296"/>
      <c r="F13" s="296"/>
      <c r="G13" s="296"/>
      <c r="H13" s="296"/>
      <c r="I13" s="296"/>
      <c r="J13" s="297"/>
    </row>
    <row r="14" spans="2:10" ht="15.5" x14ac:dyDescent="0.25">
      <c r="B14" s="275"/>
      <c r="C14" s="276"/>
      <c r="D14" s="276"/>
      <c r="E14" s="276"/>
      <c r="F14" s="276"/>
      <c r="G14" s="276"/>
      <c r="H14" s="276"/>
      <c r="I14" s="276"/>
      <c r="J14" s="277"/>
    </row>
    <row r="15" spans="2:10" ht="15.5" x14ac:dyDescent="0.25">
      <c r="B15" s="176" t="s">
        <v>66</v>
      </c>
      <c r="C15" s="276"/>
      <c r="D15" s="276"/>
      <c r="E15" s="276"/>
      <c r="F15" s="276"/>
      <c r="G15" s="276"/>
      <c r="H15" s="276"/>
      <c r="I15" s="276"/>
      <c r="J15" s="277"/>
    </row>
    <row r="16" spans="2:10" ht="15.5" x14ac:dyDescent="0.25">
      <c r="B16" s="176"/>
      <c r="C16" s="276"/>
      <c r="D16" s="276"/>
      <c r="E16" s="276"/>
      <c r="F16" s="276"/>
      <c r="G16" s="276"/>
      <c r="H16" s="276"/>
      <c r="I16" s="276"/>
      <c r="J16" s="277"/>
    </row>
    <row r="17" spans="2:10" ht="15.5" x14ac:dyDescent="0.25">
      <c r="B17" s="176"/>
      <c r="C17" s="276"/>
      <c r="D17" s="276"/>
      <c r="E17" s="276"/>
      <c r="F17" s="276"/>
      <c r="G17" s="276"/>
      <c r="H17" s="276"/>
      <c r="I17" s="276"/>
      <c r="J17" s="277"/>
    </row>
    <row r="18" spans="2:10" ht="15.5" x14ac:dyDescent="0.25">
      <c r="B18" s="176"/>
      <c r="C18" s="174"/>
      <c r="D18" s="174"/>
      <c r="E18" s="174"/>
      <c r="F18" s="174"/>
      <c r="G18" s="174"/>
      <c r="H18" s="174"/>
      <c r="I18" s="174"/>
      <c r="J18" s="175"/>
    </row>
    <row r="19" spans="2:10" ht="15.5" x14ac:dyDescent="0.25">
      <c r="B19" s="176"/>
      <c r="C19" s="174"/>
      <c r="D19" s="174"/>
      <c r="E19" s="174"/>
      <c r="F19" s="174"/>
      <c r="G19" s="174"/>
      <c r="H19" s="174"/>
      <c r="I19" s="174"/>
      <c r="J19" s="175"/>
    </row>
    <row r="20" spans="2:10" ht="15.5" x14ac:dyDescent="0.25">
      <c r="B20" s="192" t="s">
        <v>148</v>
      </c>
      <c r="C20" s="193"/>
      <c r="D20" s="193"/>
      <c r="E20" s="193"/>
      <c r="F20" s="193"/>
      <c r="G20" s="193"/>
      <c r="H20" s="193"/>
      <c r="I20" s="193"/>
      <c r="J20" s="194"/>
    </row>
    <row r="21" spans="2:10" ht="15.5" x14ac:dyDescent="0.25">
      <c r="B21" s="176"/>
      <c r="C21" s="174"/>
      <c r="D21" s="174"/>
      <c r="E21" s="174"/>
      <c r="F21" s="174"/>
      <c r="G21" s="174"/>
      <c r="H21" s="174"/>
      <c r="I21" s="174"/>
      <c r="J21" s="175"/>
    </row>
    <row r="22" spans="2:10" ht="15.5" x14ac:dyDescent="0.25">
      <c r="B22" s="187" t="s">
        <v>55</v>
      </c>
      <c r="C22" s="188" t="s">
        <v>68</v>
      </c>
      <c r="D22" s="278" t="s">
        <v>69</v>
      </c>
      <c r="E22" s="174"/>
      <c r="F22" s="174"/>
      <c r="G22" s="174"/>
      <c r="H22" s="174"/>
      <c r="I22" s="174"/>
      <c r="J22" s="175"/>
    </row>
    <row r="23" spans="2:10" ht="15.5" x14ac:dyDescent="0.25">
      <c r="B23" s="151">
        <v>1</v>
      </c>
      <c r="C23" s="152">
        <v>5</v>
      </c>
      <c r="D23" s="153">
        <v>3</v>
      </c>
      <c r="E23" s="174"/>
      <c r="F23" s="174"/>
      <c r="G23" s="174"/>
      <c r="H23" s="174"/>
      <c r="I23" s="174"/>
      <c r="J23" s="175"/>
    </row>
    <row r="24" spans="2:10" ht="15.5" x14ac:dyDescent="0.25">
      <c r="B24" s="154">
        <v>2</v>
      </c>
      <c r="C24" s="155">
        <v>7</v>
      </c>
      <c r="D24" s="156">
        <v>15</v>
      </c>
      <c r="E24" s="174"/>
      <c r="F24" s="174"/>
      <c r="G24" s="174"/>
      <c r="H24" s="174"/>
      <c r="I24" s="174"/>
      <c r="J24" s="175"/>
    </row>
    <row r="25" spans="2:10" ht="15.5" x14ac:dyDescent="0.25">
      <c r="B25" s="154">
        <v>3</v>
      </c>
      <c r="C25" s="155">
        <v>15</v>
      </c>
      <c r="D25" s="156">
        <v>6</v>
      </c>
      <c r="E25" s="174"/>
      <c r="F25" s="174"/>
      <c r="G25" s="174"/>
      <c r="H25" s="174"/>
      <c r="I25" s="174"/>
      <c r="J25" s="175"/>
    </row>
    <row r="26" spans="2:10" ht="15.5" x14ac:dyDescent="0.25">
      <c r="B26" s="154">
        <v>4</v>
      </c>
      <c r="C26" s="155">
        <v>8</v>
      </c>
      <c r="D26" s="156">
        <v>2</v>
      </c>
      <c r="E26" s="174"/>
      <c r="F26" s="174"/>
      <c r="G26" s="174"/>
      <c r="H26" s="174"/>
      <c r="I26" s="174"/>
      <c r="J26" s="175"/>
    </row>
    <row r="27" spans="2:10" ht="15.5" x14ac:dyDescent="0.25">
      <c r="B27" s="154">
        <v>5</v>
      </c>
      <c r="C27" s="155">
        <v>10</v>
      </c>
      <c r="D27" s="156">
        <v>1</v>
      </c>
      <c r="E27" s="174"/>
      <c r="F27" s="174"/>
      <c r="G27" s="174"/>
      <c r="H27" s="174"/>
      <c r="I27" s="174"/>
      <c r="J27" s="175"/>
    </row>
    <row r="28" spans="2:10" ht="15.5" x14ac:dyDescent="0.25">
      <c r="B28" s="157">
        <v>6</v>
      </c>
      <c r="C28" s="158">
        <v>12</v>
      </c>
      <c r="D28" s="159">
        <v>7</v>
      </c>
      <c r="E28" s="174"/>
      <c r="F28" s="174"/>
      <c r="G28" s="174"/>
      <c r="H28" s="174"/>
      <c r="I28" s="174"/>
      <c r="J28" s="175"/>
    </row>
    <row r="29" spans="2:10" ht="15.5" x14ac:dyDescent="0.25">
      <c r="B29" s="176"/>
      <c r="C29" s="174"/>
      <c r="D29" s="174"/>
      <c r="E29" s="174"/>
      <c r="F29" s="174"/>
      <c r="G29" s="174"/>
      <c r="H29" s="174"/>
      <c r="I29" s="174"/>
      <c r="J29" s="175"/>
    </row>
    <row r="30" spans="2:10" ht="15.5" x14ac:dyDescent="0.25">
      <c r="B30" s="189" t="s">
        <v>155</v>
      </c>
      <c r="C30" s="190"/>
      <c r="D30" s="190"/>
      <c r="E30" s="190"/>
      <c r="F30" s="190"/>
      <c r="G30" s="190"/>
      <c r="H30" s="190"/>
      <c r="I30" s="190"/>
      <c r="J30" s="191"/>
    </row>
    <row r="31" spans="2:10" ht="15.5" x14ac:dyDescent="0.25">
      <c r="B31" s="184" t="s">
        <v>70</v>
      </c>
      <c r="C31" s="185"/>
      <c r="D31" s="185"/>
      <c r="E31" s="185"/>
      <c r="F31" s="185"/>
      <c r="G31" s="185"/>
      <c r="H31" s="185"/>
      <c r="I31" s="185"/>
      <c r="J31" s="186"/>
    </row>
    <row r="32" spans="2:10" ht="15.5" x14ac:dyDescent="0.25">
      <c r="B32" s="176" t="s">
        <v>71</v>
      </c>
      <c r="C32" s="174"/>
      <c r="D32" s="174"/>
      <c r="E32" s="174"/>
      <c r="F32" s="174"/>
      <c r="G32" s="174"/>
      <c r="H32" s="174"/>
      <c r="I32" s="174"/>
      <c r="J32" s="175"/>
    </row>
    <row r="33" spans="2:10" ht="15.5" x14ac:dyDescent="0.25">
      <c r="B33" s="176"/>
      <c r="C33" s="174"/>
      <c r="D33" s="174"/>
      <c r="E33" s="174"/>
      <c r="F33" s="174"/>
      <c r="G33" s="174"/>
      <c r="H33" s="174"/>
      <c r="I33" s="174"/>
      <c r="J33" s="175"/>
    </row>
    <row r="34" spans="2:10" ht="15.5" x14ac:dyDescent="0.25">
      <c r="B34" s="187" t="s">
        <v>55</v>
      </c>
      <c r="C34" s="188" t="s">
        <v>68</v>
      </c>
      <c r="D34" s="278" t="s">
        <v>69</v>
      </c>
      <c r="E34" s="197" t="s">
        <v>72</v>
      </c>
      <c r="F34" s="149" t="s">
        <v>73</v>
      </c>
      <c r="G34" s="174"/>
      <c r="H34" s="174"/>
      <c r="I34" s="174"/>
      <c r="J34" s="175"/>
    </row>
    <row r="35" spans="2:10" ht="15.5" x14ac:dyDescent="0.25">
      <c r="B35" s="151">
        <v>1</v>
      </c>
      <c r="C35" s="152">
        <v>5</v>
      </c>
      <c r="D35" s="201">
        <v>3</v>
      </c>
      <c r="E35" s="198">
        <f>C35*D35</f>
        <v>15</v>
      </c>
      <c r="F35" s="195" t="s">
        <v>149</v>
      </c>
      <c r="G35" s="174"/>
      <c r="H35" s="174"/>
      <c r="I35" s="174"/>
      <c r="J35" s="175"/>
    </row>
    <row r="36" spans="2:10" ht="15.5" x14ac:dyDescent="0.25">
      <c r="B36" s="154">
        <v>2</v>
      </c>
      <c r="C36" s="155">
        <v>7</v>
      </c>
      <c r="D36" s="202">
        <v>15</v>
      </c>
      <c r="E36" s="198">
        <f t="shared" ref="E36:E40" si="0">C36*D36</f>
        <v>105</v>
      </c>
      <c r="F36" s="196" t="s">
        <v>150</v>
      </c>
      <c r="G36" s="174"/>
      <c r="H36" s="174"/>
      <c r="I36" s="174"/>
      <c r="J36" s="175"/>
    </row>
    <row r="37" spans="2:10" ht="15.5" x14ac:dyDescent="0.25">
      <c r="B37" s="154">
        <v>3</v>
      </c>
      <c r="C37" s="155">
        <v>15</v>
      </c>
      <c r="D37" s="202">
        <v>6</v>
      </c>
      <c r="E37" s="198">
        <f t="shared" si="0"/>
        <v>90</v>
      </c>
      <c r="F37" s="196" t="s">
        <v>151</v>
      </c>
      <c r="G37" s="174"/>
      <c r="H37" s="174"/>
      <c r="I37" s="174"/>
      <c r="J37" s="175"/>
    </row>
    <row r="38" spans="2:10" ht="15.5" x14ac:dyDescent="0.25">
      <c r="B38" s="154">
        <v>4</v>
      </c>
      <c r="C38" s="155">
        <v>8</v>
      </c>
      <c r="D38" s="202">
        <v>2</v>
      </c>
      <c r="E38" s="198">
        <f t="shared" si="0"/>
        <v>16</v>
      </c>
      <c r="F38" s="196" t="s">
        <v>152</v>
      </c>
      <c r="G38" s="174"/>
      <c r="H38" s="174"/>
      <c r="I38" s="174"/>
      <c r="J38" s="175"/>
    </row>
    <row r="39" spans="2:10" ht="15.5" x14ac:dyDescent="0.25">
      <c r="B39" s="154">
        <v>5</v>
      </c>
      <c r="C39" s="155">
        <v>10</v>
      </c>
      <c r="D39" s="202">
        <v>1</v>
      </c>
      <c r="E39" s="198">
        <f t="shared" si="0"/>
        <v>10</v>
      </c>
      <c r="F39" s="196" t="s">
        <v>153</v>
      </c>
      <c r="G39" s="174"/>
      <c r="H39" s="174"/>
      <c r="I39" s="174"/>
      <c r="J39" s="175"/>
    </row>
    <row r="40" spans="2:10" ht="15.5" x14ac:dyDescent="0.25">
      <c r="B40" s="157">
        <v>6</v>
      </c>
      <c r="C40" s="158">
        <v>12</v>
      </c>
      <c r="D40" s="203">
        <v>7</v>
      </c>
      <c r="E40" s="198">
        <f t="shared" si="0"/>
        <v>84</v>
      </c>
      <c r="F40" s="279" t="s">
        <v>154</v>
      </c>
      <c r="G40" s="174"/>
      <c r="H40" s="174"/>
      <c r="I40" s="174"/>
      <c r="J40" s="175"/>
    </row>
    <row r="41" spans="2:10" ht="15.5" x14ac:dyDescent="0.25">
      <c r="B41" s="176"/>
      <c r="C41" s="174"/>
      <c r="D41" s="174"/>
      <c r="E41" s="174"/>
      <c r="F41" s="174"/>
      <c r="G41" s="174"/>
      <c r="H41" s="174"/>
      <c r="I41" s="174"/>
      <c r="J41" s="175"/>
    </row>
    <row r="42" spans="2:10" ht="15.5" x14ac:dyDescent="0.25">
      <c r="B42" s="184" t="s">
        <v>74</v>
      </c>
      <c r="C42" s="185"/>
      <c r="D42" s="185"/>
      <c r="E42" s="185"/>
      <c r="F42" s="185"/>
      <c r="G42" s="185"/>
      <c r="H42" s="185"/>
      <c r="I42" s="185"/>
      <c r="J42" s="186"/>
    </row>
    <row r="43" spans="2:10" ht="15.5" x14ac:dyDescent="0.25">
      <c r="B43" s="199" t="s">
        <v>156</v>
      </c>
      <c r="C43" s="174"/>
      <c r="D43" s="174"/>
      <c r="E43" s="174"/>
      <c r="F43" s="174"/>
      <c r="G43" s="174"/>
      <c r="H43" s="174"/>
      <c r="I43" s="174"/>
      <c r="J43" s="175"/>
    </row>
    <row r="44" spans="2:10" ht="15.5" x14ac:dyDescent="0.25">
      <c r="B44" s="176" t="s">
        <v>205</v>
      </c>
      <c r="C44" s="174"/>
      <c r="D44" s="174"/>
      <c r="E44" s="174"/>
      <c r="F44" s="174"/>
      <c r="G44" s="174"/>
      <c r="H44" s="174"/>
      <c r="I44" s="174"/>
      <c r="J44" s="175"/>
    </row>
    <row r="45" spans="2:10" ht="34.9" customHeight="1" x14ac:dyDescent="0.25">
      <c r="B45" s="292" t="s">
        <v>208</v>
      </c>
      <c r="C45" s="293"/>
      <c r="D45" s="293"/>
      <c r="E45" s="293"/>
      <c r="F45" s="293"/>
      <c r="G45" s="293"/>
      <c r="H45" s="293"/>
      <c r="I45" s="293"/>
      <c r="J45" s="294"/>
    </row>
    <row r="46" spans="2:10" ht="15.5" x14ac:dyDescent="0.25">
      <c r="B46" s="176"/>
      <c r="C46" s="174"/>
      <c r="D46" s="174"/>
      <c r="E46" s="174"/>
      <c r="F46" s="174"/>
      <c r="G46" s="174"/>
      <c r="H46" s="174"/>
      <c r="I46" s="174"/>
      <c r="J46" s="175"/>
    </row>
    <row r="47" spans="2:10" ht="15.5" x14ac:dyDescent="0.25">
      <c r="B47" s="148" t="s">
        <v>55</v>
      </c>
      <c r="C47" s="149" t="s">
        <v>68</v>
      </c>
      <c r="D47" s="150" t="s">
        <v>69</v>
      </c>
      <c r="E47" s="163" t="s">
        <v>72</v>
      </c>
      <c r="F47" s="200" t="s">
        <v>73</v>
      </c>
      <c r="G47" s="174"/>
      <c r="H47" s="174"/>
      <c r="I47" s="174"/>
      <c r="J47" s="175"/>
    </row>
    <row r="48" spans="2:10" ht="15.5" x14ac:dyDescent="0.25">
      <c r="B48" s="151">
        <v>1</v>
      </c>
      <c r="C48" s="152">
        <v>5</v>
      </c>
      <c r="D48" s="153">
        <v>3</v>
      </c>
      <c r="E48" s="161">
        <f t="array" ref="E48:E53">C48:C53*D48:D53</f>
        <v>15</v>
      </c>
      <c r="F48" s="164" t="s">
        <v>157</v>
      </c>
      <c r="G48" s="174"/>
      <c r="H48" s="174"/>
      <c r="I48" s="174"/>
      <c r="J48" s="175"/>
    </row>
    <row r="49" spans="2:10" ht="15.5" x14ac:dyDescent="0.25">
      <c r="B49" s="154">
        <v>2</v>
      </c>
      <c r="C49" s="155">
        <v>7</v>
      </c>
      <c r="D49" s="156">
        <v>15</v>
      </c>
      <c r="E49" s="167">
        <v>105</v>
      </c>
      <c r="F49" s="165" t="s">
        <v>157</v>
      </c>
      <c r="G49" s="174"/>
      <c r="H49" s="174"/>
      <c r="I49" s="174"/>
      <c r="J49" s="175"/>
    </row>
    <row r="50" spans="2:10" ht="15.5" x14ac:dyDescent="0.25">
      <c r="B50" s="154">
        <v>3</v>
      </c>
      <c r="C50" s="155">
        <v>15</v>
      </c>
      <c r="D50" s="156">
        <v>6</v>
      </c>
      <c r="E50" s="167">
        <v>90</v>
      </c>
      <c r="F50" s="165" t="s">
        <v>157</v>
      </c>
      <c r="G50" s="174"/>
      <c r="H50" s="174"/>
      <c r="I50" s="174"/>
      <c r="J50" s="175"/>
    </row>
    <row r="51" spans="2:10" ht="15.5" x14ac:dyDescent="0.25">
      <c r="B51" s="154">
        <v>4</v>
      </c>
      <c r="C51" s="155">
        <v>8</v>
      </c>
      <c r="D51" s="156">
        <v>2</v>
      </c>
      <c r="E51" s="167">
        <v>16</v>
      </c>
      <c r="F51" s="165" t="s">
        <v>157</v>
      </c>
      <c r="G51" s="174"/>
      <c r="H51" s="174"/>
      <c r="I51" s="174"/>
      <c r="J51" s="175"/>
    </row>
    <row r="52" spans="2:10" ht="15.5" x14ac:dyDescent="0.25">
      <c r="B52" s="154">
        <v>5</v>
      </c>
      <c r="C52" s="155">
        <v>10</v>
      </c>
      <c r="D52" s="156">
        <v>1</v>
      </c>
      <c r="E52" s="167">
        <v>10</v>
      </c>
      <c r="F52" s="165" t="s">
        <v>157</v>
      </c>
      <c r="G52" s="174"/>
      <c r="H52" s="174"/>
      <c r="I52" s="174"/>
      <c r="J52" s="175"/>
    </row>
    <row r="53" spans="2:10" ht="15.5" x14ac:dyDescent="0.25">
      <c r="B53" s="157">
        <v>6</v>
      </c>
      <c r="C53" s="158">
        <v>12</v>
      </c>
      <c r="D53" s="159">
        <v>7</v>
      </c>
      <c r="E53" s="162">
        <v>84</v>
      </c>
      <c r="F53" s="166" t="s">
        <v>157</v>
      </c>
      <c r="G53" s="174"/>
      <c r="H53" s="174"/>
      <c r="I53" s="174"/>
      <c r="J53" s="175"/>
    </row>
    <row r="54" spans="2:10" ht="15.5" x14ac:dyDescent="0.25">
      <c r="B54" s="176"/>
      <c r="C54" s="174"/>
      <c r="D54" s="174"/>
      <c r="E54" s="174"/>
      <c r="F54" s="174"/>
      <c r="G54" s="174"/>
      <c r="H54" s="174"/>
      <c r="I54" s="174"/>
      <c r="J54" s="175"/>
    </row>
    <row r="55" spans="2:10" ht="15.5" x14ac:dyDescent="0.25">
      <c r="B55" s="176"/>
      <c r="C55" s="174"/>
      <c r="D55" s="174"/>
      <c r="E55" s="174"/>
      <c r="F55" s="174"/>
      <c r="G55" s="174"/>
      <c r="H55" s="174"/>
      <c r="I55" s="174"/>
      <c r="J55" s="175"/>
    </row>
    <row r="56" spans="2:10" ht="15.5" x14ac:dyDescent="0.25">
      <c r="B56" s="192" t="s">
        <v>75</v>
      </c>
      <c r="C56" s="193"/>
      <c r="D56" s="193"/>
      <c r="E56" s="193"/>
      <c r="F56" s="193"/>
      <c r="G56" s="193"/>
      <c r="H56" s="193"/>
      <c r="I56" s="193"/>
      <c r="J56" s="194"/>
    </row>
    <row r="57" spans="2:10" ht="32.5" customHeight="1" x14ac:dyDescent="0.25">
      <c r="B57" s="306" t="s">
        <v>158</v>
      </c>
      <c r="C57" s="307"/>
      <c r="D57" s="307"/>
      <c r="E57" s="307"/>
      <c r="F57" s="307"/>
      <c r="G57" s="307"/>
      <c r="H57" s="307"/>
      <c r="I57" s="307"/>
      <c r="J57" s="308"/>
    </row>
    <row r="58" spans="2:10" ht="15.5" x14ac:dyDescent="0.25">
      <c r="B58" s="177"/>
      <c r="C58" s="174"/>
      <c r="D58" s="174"/>
      <c r="E58" s="174"/>
      <c r="F58" s="174"/>
      <c r="G58" s="174"/>
      <c r="H58" s="174"/>
      <c r="I58" s="174"/>
      <c r="J58" s="175"/>
    </row>
    <row r="59" spans="2:10" ht="15.5" x14ac:dyDescent="0.25">
      <c r="B59" s="184" t="s">
        <v>76</v>
      </c>
      <c r="C59" s="185"/>
      <c r="D59" s="185"/>
      <c r="E59" s="185"/>
      <c r="F59" s="185"/>
      <c r="G59" s="185"/>
      <c r="H59" s="185"/>
      <c r="I59" s="185"/>
      <c r="J59" s="186"/>
    </row>
    <row r="60" spans="2:10" ht="15.5" x14ac:dyDescent="0.25">
      <c r="B60" s="176"/>
      <c r="C60" s="174"/>
      <c r="D60" s="174"/>
      <c r="E60" s="174"/>
      <c r="F60" s="174"/>
      <c r="G60" s="174"/>
      <c r="H60" s="174"/>
      <c r="I60" s="174"/>
      <c r="J60" s="175"/>
    </row>
    <row r="61" spans="2:10" ht="15.5" x14ac:dyDescent="0.25">
      <c r="B61" s="148" t="s">
        <v>55</v>
      </c>
      <c r="C61" s="149" t="s">
        <v>68</v>
      </c>
      <c r="D61" s="150" t="s">
        <v>69</v>
      </c>
      <c r="E61" s="160" t="s">
        <v>72</v>
      </c>
      <c r="F61" s="304" t="s">
        <v>77</v>
      </c>
      <c r="G61" s="305"/>
      <c r="H61" s="174"/>
      <c r="I61" s="174"/>
      <c r="J61" s="175"/>
    </row>
    <row r="62" spans="2:10" ht="15" customHeight="1" x14ac:dyDescent="0.25">
      <c r="B62" s="151">
        <v>1</v>
      </c>
      <c r="C62" s="152">
        <v>5</v>
      </c>
      <c r="D62" s="153">
        <v>3</v>
      </c>
      <c r="E62" s="167">
        <f>D62*C62</f>
        <v>15</v>
      </c>
      <c r="F62" s="206"/>
      <c r="G62" s="207"/>
      <c r="H62" s="174"/>
      <c r="I62" s="174"/>
      <c r="J62" s="175"/>
    </row>
    <row r="63" spans="2:10" ht="15" customHeight="1" x14ac:dyDescent="0.25">
      <c r="B63" s="154">
        <v>2</v>
      </c>
      <c r="C63" s="155">
        <v>7</v>
      </c>
      <c r="D63" s="156">
        <v>15</v>
      </c>
      <c r="E63" s="167">
        <f t="shared" ref="E63:E67" si="1">D63*C63</f>
        <v>105</v>
      </c>
      <c r="F63" s="206"/>
      <c r="G63" s="207"/>
      <c r="H63" s="174"/>
      <c r="I63" s="174"/>
      <c r="J63" s="175"/>
    </row>
    <row r="64" spans="2:10" ht="15" customHeight="1" x14ac:dyDescent="0.25">
      <c r="B64" s="154">
        <v>3</v>
      </c>
      <c r="C64" s="155">
        <v>15</v>
      </c>
      <c r="D64" s="156">
        <v>6</v>
      </c>
      <c r="E64" s="167">
        <f t="shared" si="1"/>
        <v>90</v>
      </c>
      <c r="F64" s="206"/>
      <c r="G64" s="207"/>
      <c r="H64" s="174"/>
      <c r="I64" s="174"/>
      <c r="J64" s="175"/>
    </row>
    <row r="65" spans="2:10" ht="15" customHeight="1" x14ac:dyDescent="0.25">
      <c r="B65" s="154">
        <v>4</v>
      </c>
      <c r="C65" s="155">
        <v>8</v>
      </c>
      <c r="D65" s="156">
        <v>2</v>
      </c>
      <c r="E65" s="167">
        <f t="shared" si="1"/>
        <v>16</v>
      </c>
      <c r="F65" s="206"/>
      <c r="G65" s="207"/>
      <c r="H65" s="174"/>
      <c r="I65" s="174"/>
      <c r="J65" s="175"/>
    </row>
    <row r="66" spans="2:10" ht="15" customHeight="1" x14ac:dyDescent="0.25">
      <c r="B66" s="154">
        <v>5</v>
      </c>
      <c r="C66" s="155">
        <v>10</v>
      </c>
      <c r="D66" s="156">
        <v>1</v>
      </c>
      <c r="E66" s="167">
        <f t="shared" si="1"/>
        <v>10</v>
      </c>
      <c r="F66" s="206"/>
      <c r="G66" s="207"/>
      <c r="H66" s="174"/>
      <c r="I66" s="174"/>
      <c r="J66" s="175"/>
    </row>
    <row r="67" spans="2:10" ht="15" customHeight="1" x14ac:dyDescent="0.25">
      <c r="B67" s="157">
        <v>6</v>
      </c>
      <c r="C67" s="158">
        <v>12</v>
      </c>
      <c r="D67" s="159">
        <v>7</v>
      </c>
      <c r="E67" s="162">
        <f t="shared" si="1"/>
        <v>84</v>
      </c>
      <c r="F67" s="206"/>
      <c r="G67" s="207"/>
      <c r="H67" s="174"/>
      <c r="I67" s="174"/>
      <c r="J67" s="175"/>
    </row>
    <row r="68" spans="2:10" ht="15" customHeight="1" x14ac:dyDescent="0.25">
      <c r="B68" s="176"/>
      <c r="C68" s="174"/>
      <c r="D68" s="174"/>
      <c r="E68" s="174"/>
      <c r="F68" s="206"/>
      <c r="G68" s="207"/>
      <c r="H68" s="174"/>
      <c r="I68" s="174"/>
      <c r="J68" s="175"/>
    </row>
    <row r="69" spans="2:10" ht="15.5" x14ac:dyDescent="0.25">
      <c r="B69" s="176"/>
      <c r="C69" s="174"/>
      <c r="D69" s="168" t="s">
        <v>78</v>
      </c>
      <c r="E69" s="205">
        <f>SUM(E62:E67)</f>
        <v>320</v>
      </c>
      <c r="F69" s="302" t="s">
        <v>206</v>
      </c>
      <c r="G69" s="303"/>
      <c r="H69" s="174"/>
      <c r="I69" s="174"/>
      <c r="J69" s="175"/>
    </row>
    <row r="70" spans="2:10" ht="15.5" x14ac:dyDescent="0.25">
      <c r="B70" s="176"/>
      <c r="C70" s="174"/>
      <c r="D70" s="174"/>
      <c r="E70" s="174"/>
      <c r="F70" s="174"/>
      <c r="G70" s="174"/>
      <c r="H70" s="174"/>
      <c r="I70" s="174"/>
      <c r="J70" s="175"/>
    </row>
    <row r="71" spans="2:10" ht="15.5" x14ac:dyDescent="0.25">
      <c r="B71" s="176"/>
      <c r="C71" s="174"/>
      <c r="D71" s="174"/>
      <c r="E71" s="174"/>
      <c r="F71" s="174"/>
      <c r="G71" s="174"/>
      <c r="H71" s="174"/>
      <c r="I71" s="174"/>
      <c r="J71" s="175"/>
    </row>
    <row r="72" spans="2:10" ht="34.15" customHeight="1" x14ac:dyDescent="0.25">
      <c r="B72" s="309" t="s">
        <v>159</v>
      </c>
      <c r="C72" s="310"/>
      <c r="D72" s="310"/>
      <c r="E72" s="310"/>
      <c r="F72" s="310"/>
      <c r="G72" s="310"/>
      <c r="H72" s="310"/>
      <c r="I72" s="310"/>
      <c r="J72" s="311"/>
    </row>
    <row r="73" spans="2:10" ht="15.5" x14ac:dyDescent="0.25">
      <c r="B73" s="176" t="s">
        <v>79</v>
      </c>
      <c r="C73" s="174"/>
      <c r="D73" s="174"/>
      <c r="E73" s="174"/>
      <c r="F73" s="174"/>
      <c r="G73" s="174"/>
      <c r="H73" s="174"/>
      <c r="I73" s="174"/>
      <c r="J73" s="175"/>
    </row>
    <row r="74" spans="2:10" ht="15.5" x14ac:dyDescent="0.25">
      <c r="B74" s="176" t="s">
        <v>80</v>
      </c>
      <c r="C74" s="174"/>
      <c r="D74" s="174"/>
      <c r="E74" s="174"/>
      <c r="F74" s="174"/>
      <c r="G74" s="174"/>
      <c r="H74" s="174"/>
      <c r="I74" s="174"/>
      <c r="J74" s="175"/>
    </row>
    <row r="75" spans="2:10" ht="15.5" x14ac:dyDescent="0.25">
      <c r="B75" s="176"/>
      <c r="C75" s="174"/>
      <c r="D75" s="174"/>
      <c r="E75" s="174"/>
      <c r="F75" s="174"/>
      <c r="G75" s="174"/>
      <c r="H75" s="174"/>
      <c r="I75" s="174"/>
      <c r="J75" s="175"/>
    </row>
    <row r="76" spans="2:10" ht="15.5" x14ac:dyDescent="0.25">
      <c r="B76" s="148" t="s">
        <v>55</v>
      </c>
      <c r="C76" s="149" t="s">
        <v>68</v>
      </c>
      <c r="D76" s="150" t="s">
        <v>69</v>
      </c>
      <c r="E76" s="174"/>
      <c r="F76" s="300" t="s">
        <v>77</v>
      </c>
      <c r="G76" s="301"/>
      <c r="H76" s="174"/>
      <c r="I76" s="174"/>
      <c r="J76" s="175"/>
    </row>
    <row r="77" spans="2:10" ht="15.5" x14ac:dyDescent="0.25">
      <c r="B77" s="151">
        <v>1</v>
      </c>
      <c r="C77" s="152">
        <v>5</v>
      </c>
      <c r="D77" s="153">
        <v>3</v>
      </c>
      <c r="E77" s="174"/>
      <c r="F77" s="174"/>
      <c r="G77" s="174"/>
      <c r="H77" s="174"/>
      <c r="I77" s="174"/>
      <c r="J77" s="175"/>
    </row>
    <row r="78" spans="2:10" ht="15.5" x14ac:dyDescent="0.25">
      <c r="B78" s="154">
        <v>2</v>
      </c>
      <c r="C78" s="155">
        <v>7</v>
      </c>
      <c r="D78" s="156">
        <v>15</v>
      </c>
      <c r="E78" s="174"/>
      <c r="F78" s="174"/>
      <c r="G78" s="174"/>
      <c r="H78" s="174"/>
      <c r="I78" s="174"/>
      <c r="J78" s="175"/>
    </row>
    <row r="79" spans="2:10" ht="15.5" x14ac:dyDescent="0.25">
      <c r="B79" s="154">
        <v>3</v>
      </c>
      <c r="C79" s="155">
        <v>15</v>
      </c>
      <c r="D79" s="156">
        <v>6</v>
      </c>
      <c r="E79" s="174"/>
      <c r="F79" s="174"/>
      <c r="G79" s="174"/>
      <c r="H79" s="174"/>
      <c r="I79" s="174"/>
      <c r="J79" s="175"/>
    </row>
    <row r="80" spans="2:10" ht="15.5" x14ac:dyDescent="0.25">
      <c r="B80" s="154">
        <v>4</v>
      </c>
      <c r="C80" s="155">
        <v>8</v>
      </c>
      <c r="D80" s="156">
        <v>2</v>
      </c>
      <c r="E80" s="174"/>
      <c r="F80" s="174"/>
      <c r="G80" s="174"/>
      <c r="H80" s="174"/>
      <c r="I80" s="174"/>
      <c r="J80" s="175"/>
    </row>
    <row r="81" spans="2:10" ht="15.5" x14ac:dyDescent="0.25">
      <c r="B81" s="154">
        <v>5</v>
      </c>
      <c r="C81" s="155">
        <v>10</v>
      </c>
      <c r="D81" s="156">
        <v>1</v>
      </c>
      <c r="E81" s="174"/>
      <c r="F81" s="174"/>
      <c r="G81" s="174"/>
      <c r="H81" s="174"/>
      <c r="I81" s="174"/>
      <c r="J81" s="175"/>
    </row>
    <row r="82" spans="2:10" ht="15.5" x14ac:dyDescent="0.25">
      <c r="B82" s="157">
        <v>6</v>
      </c>
      <c r="C82" s="158">
        <v>12</v>
      </c>
      <c r="D82" s="159">
        <v>7</v>
      </c>
      <c r="E82" s="174"/>
      <c r="F82" s="174"/>
      <c r="G82" s="174"/>
      <c r="H82" s="174"/>
      <c r="I82" s="174"/>
      <c r="J82" s="175"/>
    </row>
    <row r="83" spans="2:10" ht="15.5" x14ac:dyDescent="0.25">
      <c r="B83" s="176"/>
      <c r="C83" s="174"/>
      <c r="D83" s="174"/>
      <c r="E83" s="204"/>
      <c r="F83" s="174"/>
      <c r="G83" s="174"/>
      <c r="H83" s="174"/>
      <c r="I83" s="174"/>
      <c r="J83" s="175"/>
    </row>
    <row r="84" spans="2:10" ht="15.5" x14ac:dyDescent="0.25">
      <c r="B84" s="176"/>
      <c r="C84" s="174"/>
      <c r="D84" s="168" t="s">
        <v>78</v>
      </c>
      <c r="E84" s="169">
        <f t="array" ref="E84">SUM(C77:C82*D77:D82)</f>
        <v>320</v>
      </c>
      <c r="F84" s="298" t="s">
        <v>207</v>
      </c>
      <c r="G84" s="299"/>
      <c r="H84" s="174"/>
      <c r="I84" s="174"/>
      <c r="J84" s="175"/>
    </row>
    <row r="85" spans="2:10" ht="15.5" x14ac:dyDescent="0.25">
      <c r="B85" s="176"/>
      <c r="C85" s="174"/>
      <c r="D85" s="174"/>
      <c r="E85" s="174"/>
      <c r="F85" s="174"/>
      <c r="G85" s="174"/>
      <c r="H85" s="174"/>
      <c r="I85" s="174"/>
      <c r="J85" s="175"/>
    </row>
    <row r="86" spans="2:10" ht="16" thickBot="1" x14ac:dyDescent="0.3">
      <c r="B86" s="181"/>
      <c r="C86" s="182"/>
      <c r="D86" s="182"/>
      <c r="E86" s="182"/>
      <c r="F86" s="182"/>
      <c r="G86" s="182"/>
      <c r="H86" s="182"/>
      <c r="I86" s="182"/>
      <c r="J86" s="183"/>
    </row>
    <row r="103" spans="2:4" x14ac:dyDescent="0.25">
      <c r="B103" s="3"/>
      <c r="D103" s="3"/>
    </row>
    <row r="104" spans="2:4" x14ac:dyDescent="0.25">
      <c r="B104" s="3"/>
      <c r="D104" s="3"/>
    </row>
    <row r="105" spans="2:4" x14ac:dyDescent="0.25">
      <c r="D105" s="3"/>
    </row>
    <row r="107" spans="2:4" x14ac:dyDescent="0.25">
      <c r="D107" s="3"/>
    </row>
  </sheetData>
  <mergeCells count="10">
    <mergeCell ref="B6:J6"/>
    <mergeCell ref="B13:J13"/>
    <mergeCell ref="B11:J11"/>
    <mergeCell ref="B45:J45"/>
    <mergeCell ref="F84:G84"/>
    <mergeCell ref="F76:G76"/>
    <mergeCell ref="F69:G69"/>
    <mergeCell ref="F61:G61"/>
    <mergeCell ref="B57:J57"/>
    <mergeCell ref="B72:J72"/>
  </mergeCells>
  <phoneticPr fontId="10" type="noConversion"/>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111"/>
  <sheetViews>
    <sheetView topLeftCell="A77" zoomScale="80" zoomScaleNormal="80" workbookViewId="0">
      <selection activeCell="D112" sqref="D112"/>
    </sheetView>
  </sheetViews>
  <sheetFormatPr baseColWidth="10" defaultColWidth="11.54296875" defaultRowHeight="15.5" x14ac:dyDescent="0.35"/>
  <cols>
    <col min="1" max="1" width="0.7265625" style="1" customWidth="1"/>
    <col min="2" max="2" width="16.81640625" style="1" customWidth="1"/>
    <col min="3" max="3" width="15.26953125" style="1" customWidth="1"/>
    <col min="4" max="4" width="14.1796875" style="1" bestFit="1" customWidth="1"/>
    <col min="5" max="6" width="14.453125" style="1" customWidth="1"/>
    <col min="7" max="16384" width="11.54296875" style="1"/>
  </cols>
  <sheetData>
    <row r="1" spans="2:10" x14ac:dyDescent="0.35">
      <c r="B1" s="4"/>
    </row>
    <row r="2" spans="2:10" ht="20" x14ac:dyDescent="0.4">
      <c r="B2" s="26" t="s">
        <v>160</v>
      </c>
      <c r="C2" s="27"/>
      <c r="D2" s="27"/>
      <c r="E2" s="27"/>
    </row>
    <row r="3" spans="2:10" x14ac:dyDescent="0.35">
      <c r="B3" s="4"/>
    </row>
    <row r="4" spans="2:10" ht="18.5" thickBot="1" x14ac:dyDescent="0.45">
      <c r="B4" s="210" t="s">
        <v>164</v>
      </c>
      <c r="C4" s="211"/>
    </row>
    <row r="5" spans="2:10" x14ac:dyDescent="0.35">
      <c r="B5" s="212"/>
      <c r="C5" s="51"/>
      <c r="D5" s="51"/>
      <c r="E5" s="51"/>
      <c r="F5" s="51"/>
      <c r="G5" s="51"/>
      <c r="H5" s="51"/>
      <c r="I5" s="51"/>
      <c r="J5" s="52"/>
    </row>
    <row r="6" spans="2:10" x14ac:dyDescent="0.35">
      <c r="B6" s="70" t="s">
        <v>119</v>
      </c>
      <c r="C6" s="27"/>
      <c r="D6" s="27"/>
      <c r="E6" s="27"/>
      <c r="F6" s="27"/>
      <c r="G6" s="27"/>
      <c r="H6" s="27"/>
      <c r="I6" s="27"/>
      <c r="J6" s="71"/>
    </row>
    <row r="7" spans="2:10" x14ac:dyDescent="0.35">
      <c r="B7" s="54" t="s">
        <v>161</v>
      </c>
      <c r="C7" s="11"/>
      <c r="D7" s="11"/>
      <c r="E7" s="11"/>
      <c r="F7" s="11"/>
      <c r="G7" s="11"/>
      <c r="H7" s="11"/>
      <c r="I7" s="11"/>
      <c r="J7" s="53"/>
    </row>
    <row r="8" spans="2:10" x14ac:dyDescent="0.35">
      <c r="B8" s="54" t="s">
        <v>162</v>
      </c>
      <c r="D8" s="11"/>
      <c r="E8" s="11"/>
      <c r="F8" s="11"/>
      <c r="G8" s="11"/>
      <c r="H8" s="11"/>
      <c r="I8" s="11"/>
      <c r="J8" s="53"/>
    </row>
    <row r="9" spans="2:10" x14ac:dyDescent="0.35">
      <c r="B9" s="54"/>
      <c r="C9" s="11"/>
      <c r="D9" s="11"/>
      <c r="E9" s="11"/>
      <c r="F9" s="11"/>
      <c r="G9" s="11"/>
      <c r="H9" s="11"/>
      <c r="I9" s="11"/>
      <c r="J9" s="53"/>
    </row>
    <row r="10" spans="2:10" x14ac:dyDescent="0.35">
      <c r="B10" s="70" t="s">
        <v>120</v>
      </c>
      <c r="C10" s="27"/>
      <c r="D10" s="27"/>
      <c r="E10" s="27"/>
      <c r="F10" s="27"/>
      <c r="G10" s="27"/>
      <c r="H10" s="27"/>
      <c r="I10" s="27"/>
      <c r="J10" s="71"/>
    </row>
    <row r="11" spans="2:10" x14ac:dyDescent="0.35">
      <c r="B11" s="54" t="s">
        <v>163</v>
      </c>
      <c r="D11" s="11"/>
      <c r="E11" s="11"/>
      <c r="F11" s="11"/>
      <c r="G11" s="11"/>
      <c r="H11" s="11"/>
      <c r="I11" s="11"/>
      <c r="J11" s="53"/>
    </row>
    <row r="12" spans="2:10" ht="16" thickBot="1" x14ac:dyDescent="0.4">
      <c r="B12" s="66" t="s">
        <v>212</v>
      </c>
      <c r="C12" s="64"/>
      <c r="D12" s="64"/>
      <c r="E12" s="64"/>
      <c r="F12" s="64"/>
      <c r="G12" s="64"/>
      <c r="H12" s="64"/>
      <c r="I12" s="64"/>
      <c r="J12" s="65"/>
    </row>
    <row r="16" spans="2:10" ht="18.5" thickBot="1" x14ac:dyDescent="0.45">
      <c r="B16" s="210" t="s">
        <v>165</v>
      </c>
      <c r="C16" s="27"/>
    </row>
    <row r="17" spans="2:10" ht="18" x14ac:dyDescent="0.4">
      <c r="B17" s="228"/>
      <c r="C17" s="41"/>
      <c r="D17" s="41"/>
      <c r="E17" s="41"/>
      <c r="F17" s="41"/>
      <c r="G17" s="41"/>
      <c r="H17" s="41"/>
      <c r="I17" s="41"/>
      <c r="J17" s="42"/>
    </row>
    <row r="18" spans="2:10" x14ac:dyDescent="0.35">
      <c r="B18" s="76" t="s">
        <v>57</v>
      </c>
      <c r="C18" s="6"/>
      <c r="D18" s="6"/>
      <c r="E18" s="6"/>
      <c r="F18" s="6"/>
      <c r="G18" s="6"/>
      <c r="H18" s="6"/>
      <c r="I18" s="6"/>
      <c r="J18" s="75"/>
    </row>
    <row r="19" spans="2:10" x14ac:dyDescent="0.35">
      <c r="B19" s="79" t="s">
        <v>167</v>
      </c>
      <c r="C19" s="73"/>
      <c r="D19" s="73"/>
      <c r="E19" s="73"/>
      <c r="F19" s="73"/>
      <c r="G19" s="73"/>
      <c r="H19" s="73"/>
      <c r="I19" s="73"/>
      <c r="J19" s="74"/>
    </row>
    <row r="20" spans="2:10" x14ac:dyDescent="0.35">
      <c r="B20" s="45"/>
      <c r="J20" s="44"/>
    </row>
    <row r="21" spans="2:10" x14ac:dyDescent="0.35">
      <c r="B21" s="45"/>
      <c r="J21" s="44"/>
    </row>
    <row r="22" spans="2:10" x14ac:dyDescent="0.35">
      <c r="B22" s="45"/>
      <c r="J22" s="44"/>
    </row>
    <row r="23" spans="2:10" x14ac:dyDescent="0.35">
      <c r="B23" s="76" t="s">
        <v>75</v>
      </c>
      <c r="C23" s="6"/>
      <c r="D23" s="6"/>
      <c r="E23" s="6"/>
      <c r="F23" s="6"/>
      <c r="G23" s="6"/>
      <c r="H23" s="6"/>
      <c r="I23" s="6"/>
      <c r="J23" s="75"/>
    </row>
    <row r="24" spans="2:10" x14ac:dyDescent="0.35">
      <c r="B24" s="79" t="s">
        <v>168</v>
      </c>
      <c r="C24" s="73"/>
      <c r="D24" s="73"/>
      <c r="E24" s="73"/>
      <c r="F24" s="73"/>
      <c r="G24" s="73"/>
      <c r="H24" s="73"/>
      <c r="I24" s="73"/>
      <c r="J24" s="74"/>
    </row>
    <row r="25" spans="2:10" x14ac:dyDescent="0.35">
      <c r="B25" s="45"/>
      <c r="J25" s="44"/>
    </row>
    <row r="26" spans="2:10" x14ac:dyDescent="0.35">
      <c r="B26" s="314" t="s">
        <v>1</v>
      </c>
      <c r="C26" s="315"/>
      <c r="D26" s="1">
        <v>0.3</v>
      </c>
      <c r="J26" s="44"/>
    </row>
    <row r="27" spans="2:10" x14ac:dyDescent="0.35">
      <c r="B27" s="45"/>
      <c r="J27" s="44"/>
    </row>
    <row r="28" spans="2:10" x14ac:dyDescent="0.35">
      <c r="B28" s="45"/>
      <c r="C28" s="213" t="s">
        <v>2</v>
      </c>
      <c r="D28" s="214" t="s">
        <v>3</v>
      </c>
      <c r="E28" s="312" t="s">
        <v>4</v>
      </c>
      <c r="F28" s="313"/>
      <c r="J28" s="44"/>
    </row>
    <row r="29" spans="2:10" x14ac:dyDescent="0.35">
      <c r="B29" s="45"/>
      <c r="C29" s="5" t="s">
        <v>5</v>
      </c>
      <c r="D29" s="1">
        <v>210</v>
      </c>
      <c r="E29" s="33">
        <f>D29*pausch</f>
        <v>63</v>
      </c>
      <c r="F29" s="34"/>
      <c r="J29" s="44"/>
    </row>
    <row r="30" spans="2:10" x14ac:dyDescent="0.35">
      <c r="B30" s="45"/>
      <c r="C30" s="5" t="s">
        <v>6</v>
      </c>
      <c r="D30" s="1">
        <v>180</v>
      </c>
      <c r="E30" s="34">
        <f t="shared" ref="E30:E35" si="0">D30*$D$26</f>
        <v>54</v>
      </c>
      <c r="F30" s="34"/>
      <c r="J30" s="44"/>
    </row>
    <row r="31" spans="2:10" x14ac:dyDescent="0.35">
      <c r="B31" s="45"/>
      <c r="C31" s="5" t="s">
        <v>7</v>
      </c>
      <c r="D31" s="1">
        <v>270</v>
      </c>
      <c r="E31" s="34">
        <f t="shared" si="0"/>
        <v>81</v>
      </c>
      <c r="F31" s="34"/>
      <c r="J31" s="44"/>
    </row>
    <row r="32" spans="2:10" x14ac:dyDescent="0.35">
      <c r="B32" s="45"/>
      <c r="C32" s="5" t="s">
        <v>8</v>
      </c>
      <c r="D32" s="1">
        <v>60</v>
      </c>
      <c r="E32" s="34">
        <f t="shared" si="0"/>
        <v>18</v>
      </c>
      <c r="F32" s="34"/>
      <c r="J32" s="44"/>
    </row>
    <row r="33" spans="2:10" x14ac:dyDescent="0.35">
      <c r="B33" s="45"/>
      <c r="C33" s="5" t="s">
        <v>9</v>
      </c>
      <c r="D33" s="1">
        <v>300</v>
      </c>
      <c r="E33" s="34">
        <f t="shared" si="0"/>
        <v>90</v>
      </c>
      <c r="F33" s="34"/>
      <c r="J33" s="44"/>
    </row>
    <row r="34" spans="2:10" x14ac:dyDescent="0.35">
      <c r="B34" s="45"/>
      <c r="C34" s="5" t="s">
        <v>10</v>
      </c>
      <c r="D34" s="1">
        <v>54</v>
      </c>
      <c r="E34" s="34">
        <f t="shared" si="0"/>
        <v>16.2</v>
      </c>
      <c r="F34" s="34"/>
      <c r="J34" s="44"/>
    </row>
    <row r="35" spans="2:10" x14ac:dyDescent="0.35">
      <c r="B35" s="45"/>
      <c r="C35" s="38" t="s">
        <v>11</v>
      </c>
      <c r="D35" s="39">
        <v>150</v>
      </c>
      <c r="E35" s="35">
        <f t="shared" si="0"/>
        <v>45</v>
      </c>
      <c r="F35" s="35"/>
      <c r="J35" s="44"/>
    </row>
    <row r="36" spans="2:10" x14ac:dyDescent="0.35">
      <c r="B36" s="45"/>
      <c r="J36" s="44"/>
    </row>
    <row r="37" spans="2:10" x14ac:dyDescent="0.35">
      <c r="B37" s="45"/>
      <c r="J37" s="44"/>
    </row>
    <row r="38" spans="2:10" x14ac:dyDescent="0.35">
      <c r="B38" s="45"/>
      <c r="J38" s="44"/>
    </row>
    <row r="39" spans="2:10" x14ac:dyDescent="0.35">
      <c r="B39" s="316" t="s">
        <v>166</v>
      </c>
      <c r="C39" s="317"/>
      <c r="D39" s="317"/>
      <c r="E39" s="317"/>
      <c r="F39" s="317"/>
      <c r="G39" s="317"/>
      <c r="H39" s="317"/>
      <c r="I39" s="317"/>
      <c r="J39" s="318"/>
    </row>
    <row r="40" spans="2:10" x14ac:dyDescent="0.35">
      <c r="B40" s="45"/>
      <c r="J40" s="44"/>
    </row>
    <row r="41" spans="2:10" x14ac:dyDescent="0.35">
      <c r="B41" s="76" t="s">
        <v>35</v>
      </c>
      <c r="C41" s="6"/>
      <c r="D41" s="6"/>
      <c r="E41" s="6"/>
      <c r="F41" s="6"/>
      <c r="G41" s="6"/>
      <c r="H41" s="6"/>
      <c r="I41" s="6"/>
      <c r="J41" s="75"/>
    </row>
    <row r="42" spans="2:10" x14ac:dyDescent="0.35">
      <c r="B42" s="79" t="s">
        <v>169</v>
      </c>
      <c r="C42" s="73"/>
      <c r="D42" s="73"/>
      <c r="E42" s="73"/>
      <c r="F42" s="73"/>
      <c r="G42" s="73"/>
      <c r="H42" s="73"/>
      <c r="I42" s="73"/>
      <c r="J42" s="74"/>
    </row>
    <row r="43" spans="2:10" x14ac:dyDescent="0.35">
      <c r="B43" s="45"/>
      <c r="J43" s="44"/>
    </row>
    <row r="44" spans="2:10" x14ac:dyDescent="0.35">
      <c r="B44" s="229" t="s">
        <v>12</v>
      </c>
      <c r="C44" s="219" t="s">
        <v>0</v>
      </c>
      <c r="D44" s="215" t="s">
        <v>54</v>
      </c>
      <c r="E44" s="4"/>
      <c r="F44" s="225" t="s">
        <v>13</v>
      </c>
      <c r="J44" s="44"/>
    </row>
    <row r="45" spans="2:10" x14ac:dyDescent="0.35">
      <c r="B45" s="230">
        <v>1</v>
      </c>
      <c r="C45" s="220">
        <v>36</v>
      </c>
      <c r="D45" s="216">
        <v>2</v>
      </c>
      <c r="F45" s="223" cm="1">
        <f t="array" ref="F45:F57">anzahl*preis</f>
        <v>72</v>
      </c>
      <c r="J45" s="44"/>
    </row>
    <row r="46" spans="2:10" x14ac:dyDescent="0.35">
      <c r="B46" s="231">
        <v>2</v>
      </c>
      <c r="C46" s="221">
        <v>15</v>
      </c>
      <c r="D46" s="217">
        <v>4</v>
      </c>
      <c r="F46" s="223">
        <v>60</v>
      </c>
      <c r="J46" s="44"/>
    </row>
    <row r="47" spans="2:10" x14ac:dyDescent="0.35">
      <c r="B47" s="231">
        <v>3</v>
      </c>
      <c r="C47" s="221">
        <v>12</v>
      </c>
      <c r="D47" s="217">
        <v>10</v>
      </c>
      <c r="F47" s="223">
        <v>120</v>
      </c>
      <c r="J47" s="44"/>
    </row>
    <row r="48" spans="2:10" x14ac:dyDescent="0.35">
      <c r="B48" s="231">
        <v>4</v>
      </c>
      <c r="C48" s="221">
        <v>0</v>
      </c>
      <c r="D48" s="217">
        <v>5</v>
      </c>
      <c r="F48" s="223">
        <v>0</v>
      </c>
      <c r="J48" s="44"/>
    </row>
    <row r="49" spans="2:10" x14ac:dyDescent="0.35">
      <c r="B49" s="231">
        <v>5</v>
      </c>
      <c r="C49" s="221">
        <v>90</v>
      </c>
      <c r="D49" s="217">
        <v>18.989999999999998</v>
      </c>
      <c r="F49" s="223">
        <v>1709.1</v>
      </c>
      <c r="J49" s="44"/>
    </row>
    <row r="50" spans="2:10" x14ac:dyDescent="0.35">
      <c r="B50" s="231">
        <v>6</v>
      </c>
      <c r="C50" s="221">
        <v>88</v>
      </c>
      <c r="D50" s="217">
        <v>24.95</v>
      </c>
      <c r="F50" s="223">
        <v>2195.6</v>
      </c>
      <c r="J50" s="44"/>
    </row>
    <row r="51" spans="2:10" x14ac:dyDescent="0.35">
      <c r="B51" s="231">
        <v>7</v>
      </c>
      <c r="C51" s="221">
        <v>76</v>
      </c>
      <c r="D51" s="217">
        <v>16.489999999999998</v>
      </c>
      <c r="F51" s="223">
        <v>1253.2399999999998</v>
      </c>
      <c r="J51" s="44"/>
    </row>
    <row r="52" spans="2:10" x14ac:dyDescent="0.35">
      <c r="B52" s="231">
        <v>8</v>
      </c>
      <c r="C52" s="221">
        <v>56</v>
      </c>
      <c r="D52" s="217">
        <v>99.95</v>
      </c>
      <c r="F52" s="223">
        <v>5597.2</v>
      </c>
      <c r="J52" s="44"/>
    </row>
    <row r="53" spans="2:10" x14ac:dyDescent="0.35">
      <c r="B53" s="231">
        <v>9</v>
      </c>
      <c r="C53" s="221">
        <v>2</v>
      </c>
      <c r="D53" s="217">
        <v>4.49</v>
      </c>
      <c r="F53" s="223">
        <v>8.98</v>
      </c>
      <c r="J53" s="44"/>
    </row>
    <row r="54" spans="2:10" x14ac:dyDescent="0.35">
      <c r="B54" s="231">
        <v>10</v>
      </c>
      <c r="C54" s="221">
        <v>12</v>
      </c>
      <c r="D54" s="217">
        <v>10</v>
      </c>
      <c r="F54" s="223">
        <v>120</v>
      </c>
      <c r="J54" s="44"/>
    </row>
    <row r="55" spans="2:10" x14ac:dyDescent="0.35">
      <c r="B55" s="231">
        <v>11</v>
      </c>
      <c r="C55" s="221">
        <v>32</v>
      </c>
      <c r="D55" s="217">
        <v>12.99</v>
      </c>
      <c r="F55" s="223">
        <v>415.68</v>
      </c>
      <c r="J55" s="44"/>
    </row>
    <row r="56" spans="2:10" x14ac:dyDescent="0.35">
      <c r="B56" s="231">
        <v>12</v>
      </c>
      <c r="C56" s="221">
        <v>5</v>
      </c>
      <c r="D56" s="217">
        <v>13.95</v>
      </c>
      <c r="F56" s="223">
        <v>69.75</v>
      </c>
      <c r="J56" s="44"/>
    </row>
    <row r="57" spans="2:10" x14ac:dyDescent="0.35">
      <c r="B57" s="232">
        <v>13</v>
      </c>
      <c r="C57" s="222">
        <v>4</v>
      </c>
      <c r="D57" s="218">
        <v>9.9499999999999993</v>
      </c>
      <c r="F57" s="224">
        <v>39.799999999999997</v>
      </c>
      <c r="J57" s="44"/>
    </row>
    <row r="58" spans="2:10" x14ac:dyDescent="0.35">
      <c r="B58" s="45"/>
      <c r="J58" s="44"/>
    </row>
    <row r="59" spans="2:10" x14ac:dyDescent="0.35">
      <c r="B59" s="45"/>
      <c r="J59" s="44"/>
    </row>
    <row r="60" spans="2:10" x14ac:dyDescent="0.35">
      <c r="B60" s="233" t="s">
        <v>173</v>
      </c>
      <c r="C60" s="234" t="s">
        <v>172</v>
      </c>
      <c r="D60" s="234"/>
      <c r="E60" s="234"/>
      <c r="F60" s="234"/>
      <c r="G60" s="234"/>
      <c r="H60" s="234"/>
      <c r="I60" s="234"/>
      <c r="J60" s="235"/>
    </row>
    <row r="61" spans="2:10" x14ac:dyDescent="0.35">
      <c r="B61" s="236"/>
      <c r="C61" s="234" t="s">
        <v>14</v>
      </c>
      <c r="D61" s="234"/>
      <c r="E61" s="234"/>
      <c r="F61" s="234"/>
      <c r="G61" s="234"/>
      <c r="H61" s="234"/>
      <c r="I61" s="234"/>
      <c r="J61" s="235"/>
    </row>
    <row r="62" spans="2:10" x14ac:dyDescent="0.35">
      <c r="B62" s="236" t="s">
        <v>175</v>
      </c>
      <c r="C62" s="234"/>
      <c r="D62" s="234"/>
      <c r="E62" s="234"/>
      <c r="F62" s="234"/>
      <c r="G62" s="234"/>
      <c r="H62" s="234"/>
      <c r="I62" s="234"/>
      <c r="J62" s="235"/>
    </row>
    <row r="63" spans="2:10" x14ac:dyDescent="0.35">
      <c r="B63" s="236" t="s">
        <v>174</v>
      </c>
      <c r="C63" s="234"/>
      <c r="D63" s="234"/>
      <c r="E63" s="234"/>
      <c r="F63" s="234"/>
      <c r="G63" s="234"/>
      <c r="H63" s="234"/>
      <c r="I63" s="234"/>
      <c r="J63" s="235"/>
    </row>
    <row r="64" spans="2:10" x14ac:dyDescent="0.35">
      <c r="B64" s="236" t="s">
        <v>176</v>
      </c>
      <c r="C64" s="234"/>
      <c r="D64" s="234"/>
      <c r="E64" s="234"/>
      <c r="F64" s="234"/>
      <c r="G64" s="234"/>
      <c r="H64" s="234"/>
      <c r="I64" s="234"/>
      <c r="J64" s="235"/>
    </row>
    <row r="65" spans="2:10" x14ac:dyDescent="0.35">
      <c r="B65" s="45"/>
      <c r="J65" s="44"/>
    </row>
    <row r="66" spans="2:10" x14ac:dyDescent="0.35">
      <c r="B66" s="45"/>
      <c r="J66" s="44"/>
    </row>
    <row r="67" spans="2:10" x14ac:dyDescent="0.35">
      <c r="B67" s="229" t="s">
        <v>12</v>
      </c>
      <c r="C67" s="219" t="s">
        <v>0</v>
      </c>
      <c r="D67" s="215" t="s">
        <v>54</v>
      </c>
      <c r="F67" s="225" t="s">
        <v>13</v>
      </c>
      <c r="J67" s="44"/>
    </row>
    <row r="68" spans="2:10" x14ac:dyDescent="0.35">
      <c r="B68" s="230">
        <v>1</v>
      </c>
      <c r="C68" s="220">
        <v>36</v>
      </c>
      <c r="D68" s="216">
        <v>2</v>
      </c>
      <c r="F68" s="34"/>
      <c r="J68" s="44"/>
    </row>
    <row r="69" spans="2:10" x14ac:dyDescent="0.35">
      <c r="B69" s="231">
        <v>2</v>
      </c>
      <c r="C69" s="221">
        <v>15</v>
      </c>
      <c r="D69" s="217">
        <v>4</v>
      </c>
      <c r="F69" s="34"/>
      <c r="J69" s="44"/>
    </row>
    <row r="70" spans="2:10" x14ac:dyDescent="0.35">
      <c r="B70" s="231">
        <v>3</v>
      </c>
      <c r="C70" s="221">
        <v>12</v>
      </c>
      <c r="D70" s="217">
        <v>10</v>
      </c>
      <c r="F70" s="34"/>
      <c r="J70" s="44"/>
    </row>
    <row r="71" spans="2:10" x14ac:dyDescent="0.35">
      <c r="B71" s="231">
        <v>4</v>
      </c>
      <c r="C71" s="221">
        <v>0</v>
      </c>
      <c r="D71" s="217">
        <v>5</v>
      </c>
      <c r="F71" s="34"/>
      <c r="J71" s="44"/>
    </row>
    <row r="72" spans="2:10" x14ac:dyDescent="0.35">
      <c r="B72" s="231">
        <v>5</v>
      </c>
      <c r="C72" s="221">
        <v>90</v>
      </c>
      <c r="D72" s="217">
        <v>18.989999999999998</v>
      </c>
      <c r="F72" s="34"/>
      <c r="J72" s="44"/>
    </row>
    <row r="73" spans="2:10" x14ac:dyDescent="0.35">
      <c r="B73" s="231">
        <v>6</v>
      </c>
      <c r="C73" s="221">
        <v>88</v>
      </c>
      <c r="D73" s="217">
        <v>24.95</v>
      </c>
      <c r="F73" s="34"/>
      <c r="J73" s="44"/>
    </row>
    <row r="74" spans="2:10" x14ac:dyDescent="0.35">
      <c r="B74" s="231">
        <v>7</v>
      </c>
      <c r="C74" s="221">
        <v>76</v>
      </c>
      <c r="D74" s="217">
        <v>16.489999999999998</v>
      </c>
      <c r="F74" s="34"/>
      <c r="J74" s="44"/>
    </row>
    <row r="75" spans="2:10" x14ac:dyDescent="0.35">
      <c r="B75" s="231">
        <v>8</v>
      </c>
      <c r="C75" s="221">
        <v>56</v>
      </c>
      <c r="D75" s="217">
        <v>99.95</v>
      </c>
      <c r="F75" s="34"/>
      <c r="J75" s="44"/>
    </row>
    <row r="76" spans="2:10" x14ac:dyDescent="0.35">
      <c r="B76" s="231">
        <v>9</v>
      </c>
      <c r="C76" s="221">
        <v>2</v>
      </c>
      <c r="D76" s="217">
        <v>4.49</v>
      </c>
      <c r="F76" s="34"/>
      <c r="J76" s="44"/>
    </row>
    <row r="77" spans="2:10" x14ac:dyDescent="0.35">
      <c r="B77" s="231">
        <v>10</v>
      </c>
      <c r="C77" s="221">
        <v>12</v>
      </c>
      <c r="D77" s="217">
        <v>10</v>
      </c>
      <c r="F77" s="34"/>
      <c r="J77" s="44"/>
    </row>
    <row r="78" spans="2:10" x14ac:dyDescent="0.35">
      <c r="B78" s="231">
        <v>11</v>
      </c>
      <c r="C78" s="221">
        <v>32</v>
      </c>
      <c r="D78" s="217">
        <v>12.99</v>
      </c>
      <c r="F78" s="34"/>
      <c r="J78" s="44"/>
    </row>
    <row r="79" spans="2:10" x14ac:dyDescent="0.35">
      <c r="B79" s="231">
        <v>12</v>
      </c>
      <c r="C79" s="221">
        <v>5</v>
      </c>
      <c r="D79" s="217">
        <v>13.95</v>
      </c>
      <c r="F79" s="34"/>
      <c r="J79" s="44"/>
    </row>
    <row r="80" spans="2:10" x14ac:dyDescent="0.35">
      <c r="B80" s="232">
        <v>13</v>
      </c>
      <c r="C80" s="222">
        <v>4</v>
      </c>
      <c r="D80" s="218">
        <v>9.9499999999999993</v>
      </c>
      <c r="F80" s="35"/>
      <c r="J80" s="44"/>
    </row>
    <row r="81" spans="2:10" x14ac:dyDescent="0.35">
      <c r="B81" s="45"/>
      <c r="J81" s="44"/>
    </row>
    <row r="82" spans="2:10" x14ac:dyDescent="0.35">
      <c r="B82" s="45"/>
      <c r="J82" s="44"/>
    </row>
    <row r="83" spans="2:10" x14ac:dyDescent="0.35">
      <c r="B83" s="236" t="s">
        <v>177</v>
      </c>
      <c r="C83" s="234"/>
      <c r="D83" s="234"/>
      <c r="E83" s="234"/>
      <c r="F83" s="234"/>
      <c r="G83" s="234"/>
      <c r="H83" s="234"/>
      <c r="I83" s="234"/>
      <c r="J83" s="235"/>
    </row>
    <row r="84" spans="2:10" x14ac:dyDescent="0.35">
      <c r="B84" s="45"/>
      <c r="J84" s="44"/>
    </row>
    <row r="85" spans="2:10" x14ac:dyDescent="0.35">
      <c r="B85" s="229" t="s">
        <v>12</v>
      </c>
      <c r="C85" s="219" t="s">
        <v>0</v>
      </c>
      <c r="D85" s="215" t="s">
        <v>54</v>
      </c>
      <c r="F85" s="225" t="s">
        <v>13</v>
      </c>
      <c r="J85" s="44"/>
    </row>
    <row r="86" spans="2:10" x14ac:dyDescent="0.35">
      <c r="B86" s="230">
        <v>1</v>
      </c>
      <c r="C86" s="220">
        <v>36</v>
      </c>
      <c r="D86" s="216">
        <v>2</v>
      </c>
      <c r="F86" s="34" cm="1">
        <f t="array" ref="F86:F98">anzahl*preis</f>
        <v>72</v>
      </c>
      <c r="J86" s="44"/>
    </row>
    <row r="87" spans="2:10" x14ac:dyDescent="0.35">
      <c r="B87" s="231">
        <v>2</v>
      </c>
      <c r="C87" s="221">
        <v>15</v>
      </c>
      <c r="D87" s="217">
        <v>4</v>
      </c>
      <c r="F87" s="34">
        <v>60</v>
      </c>
      <c r="J87" s="44"/>
    </row>
    <row r="88" spans="2:10" x14ac:dyDescent="0.35">
      <c r="B88" s="231">
        <v>3</v>
      </c>
      <c r="C88" s="221">
        <v>12</v>
      </c>
      <c r="D88" s="217">
        <v>10</v>
      </c>
      <c r="F88" s="34">
        <v>120</v>
      </c>
      <c r="J88" s="44"/>
    </row>
    <row r="89" spans="2:10" x14ac:dyDescent="0.35">
      <c r="B89" s="231">
        <v>4</v>
      </c>
      <c r="C89" s="221">
        <v>0</v>
      </c>
      <c r="D89" s="217">
        <v>5</v>
      </c>
      <c r="F89" s="34">
        <v>0</v>
      </c>
      <c r="J89" s="44"/>
    </row>
    <row r="90" spans="2:10" x14ac:dyDescent="0.35">
      <c r="B90" s="231">
        <v>5</v>
      </c>
      <c r="C90" s="221">
        <v>90</v>
      </c>
      <c r="D90" s="217">
        <v>18.989999999999998</v>
      </c>
      <c r="F90" s="34">
        <v>1709.1</v>
      </c>
      <c r="J90" s="44"/>
    </row>
    <row r="91" spans="2:10" x14ac:dyDescent="0.35">
      <c r="B91" s="231">
        <v>6</v>
      </c>
      <c r="C91" s="221">
        <v>88</v>
      </c>
      <c r="D91" s="217">
        <v>24.95</v>
      </c>
      <c r="F91" s="34">
        <v>2195.6</v>
      </c>
      <c r="J91" s="44"/>
    </row>
    <row r="92" spans="2:10" x14ac:dyDescent="0.35">
      <c r="B92" s="231">
        <v>7</v>
      </c>
      <c r="C92" s="221">
        <v>76</v>
      </c>
      <c r="D92" s="217">
        <v>16.489999999999998</v>
      </c>
      <c r="F92" s="34">
        <v>1253.2399999999998</v>
      </c>
      <c r="J92" s="44"/>
    </row>
    <row r="93" spans="2:10" x14ac:dyDescent="0.35">
      <c r="B93" s="231">
        <v>8</v>
      </c>
      <c r="C93" s="221">
        <v>56</v>
      </c>
      <c r="D93" s="217">
        <v>99.95</v>
      </c>
      <c r="F93" s="34">
        <v>5597.2</v>
      </c>
      <c r="J93" s="44"/>
    </row>
    <row r="94" spans="2:10" x14ac:dyDescent="0.35">
      <c r="B94" s="231">
        <v>9</v>
      </c>
      <c r="C94" s="221">
        <v>2</v>
      </c>
      <c r="D94" s="217">
        <v>4.49</v>
      </c>
      <c r="F94" s="34">
        <v>8.98</v>
      </c>
      <c r="J94" s="44"/>
    </row>
    <row r="95" spans="2:10" x14ac:dyDescent="0.35">
      <c r="B95" s="231">
        <v>10</v>
      </c>
      <c r="C95" s="221">
        <v>12</v>
      </c>
      <c r="D95" s="217">
        <v>10</v>
      </c>
      <c r="F95" s="34">
        <v>120</v>
      </c>
      <c r="J95" s="44"/>
    </row>
    <row r="96" spans="2:10" x14ac:dyDescent="0.35">
      <c r="B96" s="231">
        <v>11</v>
      </c>
      <c r="C96" s="221">
        <v>32</v>
      </c>
      <c r="D96" s="217">
        <v>12.99</v>
      </c>
      <c r="F96" s="34">
        <v>415.68</v>
      </c>
      <c r="J96" s="44"/>
    </row>
    <row r="97" spans="2:10" x14ac:dyDescent="0.35">
      <c r="B97" s="231">
        <v>12</v>
      </c>
      <c r="C97" s="221">
        <v>5</v>
      </c>
      <c r="D97" s="217">
        <v>13.95</v>
      </c>
      <c r="F97" s="34">
        <v>69.75</v>
      </c>
      <c r="J97" s="44"/>
    </row>
    <row r="98" spans="2:10" x14ac:dyDescent="0.35">
      <c r="B98" s="232">
        <v>13</v>
      </c>
      <c r="C98" s="222">
        <v>4</v>
      </c>
      <c r="D98" s="218">
        <v>9.9499999999999993</v>
      </c>
      <c r="F98" s="35">
        <v>39.799999999999997</v>
      </c>
      <c r="J98" s="44"/>
    </row>
    <row r="99" spans="2:10" x14ac:dyDescent="0.35">
      <c r="B99" s="45"/>
      <c r="J99" s="44"/>
    </row>
    <row r="100" spans="2:10" x14ac:dyDescent="0.35">
      <c r="B100" s="45"/>
      <c r="J100" s="44"/>
    </row>
    <row r="101" spans="2:10" x14ac:dyDescent="0.35">
      <c r="B101" s="45"/>
      <c r="J101" s="44"/>
    </row>
    <row r="102" spans="2:10" x14ac:dyDescent="0.35">
      <c r="B102" s="76" t="s">
        <v>170</v>
      </c>
      <c r="C102" s="6"/>
      <c r="D102" s="6"/>
      <c r="E102" s="6"/>
      <c r="F102" s="6"/>
      <c r="G102" s="6"/>
      <c r="H102" s="6"/>
      <c r="I102" s="6"/>
      <c r="J102" s="75"/>
    </row>
    <row r="103" spans="2:10" x14ac:dyDescent="0.35">
      <c r="B103" s="79" t="s">
        <v>171</v>
      </c>
      <c r="C103" s="73"/>
      <c r="D103" s="73"/>
      <c r="E103" s="73"/>
      <c r="F103" s="73"/>
      <c r="G103" s="73"/>
      <c r="H103" s="73"/>
      <c r="I103" s="73"/>
      <c r="J103" s="74"/>
    </row>
    <row r="104" spans="2:10" x14ac:dyDescent="0.35">
      <c r="B104" s="45"/>
      <c r="J104" s="44"/>
    </row>
    <row r="105" spans="2:10" x14ac:dyDescent="0.35">
      <c r="B105" s="237" t="s">
        <v>23</v>
      </c>
      <c r="C105" s="225" t="s">
        <v>24</v>
      </c>
      <c r="D105" s="225" t="s">
        <v>25</v>
      </c>
      <c r="E105" s="227" t="s">
        <v>26</v>
      </c>
      <c r="J105" s="44"/>
    </row>
    <row r="106" spans="2:10" x14ac:dyDescent="0.35">
      <c r="B106" s="43" t="s">
        <v>27</v>
      </c>
      <c r="C106" s="221">
        <v>30</v>
      </c>
      <c r="D106" s="221">
        <v>140</v>
      </c>
      <c r="E106" s="37">
        <v>950</v>
      </c>
      <c r="J106" s="44"/>
    </row>
    <row r="107" spans="2:10" x14ac:dyDescent="0.35">
      <c r="B107" s="238" t="s">
        <v>0</v>
      </c>
      <c r="C107" s="222">
        <v>10</v>
      </c>
      <c r="D107" s="222">
        <v>5</v>
      </c>
      <c r="E107" s="40">
        <v>1</v>
      </c>
      <c r="J107" s="44"/>
    </row>
    <row r="108" spans="2:10" x14ac:dyDescent="0.35">
      <c r="B108" s="45"/>
      <c r="J108" s="44"/>
    </row>
    <row r="109" spans="2:10" x14ac:dyDescent="0.35">
      <c r="B109" s="45"/>
      <c r="J109" s="44"/>
    </row>
    <row r="110" spans="2:10" x14ac:dyDescent="0.35">
      <c r="B110" s="237" t="s">
        <v>28</v>
      </c>
      <c r="C110" s="226">
        <f t="array" ref="C110">SUM(C106:E106*C107:E107)</f>
        <v>1950</v>
      </c>
      <c r="D110" s="1">
        <f>SUMPRODUCT(C107:E107,C106:E106)</f>
        <v>1950</v>
      </c>
      <c r="J110" s="44"/>
    </row>
    <row r="111" spans="2:10" ht="16" thickBot="1" x14ac:dyDescent="0.4">
      <c r="B111" s="46"/>
      <c r="C111" s="47"/>
      <c r="D111" s="47"/>
      <c r="E111" s="47"/>
      <c r="F111" s="47"/>
      <c r="G111" s="47"/>
      <c r="H111" s="47"/>
      <c r="I111" s="47"/>
      <c r="J111" s="48"/>
    </row>
  </sheetData>
  <mergeCells count="3">
    <mergeCell ref="E28:F28"/>
    <mergeCell ref="B26:C26"/>
    <mergeCell ref="B39:J39"/>
  </mergeCells>
  <phoneticPr fontId="1" type="noConversion"/>
  <pageMargins left="0.78740157499999996" right="0.78740157499999996" top="0.984251969" bottom="0.984251969" header="0.4921259845" footer="0.4921259845"/>
  <pageSetup paperSize="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L58"/>
  <sheetViews>
    <sheetView topLeftCell="A15" zoomScale="80" zoomScaleNormal="80" workbookViewId="0">
      <selection activeCell="G58" sqref="G58"/>
    </sheetView>
  </sheetViews>
  <sheetFormatPr baseColWidth="10" defaultColWidth="11.453125" defaultRowHeight="15.5" x14ac:dyDescent="0.35"/>
  <cols>
    <col min="1" max="1" width="0.7265625" style="82" customWidth="1"/>
    <col min="2" max="2" width="18.54296875" style="82" customWidth="1"/>
    <col min="3" max="5" width="12.7265625" style="82" customWidth="1"/>
    <col min="6" max="6" width="12.1796875" style="82" bestFit="1" customWidth="1"/>
    <col min="7" max="7" width="11.453125" style="82"/>
    <col min="8" max="10" width="14.26953125" style="82" customWidth="1"/>
    <col min="11" max="11" width="11.453125" style="82"/>
    <col min="12" max="12" width="13.26953125" style="82" bestFit="1" customWidth="1"/>
    <col min="13" max="16384" width="11.453125" style="82"/>
  </cols>
  <sheetData>
    <row r="2" spans="2:10" ht="20" x14ac:dyDescent="0.4">
      <c r="B2" s="26" t="s">
        <v>178</v>
      </c>
      <c r="C2" s="107"/>
      <c r="D2" s="107"/>
    </row>
    <row r="4" spans="2:10" x14ac:dyDescent="0.35">
      <c r="B4" s="146" t="s">
        <v>179</v>
      </c>
      <c r="C4" s="146"/>
      <c r="D4" s="146"/>
      <c r="E4" s="146"/>
      <c r="F4" s="146"/>
      <c r="G4" s="146"/>
      <c r="H4" s="146"/>
      <c r="I4" s="146"/>
      <c r="J4" s="146"/>
    </row>
    <row r="5" spans="2:10" ht="16" thickBot="1" x14ac:dyDescent="0.4"/>
    <row r="6" spans="2:10" x14ac:dyDescent="0.35">
      <c r="B6" s="83"/>
      <c r="C6" s="84"/>
      <c r="D6" s="84"/>
      <c r="E6" s="84"/>
      <c r="F6" s="84"/>
      <c r="G6" s="84"/>
      <c r="H6" s="84"/>
      <c r="I6" s="84"/>
      <c r="J6" s="85"/>
    </row>
    <row r="7" spans="2:10" x14ac:dyDescent="0.35">
      <c r="B7" s="117" t="s">
        <v>57</v>
      </c>
      <c r="C7" s="118"/>
      <c r="D7" s="118"/>
      <c r="E7" s="118"/>
      <c r="F7" s="118"/>
      <c r="G7" s="118"/>
      <c r="H7" s="118"/>
      <c r="I7" s="118"/>
      <c r="J7" s="119"/>
    </row>
    <row r="8" spans="2:10" x14ac:dyDescent="0.35">
      <c r="B8" s="114" t="s">
        <v>56</v>
      </c>
      <c r="C8" s="115"/>
      <c r="D8" s="115"/>
      <c r="E8" s="115"/>
      <c r="F8" s="115"/>
      <c r="G8" s="115"/>
      <c r="H8" s="115"/>
      <c r="I8" s="115"/>
      <c r="J8" s="116"/>
    </row>
    <row r="9" spans="2:10" x14ac:dyDescent="0.35">
      <c r="B9" s="86"/>
      <c r="J9" s="88"/>
    </row>
    <row r="10" spans="2:10" x14ac:dyDescent="0.35">
      <c r="B10" s="248" t="s">
        <v>55</v>
      </c>
      <c r="C10" s="244" t="s">
        <v>0</v>
      </c>
      <c r="D10" s="244" t="s">
        <v>54</v>
      </c>
      <c r="E10" s="134" t="s">
        <v>53</v>
      </c>
      <c r="J10" s="88"/>
    </row>
    <row r="11" spans="2:10" x14ac:dyDescent="0.35">
      <c r="B11" s="86" t="s">
        <v>52</v>
      </c>
      <c r="C11" s="242">
        <v>200</v>
      </c>
      <c r="D11" s="242">
        <v>0.05</v>
      </c>
      <c r="E11" s="138">
        <f>C11*D11</f>
        <v>10</v>
      </c>
      <c r="J11" s="88"/>
    </row>
    <row r="12" spans="2:10" x14ac:dyDescent="0.35">
      <c r="B12" s="86" t="s">
        <v>51</v>
      </c>
      <c r="C12" s="242">
        <v>44</v>
      </c>
      <c r="D12" s="242">
        <v>0.2</v>
      </c>
      <c r="E12" s="138">
        <f t="shared" ref="E12:E17" si="0">C12*D12</f>
        <v>8.8000000000000007</v>
      </c>
      <c r="J12" s="88"/>
    </row>
    <row r="13" spans="2:10" x14ac:dyDescent="0.35">
      <c r="B13" s="86" t="s">
        <v>50</v>
      </c>
      <c r="C13" s="242">
        <v>12</v>
      </c>
      <c r="D13" s="242">
        <v>0.5</v>
      </c>
      <c r="E13" s="138">
        <f t="shared" si="0"/>
        <v>6</v>
      </c>
      <c r="J13" s="88"/>
    </row>
    <row r="14" spans="2:10" x14ac:dyDescent="0.35">
      <c r="B14" s="86" t="s">
        <v>49</v>
      </c>
      <c r="C14" s="242">
        <v>20</v>
      </c>
      <c r="D14" s="242">
        <v>1</v>
      </c>
      <c r="E14" s="138">
        <f t="shared" si="0"/>
        <v>20</v>
      </c>
      <c r="J14" s="88"/>
    </row>
    <row r="15" spans="2:10" x14ac:dyDescent="0.35">
      <c r="B15" s="86" t="s">
        <v>48</v>
      </c>
      <c r="C15" s="242">
        <v>18</v>
      </c>
      <c r="D15" s="242">
        <v>1.9</v>
      </c>
      <c r="E15" s="138">
        <f t="shared" si="0"/>
        <v>34.199999999999996</v>
      </c>
      <c r="J15" s="88"/>
    </row>
    <row r="16" spans="2:10" x14ac:dyDescent="0.35">
      <c r="B16" s="86" t="s">
        <v>47</v>
      </c>
      <c r="C16" s="242">
        <v>30</v>
      </c>
      <c r="D16" s="242">
        <v>3.95</v>
      </c>
      <c r="E16" s="138">
        <f t="shared" si="0"/>
        <v>118.5</v>
      </c>
      <c r="J16" s="88"/>
    </row>
    <row r="17" spans="2:10" x14ac:dyDescent="0.35">
      <c r="B17" s="109" t="s">
        <v>46</v>
      </c>
      <c r="C17" s="243">
        <v>5</v>
      </c>
      <c r="D17" s="243">
        <v>2</v>
      </c>
      <c r="E17" s="139">
        <f t="shared" si="0"/>
        <v>10</v>
      </c>
      <c r="J17" s="88"/>
    </row>
    <row r="18" spans="2:10" x14ac:dyDescent="0.35">
      <c r="B18" s="86"/>
      <c r="J18" s="88"/>
    </row>
    <row r="19" spans="2:10" x14ac:dyDescent="0.35">
      <c r="B19" s="86" t="s">
        <v>29</v>
      </c>
      <c r="G19" s="247" t="s">
        <v>215</v>
      </c>
      <c r="J19" s="88"/>
    </row>
    <row r="20" spans="2:10" x14ac:dyDescent="0.35">
      <c r="B20" s="86"/>
      <c r="J20" s="88"/>
    </row>
    <row r="21" spans="2:10" x14ac:dyDescent="0.35">
      <c r="B21" s="86"/>
      <c r="J21" s="88"/>
    </row>
    <row r="22" spans="2:10" x14ac:dyDescent="0.35">
      <c r="B22" s="117" t="s">
        <v>45</v>
      </c>
      <c r="C22" s="118"/>
      <c r="D22" s="118"/>
      <c r="E22" s="118"/>
      <c r="F22" s="118"/>
      <c r="G22" s="118"/>
      <c r="H22" s="118"/>
      <c r="I22" s="118"/>
      <c r="J22" s="119"/>
    </row>
    <row r="23" spans="2:10" x14ac:dyDescent="0.35">
      <c r="B23" s="114" t="s">
        <v>58</v>
      </c>
      <c r="C23" s="115"/>
      <c r="D23" s="115"/>
      <c r="E23" s="115"/>
      <c r="F23" s="115"/>
      <c r="G23" s="115"/>
      <c r="H23" s="115"/>
      <c r="I23" s="115"/>
      <c r="J23" s="116"/>
    </row>
    <row r="24" spans="2:10" x14ac:dyDescent="0.35">
      <c r="B24" s="86"/>
      <c r="J24" s="88"/>
    </row>
    <row r="25" spans="2:10" x14ac:dyDescent="0.35">
      <c r="B25" s="86" t="s">
        <v>44</v>
      </c>
      <c r="F25" s="82" t="s">
        <v>188</v>
      </c>
      <c r="J25" s="88"/>
    </row>
    <row r="26" spans="2:10" x14ac:dyDescent="0.35">
      <c r="B26" s="249" t="s">
        <v>30</v>
      </c>
      <c r="C26" s="241" t="s">
        <v>43</v>
      </c>
      <c r="D26" s="240" t="s">
        <v>13</v>
      </c>
      <c r="F26" s="82" t="s">
        <v>42</v>
      </c>
      <c r="J26" s="88"/>
    </row>
    <row r="27" spans="2:10" x14ac:dyDescent="0.35">
      <c r="B27" s="250" t="s">
        <v>180</v>
      </c>
      <c r="C27" s="242">
        <v>200</v>
      </c>
      <c r="D27" s="138">
        <f>C27*$I$29</f>
        <v>700</v>
      </c>
      <c r="F27" s="82" t="s">
        <v>39</v>
      </c>
      <c r="I27" s="82">
        <v>90570</v>
      </c>
      <c r="J27" s="88"/>
    </row>
    <row r="28" spans="2:10" x14ac:dyDescent="0.35">
      <c r="B28" s="250" t="s">
        <v>181</v>
      </c>
      <c r="C28" s="242">
        <v>180</v>
      </c>
      <c r="D28" s="138">
        <f t="shared" ref="D28:D33" si="1">C28*$I$29</f>
        <v>630</v>
      </c>
      <c r="F28" s="82" t="s">
        <v>40</v>
      </c>
      <c r="I28" s="82">
        <v>900</v>
      </c>
      <c r="J28" s="88"/>
    </row>
    <row r="29" spans="2:10" x14ac:dyDescent="0.35">
      <c r="B29" s="250" t="s">
        <v>182</v>
      </c>
      <c r="C29" s="242">
        <v>150</v>
      </c>
      <c r="D29" s="138">
        <f t="shared" si="1"/>
        <v>525</v>
      </c>
      <c r="F29" s="82" t="s">
        <v>41</v>
      </c>
      <c r="I29" s="82">
        <v>3.5</v>
      </c>
      <c r="J29" s="88"/>
    </row>
    <row r="30" spans="2:10" x14ac:dyDescent="0.35">
      <c r="B30" s="250" t="s">
        <v>183</v>
      </c>
      <c r="C30" s="242">
        <v>170</v>
      </c>
      <c r="D30" s="138">
        <f t="shared" si="1"/>
        <v>595</v>
      </c>
      <c r="F30" s="82" t="s">
        <v>38</v>
      </c>
      <c r="I30" s="82">
        <v>2500</v>
      </c>
      <c r="J30" s="88"/>
    </row>
    <row r="31" spans="2:10" x14ac:dyDescent="0.35">
      <c r="B31" s="250" t="s">
        <v>184</v>
      </c>
      <c r="C31" s="242">
        <v>220</v>
      </c>
      <c r="D31" s="138">
        <f t="shared" si="1"/>
        <v>770</v>
      </c>
      <c r="F31" s="82" t="s">
        <v>209</v>
      </c>
      <c r="I31" s="239">
        <v>45000000</v>
      </c>
      <c r="J31" s="88"/>
    </row>
    <row r="32" spans="2:10" x14ac:dyDescent="0.35">
      <c r="B32" s="250" t="s">
        <v>185</v>
      </c>
      <c r="C32" s="242">
        <v>140</v>
      </c>
      <c r="D32" s="138">
        <f t="shared" si="1"/>
        <v>490</v>
      </c>
      <c r="F32" s="82" t="s">
        <v>37</v>
      </c>
      <c r="J32" s="88"/>
    </row>
    <row r="33" spans="2:10" x14ac:dyDescent="0.35">
      <c r="B33" s="251" t="s">
        <v>186</v>
      </c>
      <c r="C33" s="243">
        <v>60</v>
      </c>
      <c r="D33" s="139">
        <f t="shared" si="1"/>
        <v>210</v>
      </c>
      <c r="F33" s="82" t="s">
        <v>36</v>
      </c>
      <c r="J33" s="88"/>
    </row>
    <row r="34" spans="2:10" x14ac:dyDescent="0.35">
      <c r="B34" s="86"/>
      <c r="J34" s="88"/>
    </row>
    <row r="35" spans="2:10" x14ac:dyDescent="0.35">
      <c r="B35" s="86"/>
      <c r="J35" s="88"/>
    </row>
    <row r="36" spans="2:10" x14ac:dyDescent="0.35">
      <c r="B36" s="86"/>
      <c r="J36" s="88"/>
    </row>
    <row r="37" spans="2:10" x14ac:dyDescent="0.35">
      <c r="B37" s="86" t="s">
        <v>59</v>
      </c>
      <c r="G37" s="247" t="s">
        <v>216</v>
      </c>
      <c r="J37" s="88"/>
    </row>
    <row r="38" spans="2:10" x14ac:dyDescent="0.35">
      <c r="B38" s="86"/>
      <c r="J38" s="88"/>
    </row>
    <row r="39" spans="2:10" x14ac:dyDescent="0.35">
      <c r="B39" s="86"/>
      <c r="J39" s="88"/>
    </row>
    <row r="40" spans="2:10" x14ac:dyDescent="0.35">
      <c r="B40" s="86"/>
      <c r="J40" s="88"/>
    </row>
    <row r="41" spans="2:10" x14ac:dyDescent="0.35">
      <c r="B41" s="117" t="s">
        <v>35</v>
      </c>
      <c r="C41" s="118"/>
      <c r="D41" s="118"/>
      <c r="E41" s="118"/>
      <c r="F41" s="118"/>
      <c r="G41" s="118"/>
      <c r="H41" s="118"/>
      <c r="I41" s="118"/>
      <c r="J41" s="119"/>
    </row>
    <row r="42" spans="2:10" x14ac:dyDescent="0.35">
      <c r="B42" s="114" t="s">
        <v>34</v>
      </c>
      <c r="C42" s="115"/>
      <c r="D42" s="115"/>
      <c r="E42" s="115"/>
      <c r="F42" s="115"/>
      <c r="G42" s="115"/>
      <c r="H42" s="115"/>
      <c r="I42" s="115"/>
      <c r="J42" s="116"/>
    </row>
    <row r="43" spans="2:10" x14ac:dyDescent="0.35">
      <c r="B43" s="86"/>
      <c r="G43" s="82" t="s">
        <v>187</v>
      </c>
      <c r="I43" s="246">
        <v>4</v>
      </c>
      <c r="J43" s="88"/>
    </row>
    <row r="44" spans="2:10" x14ac:dyDescent="0.35">
      <c r="B44" s="86" t="s">
        <v>33</v>
      </c>
      <c r="J44" s="88"/>
    </row>
    <row r="45" spans="2:10" x14ac:dyDescent="0.35">
      <c r="B45" s="252"/>
      <c r="C45" s="108" t="s">
        <v>31</v>
      </c>
      <c r="D45" s="92"/>
      <c r="E45" s="93"/>
      <c r="G45" s="245" t="s">
        <v>32</v>
      </c>
      <c r="H45" s="92" t="s">
        <v>31</v>
      </c>
      <c r="I45" s="92"/>
      <c r="J45" s="253"/>
    </row>
    <row r="46" spans="2:10" x14ac:dyDescent="0.35">
      <c r="B46" s="109" t="s">
        <v>30</v>
      </c>
      <c r="C46" s="96">
        <v>2005</v>
      </c>
      <c r="D46" s="97">
        <v>2006</v>
      </c>
      <c r="E46" s="99">
        <v>2007</v>
      </c>
      <c r="G46" s="243" t="s">
        <v>30</v>
      </c>
      <c r="H46" s="97">
        <v>2005</v>
      </c>
      <c r="I46" s="97">
        <v>2006</v>
      </c>
      <c r="J46" s="254">
        <v>2007</v>
      </c>
    </row>
    <row r="47" spans="2:10" x14ac:dyDescent="0.35">
      <c r="B47" s="250" t="s">
        <v>180</v>
      </c>
      <c r="C47" s="94">
        <v>205</v>
      </c>
      <c r="D47" s="82">
        <v>253</v>
      </c>
      <c r="E47" s="95">
        <v>286</v>
      </c>
      <c r="G47" s="242" t="s">
        <v>180</v>
      </c>
      <c r="H47" s="324" cm="1">
        <f t="array" ref="H47:J53">C47:E53*I43</f>
        <v>820</v>
      </c>
      <c r="I47" s="324">
        <v>1012</v>
      </c>
      <c r="J47" s="325">
        <v>1144</v>
      </c>
    </row>
    <row r="48" spans="2:10" x14ac:dyDescent="0.35">
      <c r="B48" s="250" t="s">
        <v>181</v>
      </c>
      <c r="C48" s="94">
        <v>175</v>
      </c>
      <c r="D48" s="82">
        <v>110</v>
      </c>
      <c r="E48" s="95">
        <v>42</v>
      </c>
      <c r="G48" s="242" t="s">
        <v>181</v>
      </c>
      <c r="H48" s="324">
        <v>700</v>
      </c>
      <c r="I48" s="324">
        <v>440</v>
      </c>
      <c r="J48" s="325">
        <v>168</v>
      </c>
    </row>
    <row r="49" spans="2:12" x14ac:dyDescent="0.35">
      <c r="B49" s="250" t="s">
        <v>182</v>
      </c>
      <c r="C49" s="94">
        <v>264</v>
      </c>
      <c r="D49" s="82">
        <v>278</v>
      </c>
      <c r="E49" s="95">
        <v>150</v>
      </c>
      <c r="G49" s="242" t="s">
        <v>182</v>
      </c>
      <c r="H49" s="324">
        <v>1056</v>
      </c>
      <c r="I49" s="324">
        <v>1112</v>
      </c>
      <c r="J49" s="325">
        <v>600</v>
      </c>
    </row>
    <row r="50" spans="2:12" x14ac:dyDescent="0.35">
      <c r="B50" s="250" t="s">
        <v>183</v>
      </c>
      <c r="C50" s="94">
        <v>183</v>
      </c>
      <c r="D50" s="82">
        <v>177</v>
      </c>
      <c r="E50" s="95">
        <v>116</v>
      </c>
      <c r="G50" s="242" t="s">
        <v>183</v>
      </c>
      <c r="H50" s="324">
        <v>732</v>
      </c>
      <c r="I50" s="324">
        <v>708</v>
      </c>
      <c r="J50" s="325">
        <v>464</v>
      </c>
    </row>
    <row r="51" spans="2:12" x14ac:dyDescent="0.35">
      <c r="B51" s="250" t="s">
        <v>184</v>
      </c>
      <c r="C51" s="94">
        <v>190</v>
      </c>
      <c r="D51" s="82">
        <v>55</v>
      </c>
      <c r="E51" s="95">
        <v>201</v>
      </c>
      <c r="G51" s="242" t="s">
        <v>184</v>
      </c>
      <c r="H51" s="324">
        <v>760</v>
      </c>
      <c r="I51" s="324">
        <v>220</v>
      </c>
      <c r="J51" s="325">
        <v>804</v>
      </c>
      <c r="L51" s="239"/>
    </row>
    <row r="52" spans="2:12" x14ac:dyDescent="0.35">
      <c r="B52" s="250" t="s">
        <v>185</v>
      </c>
      <c r="C52" s="94">
        <v>225</v>
      </c>
      <c r="D52" s="82">
        <v>237</v>
      </c>
      <c r="E52" s="95">
        <v>146</v>
      </c>
      <c r="G52" s="242" t="s">
        <v>185</v>
      </c>
      <c r="H52" s="324">
        <v>900</v>
      </c>
      <c r="I52" s="324">
        <v>948</v>
      </c>
      <c r="J52" s="325">
        <v>584</v>
      </c>
    </row>
    <row r="53" spans="2:12" x14ac:dyDescent="0.35">
      <c r="B53" s="251" t="s">
        <v>186</v>
      </c>
      <c r="C53" s="96">
        <v>265</v>
      </c>
      <c r="D53" s="97">
        <v>291</v>
      </c>
      <c r="E53" s="99">
        <v>286</v>
      </c>
      <c r="G53" s="243" t="s">
        <v>186</v>
      </c>
      <c r="H53" s="326">
        <v>1060</v>
      </c>
      <c r="I53" s="326">
        <v>1164</v>
      </c>
      <c r="J53" s="327">
        <v>1144</v>
      </c>
    </row>
    <row r="54" spans="2:12" x14ac:dyDescent="0.35">
      <c r="B54" s="86"/>
      <c r="J54" s="88"/>
    </row>
    <row r="55" spans="2:12" x14ac:dyDescent="0.35">
      <c r="B55" s="86"/>
      <c r="J55" s="88"/>
    </row>
    <row r="56" spans="2:12" x14ac:dyDescent="0.35">
      <c r="B56" s="86"/>
      <c r="J56" s="88"/>
    </row>
    <row r="57" spans="2:12" x14ac:dyDescent="0.35">
      <c r="B57" s="86" t="s">
        <v>29</v>
      </c>
      <c r="G57" s="247" t="s">
        <v>217</v>
      </c>
      <c r="J57" s="88"/>
    </row>
    <row r="58" spans="2:12" ht="16" thickBot="1" x14ac:dyDescent="0.4">
      <c r="B58" s="89"/>
      <c r="C58" s="90"/>
      <c r="D58" s="90"/>
      <c r="E58" s="90"/>
      <c r="F58" s="90"/>
      <c r="G58" s="90"/>
      <c r="H58" s="90"/>
      <c r="I58" s="90"/>
      <c r="J58" s="91"/>
    </row>
  </sheetData>
  <phoneticPr fontId="10" type="noConversion"/>
  <pageMargins left="0.78740157499999996" right="0.78740157499999996" top="0.984251969" bottom="0.984251969" header="0.4921259845" footer="0.4921259845"/>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N39"/>
  <sheetViews>
    <sheetView zoomScale="80" zoomScaleNormal="80" workbookViewId="0">
      <selection activeCell="N40" sqref="N40"/>
    </sheetView>
  </sheetViews>
  <sheetFormatPr baseColWidth="10" defaultColWidth="11.54296875" defaultRowHeight="15.5" x14ac:dyDescent="0.35"/>
  <cols>
    <col min="1" max="1" width="0.54296875" style="1" customWidth="1"/>
    <col min="2" max="14" width="9.7265625" style="1" customWidth="1"/>
    <col min="15" max="16384" width="11.54296875" style="1"/>
  </cols>
  <sheetData>
    <row r="2" spans="2:13" ht="20" x14ac:dyDescent="0.4">
      <c r="B2" s="26" t="s">
        <v>189</v>
      </c>
      <c r="C2" s="27"/>
      <c r="D2" s="27"/>
    </row>
    <row r="3" spans="2:13" x14ac:dyDescent="0.35">
      <c r="B3" s="255"/>
    </row>
    <row r="4" spans="2:13" ht="51" customHeight="1" x14ac:dyDescent="0.35">
      <c r="B4" s="319" t="s">
        <v>213</v>
      </c>
      <c r="C4" s="319"/>
      <c r="D4" s="319"/>
      <c r="E4" s="319"/>
      <c r="F4" s="319"/>
      <c r="G4" s="319"/>
      <c r="H4" s="319"/>
      <c r="I4" s="319"/>
      <c r="J4" s="319"/>
      <c r="K4" s="319"/>
      <c r="L4" s="319"/>
      <c r="M4" s="319"/>
    </row>
    <row r="5" spans="2:13" ht="20.25" customHeight="1" thickBot="1" x14ac:dyDescent="0.4"/>
    <row r="6" spans="2:13" ht="16" thickBot="1" x14ac:dyDescent="0.4">
      <c r="B6" s="256"/>
      <c r="C6" s="257"/>
      <c r="D6" s="258">
        <v>1</v>
      </c>
      <c r="E6" s="258">
        <f t="shared" ref="E6:M6" si="0">D6+1</f>
        <v>2</v>
      </c>
      <c r="F6" s="258">
        <f t="shared" si="0"/>
        <v>3</v>
      </c>
      <c r="G6" s="258">
        <f t="shared" si="0"/>
        <v>4</v>
      </c>
      <c r="H6" s="258">
        <f t="shared" si="0"/>
        <v>5</v>
      </c>
      <c r="I6" s="258">
        <f t="shared" si="0"/>
        <v>6</v>
      </c>
      <c r="J6" s="258">
        <f t="shared" si="0"/>
        <v>7</v>
      </c>
      <c r="K6" s="258">
        <f t="shared" si="0"/>
        <v>8</v>
      </c>
      <c r="L6" s="258">
        <f t="shared" si="0"/>
        <v>9</v>
      </c>
      <c r="M6" s="259">
        <f t="shared" si="0"/>
        <v>10</v>
      </c>
    </row>
    <row r="7" spans="2:13" x14ac:dyDescent="0.35">
      <c r="B7" s="209"/>
      <c r="M7" s="44"/>
    </row>
    <row r="8" spans="2:13" x14ac:dyDescent="0.35">
      <c r="B8" s="260">
        <v>1</v>
      </c>
      <c r="D8" s="261">
        <f>D$6*$B8</f>
        <v>1</v>
      </c>
      <c r="E8" s="261">
        <f t="shared" ref="E8:M17" si="1">E$6*$B8</f>
        <v>2</v>
      </c>
      <c r="F8" s="261">
        <f t="shared" si="1"/>
        <v>3</v>
      </c>
      <c r="G8" s="261">
        <f t="shared" si="1"/>
        <v>4</v>
      </c>
      <c r="H8" s="261">
        <f t="shared" si="1"/>
        <v>5</v>
      </c>
      <c r="I8" s="261">
        <f t="shared" si="1"/>
        <v>6</v>
      </c>
      <c r="J8" s="261">
        <f t="shared" si="1"/>
        <v>7</v>
      </c>
      <c r="K8" s="261">
        <f t="shared" si="1"/>
        <v>8</v>
      </c>
      <c r="L8" s="261">
        <f t="shared" si="1"/>
        <v>9</v>
      </c>
      <c r="M8" s="261">
        <f t="shared" si="1"/>
        <v>10</v>
      </c>
    </row>
    <row r="9" spans="2:13" x14ac:dyDescent="0.35">
      <c r="B9" s="260">
        <f t="shared" ref="B9:B17" si="2">B8+1</f>
        <v>2</v>
      </c>
      <c r="D9" s="261">
        <f t="shared" ref="D9:D17" si="3">D$6*$B9</f>
        <v>2</v>
      </c>
      <c r="E9" s="261">
        <f t="shared" si="1"/>
        <v>4</v>
      </c>
      <c r="F9" s="261">
        <f t="shared" si="1"/>
        <v>6</v>
      </c>
      <c r="G9" s="261">
        <f t="shared" si="1"/>
        <v>8</v>
      </c>
      <c r="H9" s="261">
        <f t="shared" si="1"/>
        <v>10</v>
      </c>
      <c r="I9" s="261">
        <f t="shared" si="1"/>
        <v>12</v>
      </c>
      <c r="J9" s="261">
        <f t="shared" si="1"/>
        <v>14</v>
      </c>
      <c r="K9" s="261">
        <f t="shared" si="1"/>
        <v>16</v>
      </c>
      <c r="L9" s="261">
        <f t="shared" si="1"/>
        <v>18</v>
      </c>
      <c r="M9" s="261">
        <f t="shared" si="1"/>
        <v>20</v>
      </c>
    </row>
    <row r="10" spans="2:13" x14ac:dyDescent="0.35">
      <c r="B10" s="260">
        <f t="shared" si="2"/>
        <v>3</v>
      </c>
      <c r="D10" s="261">
        <f t="shared" si="3"/>
        <v>3</v>
      </c>
      <c r="E10" s="261">
        <f t="shared" si="1"/>
        <v>6</v>
      </c>
      <c r="F10" s="261">
        <f t="shared" si="1"/>
        <v>9</v>
      </c>
      <c r="G10" s="261">
        <f t="shared" si="1"/>
        <v>12</v>
      </c>
      <c r="H10" s="261">
        <f t="shared" si="1"/>
        <v>15</v>
      </c>
      <c r="I10" s="261">
        <f t="shared" si="1"/>
        <v>18</v>
      </c>
      <c r="J10" s="261">
        <f t="shared" si="1"/>
        <v>21</v>
      </c>
      <c r="K10" s="261">
        <f t="shared" si="1"/>
        <v>24</v>
      </c>
      <c r="L10" s="261">
        <f t="shared" si="1"/>
        <v>27</v>
      </c>
      <c r="M10" s="261">
        <f t="shared" si="1"/>
        <v>30</v>
      </c>
    </row>
    <row r="11" spans="2:13" x14ac:dyDescent="0.35">
      <c r="B11" s="260">
        <f t="shared" si="2"/>
        <v>4</v>
      </c>
      <c r="D11" s="261">
        <f t="shared" si="3"/>
        <v>4</v>
      </c>
      <c r="E11" s="261">
        <f t="shared" si="1"/>
        <v>8</v>
      </c>
      <c r="F11" s="261">
        <f t="shared" si="1"/>
        <v>12</v>
      </c>
      <c r="G11" s="261">
        <f t="shared" si="1"/>
        <v>16</v>
      </c>
      <c r="H11" s="261">
        <f t="shared" si="1"/>
        <v>20</v>
      </c>
      <c r="I11" s="261">
        <f t="shared" si="1"/>
        <v>24</v>
      </c>
      <c r="J11" s="261">
        <f t="shared" si="1"/>
        <v>28</v>
      </c>
      <c r="K11" s="261">
        <f t="shared" si="1"/>
        <v>32</v>
      </c>
      <c r="L11" s="261">
        <f t="shared" si="1"/>
        <v>36</v>
      </c>
      <c r="M11" s="261">
        <f t="shared" si="1"/>
        <v>40</v>
      </c>
    </row>
    <row r="12" spans="2:13" x14ac:dyDescent="0.35">
      <c r="B12" s="260">
        <f t="shared" si="2"/>
        <v>5</v>
      </c>
      <c r="D12" s="261">
        <f t="shared" si="3"/>
        <v>5</v>
      </c>
      <c r="E12" s="261">
        <f t="shared" si="1"/>
        <v>10</v>
      </c>
      <c r="F12" s="261">
        <f t="shared" si="1"/>
        <v>15</v>
      </c>
      <c r="G12" s="261">
        <f t="shared" si="1"/>
        <v>20</v>
      </c>
      <c r="H12" s="261">
        <f t="shared" si="1"/>
        <v>25</v>
      </c>
      <c r="I12" s="261">
        <f t="shared" si="1"/>
        <v>30</v>
      </c>
      <c r="J12" s="261">
        <f t="shared" si="1"/>
        <v>35</v>
      </c>
      <c r="K12" s="261">
        <f t="shared" si="1"/>
        <v>40</v>
      </c>
      <c r="L12" s="261">
        <f t="shared" si="1"/>
        <v>45</v>
      </c>
      <c r="M12" s="261">
        <f t="shared" si="1"/>
        <v>50</v>
      </c>
    </row>
    <row r="13" spans="2:13" x14ac:dyDescent="0.35">
      <c r="B13" s="260">
        <f t="shared" si="2"/>
        <v>6</v>
      </c>
      <c r="D13" s="261">
        <f t="shared" si="3"/>
        <v>6</v>
      </c>
      <c r="E13" s="261">
        <f t="shared" si="1"/>
        <v>12</v>
      </c>
      <c r="F13" s="261">
        <f t="shared" si="1"/>
        <v>18</v>
      </c>
      <c r="G13" s="261">
        <f t="shared" si="1"/>
        <v>24</v>
      </c>
      <c r="H13" s="261">
        <f t="shared" si="1"/>
        <v>30</v>
      </c>
      <c r="I13" s="261">
        <f t="shared" si="1"/>
        <v>36</v>
      </c>
      <c r="J13" s="261">
        <f t="shared" si="1"/>
        <v>42</v>
      </c>
      <c r="K13" s="261">
        <f t="shared" si="1"/>
        <v>48</v>
      </c>
      <c r="L13" s="261">
        <f t="shared" si="1"/>
        <v>54</v>
      </c>
      <c r="M13" s="261">
        <f t="shared" si="1"/>
        <v>60</v>
      </c>
    </row>
    <row r="14" spans="2:13" x14ac:dyDescent="0.35">
      <c r="B14" s="260">
        <f t="shared" si="2"/>
        <v>7</v>
      </c>
      <c r="D14" s="261">
        <f t="shared" si="3"/>
        <v>7</v>
      </c>
      <c r="E14" s="261">
        <f t="shared" si="1"/>
        <v>14</v>
      </c>
      <c r="F14" s="261">
        <f t="shared" si="1"/>
        <v>21</v>
      </c>
      <c r="G14" s="261">
        <f t="shared" si="1"/>
        <v>28</v>
      </c>
      <c r="H14" s="261">
        <f t="shared" si="1"/>
        <v>35</v>
      </c>
      <c r="I14" s="261">
        <f t="shared" si="1"/>
        <v>42</v>
      </c>
      <c r="J14" s="261">
        <f t="shared" si="1"/>
        <v>49</v>
      </c>
      <c r="K14" s="261">
        <f t="shared" si="1"/>
        <v>56</v>
      </c>
      <c r="L14" s="261">
        <f t="shared" si="1"/>
        <v>63</v>
      </c>
      <c r="M14" s="261">
        <f t="shared" si="1"/>
        <v>70</v>
      </c>
    </row>
    <row r="15" spans="2:13" x14ac:dyDescent="0.35">
      <c r="B15" s="260">
        <f t="shared" si="2"/>
        <v>8</v>
      </c>
      <c r="D15" s="261">
        <f t="shared" si="3"/>
        <v>8</v>
      </c>
      <c r="E15" s="261">
        <f t="shared" si="1"/>
        <v>16</v>
      </c>
      <c r="F15" s="261">
        <f t="shared" si="1"/>
        <v>24</v>
      </c>
      <c r="G15" s="261">
        <f t="shared" si="1"/>
        <v>32</v>
      </c>
      <c r="H15" s="261">
        <f t="shared" si="1"/>
        <v>40</v>
      </c>
      <c r="I15" s="261">
        <f t="shared" si="1"/>
        <v>48</v>
      </c>
      <c r="J15" s="261">
        <f t="shared" si="1"/>
        <v>56</v>
      </c>
      <c r="K15" s="261">
        <f t="shared" si="1"/>
        <v>64</v>
      </c>
      <c r="L15" s="261">
        <f t="shared" si="1"/>
        <v>72</v>
      </c>
      <c r="M15" s="261">
        <f t="shared" si="1"/>
        <v>80</v>
      </c>
    </row>
    <row r="16" spans="2:13" x14ac:dyDescent="0.35">
      <c r="B16" s="260">
        <f t="shared" si="2"/>
        <v>9</v>
      </c>
      <c r="D16" s="261">
        <f t="shared" si="3"/>
        <v>9</v>
      </c>
      <c r="E16" s="261">
        <f t="shared" si="1"/>
        <v>18</v>
      </c>
      <c r="F16" s="261">
        <f t="shared" si="1"/>
        <v>27</v>
      </c>
      <c r="G16" s="261">
        <f t="shared" si="1"/>
        <v>36</v>
      </c>
      <c r="H16" s="261">
        <f t="shared" si="1"/>
        <v>45</v>
      </c>
      <c r="I16" s="261">
        <f t="shared" si="1"/>
        <v>54</v>
      </c>
      <c r="J16" s="261">
        <f t="shared" si="1"/>
        <v>63</v>
      </c>
      <c r="K16" s="261">
        <f t="shared" si="1"/>
        <v>72</v>
      </c>
      <c r="L16" s="261">
        <f t="shared" si="1"/>
        <v>81</v>
      </c>
      <c r="M16" s="261">
        <f t="shared" si="1"/>
        <v>90</v>
      </c>
    </row>
    <row r="17" spans="2:14" ht="16" thickBot="1" x14ac:dyDescent="0.4">
      <c r="B17" s="262">
        <f t="shared" si="2"/>
        <v>10</v>
      </c>
      <c r="C17" s="47"/>
      <c r="D17" s="261">
        <f t="shared" si="3"/>
        <v>10</v>
      </c>
      <c r="E17" s="261">
        <f t="shared" si="1"/>
        <v>20</v>
      </c>
      <c r="F17" s="261">
        <f t="shared" si="1"/>
        <v>30</v>
      </c>
      <c r="G17" s="261">
        <f t="shared" si="1"/>
        <v>40</v>
      </c>
      <c r="H17" s="261">
        <f t="shared" si="1"/>
        <v>50</v>
      </c>
      <c r="I17" s="261">
        <f t="shared" si="1"/>
        <v>60</v>
      </c>
      <c r="J17" s="261">
        <f t="shared" si="1"/>
        <v>70</v>
      </c>
      <c r="K17" s="261">
        <f t="shared" si="1"/>
        <v>80</v>
      </c>
      <c r="L17" s="261">
        <f t="shared" si="1"/>
        <v>90</v>
      </c>
      <c r="M17" s="261">
        <f t="shared" si="1"/>
        <v>100</v>
      </c>
    </row>
    <row r="18" spans="2:14" x14ac:dyDescent="0.35">
      <c r="M18" s="4" t="s">
        <v>83</v>
      </c>
      <c r="N18" s="267">
        <f>SUM(D8:M17)</f>
        <v>3025</v>
      </c>
    </row>
    <row r="24" spans="2:14" ht="33" customHeight="1" x14ac:dyDescent="0.35">
      <c r="B24" s="320" t="s">
        <v>190</v>
      </c>
      <c r="C24" s="320"/>
      <c r="D24" s="320"/>
      <c r="E24" s="320"/>
      <c r="F24" s="320"/>
      <c r="G24" s="320"/>
      <c r="H24" s="320"/>
      <c r="I24" s="320"/>
      <c r="J24" s="320"/>
      <c r="K24" s="320"/>
      <c r="L24" s="320"/>
      <c r="M24" s="320"/>
    </row>
    <row r="25" spans="2:14" x14ac:dyDescent="0.35">
      <c r="B25" s="36"/>
      <c r="C25" s="36"/>
      <c r="D25" s="36"/>
      <c r="E25" s="36"/>
      <c r="F25" s="36"/>
      <c r="G25" s="36"/>
      <c r="H25" s="36"/>
      <c r="I25" s="36"/>
      <c r="J25" s="36"/>
      <c r="K25" s="36"/>
      <c r="L25" s="36"/>
      <c r="M25" s="36"/>
    </row>
    <row r="26" spans="2:14" ht="16" thickBot="1" x14ac:dyDescent="0.4"/>
    <row r="27" spans="2:14" ht="16" thickBot="1" x14ac:dyDescent="0.4">
      <c r="B27" s="256"/>
      <c r="C27" s="257"/>
      <c r="D27" s="258">
        <v>1</v>
      </c>
      <c r="E27" s="258">
        <f t="shared" ref="E27:M27" si="4">D27+1</f>
        <v>2</v>
      </c>
      <c r="F27" s="258">
        <f t="shared" si="4"/>
        <v>3</v>
      </c>
      <c r="G27" s="258">
        <f t="shared" si="4"/>
        <v>4</v>
      </c>
      <c r="H27" s="258">
        <f t="shared" si="4"/>
        <v>5</v>
      </c>
      <c r="I27" s="258">
        <f t="shared" si="4"/>
        <v>6</v>
      </c>
      <c r="J27" s="258">
        <f t="shared" si="4"/>
        <v>7</v>
      </c>
      <c r="K27" s="258">
        <f t="shared" si="4"/>
        <v>8</v>
      </c>
      <c r="L27" s="258">
        <f t="shared" si="4"/>
        <v>9</v>
      </c>
      <c r="M27" s="259">
        <f t="shared" si="4"/>
        <v>10</v>
      </c>
    </row>
    <row r="28" spans="2:14" x14ac:dyDescent="0.35">
      <c r="B28" s="209"/>
      <c r="M28" s="44"/>
    </row>
    <row r="29" spans="2:14" x14ac:dyDescent="0.35">
      <c r="B29" s="260">
        <v>1</v>
      </c>
      <c r="D29" s="263" cm="1">
        <f t="array" ref="D29:M38">D27:M27*B29:B38</f>
        <v>1</v>
      </c>
      <c r="E29" s="263">
        <v>2</v>
      </c>
      <c r="F29" s="263">
        <v>3</v>
      </c>
      <c r="G29" s="263">
        <v>4</v>
      </c>
      <c r="H29" s="263">
        <v>5</v>
      </c>
      <c r="I29" s="263">
        <v>6</v>
      </c>
      <c r="J29" s="263">
        <v>7</v>
      </c>
      <c r="K29" s="263">
        <v>8</v>
      </c>
      <c r="L29" s="263">
        <v>9</v>
      </c>
      <c r="M29" s="264">
        <v>10</v>
      </c>
    </row>
    <row r="30" spans="2:14" x14ac:dyDescent="0.35">
      <c r="B30" s="260">
        <f t="shared" ref="B30:B38" si="5">B29+1</f>
        <v>2</v>
      </c>
      <c r="D30" s="263">
        <v>2</v>
      </c>
      <c r="E30" s="263">
        <v>4</v>
      </c>
      <c r="F30" s="263">
        <v>6</v>
      </c>
      <c r="G30" s="263">
        <v>8</v>
      </c>
      <c r="H30" s="263">
        <v>10</v>
      </c>
      <c r="I30" s="263">
        <v>12</v>
      </c>
      <c r="J30" s="263">
        <v>14</v>
      </c>
      <c r="K30" s="263">
        <v>16</v>
      </c>
      <c r="L30" s="263">
        <v>18</v>
      </c>
      <c r="M30" s="264">
        <v>20</v>
      </c>
    </row>
    <row r="31" spans="2:14" x14ac:dyDescent="0.35">
      <c r="B31" s="260">
        <f t="shared" si="5"/>
        <v>3</v>
      </c>
      <c r="D31" s="263">
        <v>3</v>
      </c>
      <c r="E31" s="263">
        <v>6</v>
      </c>
      <c r="F31" s="263">
        <v>9</v>
      </c>
      <c r="G31" s="263">
        <v>12</v>
      </c>
      <c r="H31" s="263">
        <v>15</v>
      </c>
      <c r="I31" s="263">
        <v>18</v>
      </c>
      <c r="J31" s="263">
        <v>21</v>
      </c>
      <c r="K31" s="263">
        <v>24</v>
      </c>
      <c r="L31" s="263">
        <v>27</v>
      </c>
      <c r="M31" s="264">
        <v>30</v>
      </c>
    </row>
    <row r="32" spans="2:14" x14ac:dyDescent="0.35">
      <c r="B32" s="260">
        <f t="shared" si="5"/>
        <v>4</v>
      </c>
      <c r="D32" s="263">
        <v>4</v>
      </c>
      <c r="E32" s="263">
        <v>8</v>
      </c>
      <c r="F32" s="263">
        <v>12</v>
      </c>
      <c r="G32" s="263">
        <v>16</v>
      </c>
      <c r="H32" s="263">
        <v>20</v>
      </c>
      <c r="I32" s="263">
        <v>24</v>
      </c>
      <c r="J32" s="263">
        <v>28</v>
      </c>
      <c r="K32" s="263">
        <v>32</v>
      </c>
      <c r="L32" s="263">
        <v>36</v>
      </c>
      <c r="M32" s="264">
        <v>40</v>
      </c>
    </row>
    <row r="33" spans="2:14" x14ac:dyDescent="0.35">
      <c r="B33" s="260">
        <f t="shared" si="5"/>
        <v>5</v>
      </c>
      <c r="D33" s="263">
        <v>5</v>
      </c>
      <c r="E33" s="263">
        <v>10</v>
      </c>
      <c r="F33" s="263">
        <v>15</v>
      </c>
      <c r="G33" s="263">
        <v>20</v>
      </c>
      <c r="H33" s="263">
        <v>25</v>
      </c>
      <c r="I33" s="263">
        <v>30</v>
      </c>
      <c r="J33" s="263">
        <v>35</v>
      </c>
      <c r="K33" s="263">
        <v>40</v>
      </c>
      <c r="L33" s="263">
        <v>45</v>
      </c>
      <c r="M33" s="264">
        <v>50</v>
      </c>
    </row>
    <row r="34" spans="2:14" x14ac:dyDescent="0.35">
      <c r="B34" s="260">
        <f t="shared" si="5"/>
        <v>6</v>
      </c>
      <c r="D34" s="263">
        <v>6</v>
      </c>
      <c r="E34" s="263">
        <v>12</v>
      </c>
      <c r="F34" s="263">
        <v>18</v>
      </c>
      <c r="G34" s="263">
        <v>24</v>
      </c>
      <c r="H34" s="263">
        <v>30</v>
      </c>
      <c r="I34" s="263">
        <v>36</v>
      </c>
      <c r="J34" s="263">
        <v>42</v>
      </c>
      <c r="K34" s="263">
        <v>48</v>
      </c>
      <c r="L34" s="263">
        <v>54</v>
      </c>
      <c r="M34" s="264">
        <v>60</v>
      </c>
    </row>
    <row r="35" spans="2:14" x14ac:dyDescent="0.35">
      <c r="B35" s="260">
        <f t="shared" si="5"/>
        <v>7</v>
      </c>
      <c r="D35" s="263">
        <v>7</v>
      </c>
      <c r="E35" s="263">
        <v>14</v>
      </c>
      <c r="F35" s="263">
        <v>21</v>
      </c>
      <c r="G35" s="263">
        <v>28</v>
      </c>
      <c r="H35" s="263">
        <v>35</v>
      </c>
      <c r="I35" s="263">
        <v>42</v>
      </c>
      <c r="J35" s="263">
        <v>49</v>
      </c>
      <c r="K35" s="263">
        <v>56</v>
      </c>
      <c r="L35" s="263">
        <v>63</v>
      </c>
      <c r="M35" s="264">
        <v>70</v>
      </c>
    </row>
    <row r="36" spans="2:14" x14ac:dyDescent="0.35">
      <c r="B36" s="260">
        <f t="shared" si="5"/>
        <v>8</v>
      </c>
      <c r="D36" s="263">
        <v>8</v>
      </c>
      <c r="E36" s="263">
        <v>16</v>
      </c>
      <c r="F36" s="263">
        <v>24</v>
      </c>
      <c r="G36" s="263">
        <v>32</v>
      </c>
      <c r="H36" s="263">
        <v>40</v>
      </c>
      <c r="I36" s="263">
        <v>48</v>
      </c>
      <c r="J36" s="263">
        <v>56</v>
      </c>
      <c r="K36" s="263">
        <v>64</v>
      </c>
      <c r="L36" s="263">
        <v>72</v>
      </c>
      <c r="M36" s="264">
        <v>80</v>
      </c>
    </row>
    <row r="37" spans="2:14" x14ac:dyDescent="0.35">
      <c r="B37" s="260">
        <f t="shared" si="5"/>
        <v>9</v>
      </c>
      <c r="D37" s="263">
        <v>9</v>
      </c>
      <c r="E37" s="263">
        <v>18</v>
      </c>
      <c r="F37" s="263">
        <v>27</v>
      </c>
      <c r="G37" s="263">
        <v>36</v>
      </c>
      <c r="H37" s="263">
        <v>45</v>
      </c>
      <c r="I37" s="263">
        <v>54</v>
      </c>
      <c r="J37" s="263">
        <v>63</v>
      </c>
      <c r="K37" s="263">
        <v>72</v>
      </c>
      <c r="L37" s="263">
        <v>81</v>
      </c>
      <c r="M37" s="264">
        <v>90</v>
      </c>
    </row>
    <row r="38" spans="2:14" ht="16" thickBot="1" x14ac:dyDescent="0.4">
      <c r="B38" s="262">
        <f t="shared" si="5"/>
        <v>10</v>
      </c>
      <c r="C38" s="47"/>
      <c r="D38" s="265">
        <v>10</v>
      </c>
      <c r="E38" s="265">
        <v>20</v>
      </c>
      <c r="F38" s="265">
        <v>30</v>
      </c>
      <c r="G38" s="265">
        <v>40</v>
      </c>
      <c r="H38" s="265">
        <v>50</v>
      </c>
      <c r="I38" s="265">
        <v>60</v>
      </c>
      <c r="J38" s="265">
        <v>70</v>
      </c>
      <c r="K38" s="265">
        <v>80</v>
      </c>
      <c r="L38" s="265">
        <v>90</v>
      </c>
      <c r="M38" s="266">
        <v>100</v>
      </c>
    </row>
    <row r="39" spans="2:14" x14ac:dyDescent="0.35">
      <c r="M39" s="4" t="s">
        <v>83</v>
      </c>
      <c r="N39" s="267">
        <f>SUM(_xlfn.ANCHORARRAY(D29))</f>
        <v>3025</v>
      </c>
    </row>
  </sheetData>
  <mergeCells count="2">
    <mergeCell ref="B4:M4"/>
    <mergeCell ref="B24:M24"/>
  </mergeCells>
  <pageMargins left="0.78740157499999996" right="0.78740157499999996" top="0.984251969" bottom="0.984251969" header="0.4921259845" footer="0.4921259845"/>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O71"/>
  <sheetViews>
    <sheetView tabSelected="1" zoomScale="80" zoomScaleNormal="80" workbookViewId="0">
      <selection activeCell="M62" sqref="M62"/>
    </sheetView>
  </sheetViews>
  <sheetFormatPr baseColWidth="10" defaultColWidth="11.54296875" defaultRowHeight="15.5" x14ac:dyDescent="0.35"/>
  <cols>
    <col min="1" max="1" width="0.7265625" style="1" customWidth="1"/>
    <col min="2" max="2" width="11.54296875" style="1"/>
    <col min="3" max="3" width="23.6328125" style="1" bestFit="1" customWidth="1"/>
    <col min="4" max="14" width="12.90625" style="1" bestFit="1" customWidth="1"/>
    <col min="15" max="15" width="15.26953125" style="1" bestFit="1" customWidth="1"/>
    <col min="16" max="16384" width="11.54296875" style="1"/>
  </cols>
  <sheetData>
    <row r="2" spans="2:15" ht="20" x14ac:dyDescent="0.4">
      <c r="B2" s="26" t="s">
        <v>127</v>
      </c>
      <c r="C2" s="27"/>
      <c r="D2" s="27"/>
    </row>
    <row r="4" spans="2:15" ht="18.5" thickBot="1" x14ac:dyDescent="0.45">
      <c r="B4" s="210" t="s">
        <v>164</v>
      </c>
      <c r="C4" s="27"/>
    </row>
    <row r="5" spans="2:15" x14ac:dyDescent="0.35">
      <c r="B5" s="208"/>
      <c r="C5" s="41"/>
      <c r="D5" s="41"/>
      <c r="E5" s="41"/>
      <c r="F5" s="41"/>
      <c r="G5" s="41"/>
      <c r="H5" s="41"/>
      <c r="I5" s="41"/>
      <c r="J5" s="41"/>
      <c r="K5" s="41"/>
      <c r="L5" s="41"/>
      <c r="M5" s="41"/>
      <c r="N5" s="41"/>
      <c r="O5" s="42"/>
    </row>
    <row r="6" spans="2:15" x14ac:dyDescent="0.35">
      <c r="B6" s="43" t="s">
        <v>93</v>
      </c>
      <c r="O6" s="44"/>
    </row>
    <row r="7" spans="2:15" x14ac:dyDescent="0.35">
      <c r="B7" s="45"/>
      <c r="O7" s="44"/>
    </row>
    <row r="8" spans="2:15" x14ac:dyDescent="0.35">
      <c r="B8" s="45"/>
      <c r="O8" s="44"/>
    </row>
    <row r="9" spans="2:15" x14ac:dyDescent="0.35">
      <c r="B9" s="45"/>
      <c r="O9" s="44"/>
    </row>
    <row r="10" spans="2:15" x14ac:dyDescent="0.35">
      <c r="B10" s="45"/>
      <c r="O10" s="44"/>
    </row>
    <row r="11" spans="2:15" x14ac:dyDescent="0.35">
      <c r="B11" s="45"/>
      <c r="O11" s="44"/>
    </row>
    <row r="12" spans="2:15" x14ac:dyDescent="0.35">
      <c r="B12" s="45" t="s">
        <v>193</v>
      </c>
      <c r="O12" s="44"/>
    </row>
    <row r="13" spans="2:15" ht="16.5" x14ac:dyDescent="0.4">
      <c r="B13" s="45" t="s">
        <v>191</v>
      </c>
      <c r="C13" s="1" t="s">
        <v>92</v>
      </c>
      <c r="O13" s="44"/>
    </row>
    <row r="14" spans="2:15" ht="16.5" x14ac:dyDescent="0.4">
      <c r="B14" s="45" t="s">
        <v>192</v>
      </c>
      <c r="C14" s="1" t="s">
        <v>91</v>
      </c>
      <c r="O14" s="44"/>
    </row>
    <row r="15" spans="2:15" x14ac:dyDescent="0.35">
      <c r="B15" s="45" t="s">
        <v>90</v>
      </c>
      <c r="C15" s="1" t="s">
        <v>85</v>
      </c>
      <c r="O15" s="44"/>
    </row>
    <row r="16" spans="2:15" x14ac:dyDescent="0.35">
      <c r="B16" s="45" t="s">
        <v>89</v>
      </c>
      <c r="C16" s="1" t="s">
        <v>88</v>
      </c>
      <c r="O16" s="44"/>
    </row>
    <row r="17" spans="2:15" x14ac:dyDescent="0.35">
      <c r="B17" s="45" t="s">
        <v>87</v>
      </c>
      <c r="C17" s="1" t="s">
        <v>86</v>
      </c>
      <c r="O17" s="44"/>
    </row>
    <row r="18" spans="2:15" ht="16" thickBot="1" x14ac:dyDescent="0.4">
      <c r="B18" s="46"/>
      <c r="C18" s="47"/>
      <c r="D18" s="47"/>
      <c r="E18" s="47"/>
      <c r="F18" s="47"/>
      <c r="G18" s="47"/>
      <c r="H18" s="47"/>
      <c r="I18" s="47"/>
      <c r="J18" s="47"/>
      <c r="K18" s="47"/>
      <c r="L18" s="47"/>
      <c r="M18" s="47"/>
      <c r="N18" s="47"/>
      <c r="O18" s="48"/>
    </row>
    <row r="22" spans="2:15" ht="18.5" thickBot="1" x14ac:dyDescent="0.45">
      <c r="B22" s="210" t="s">
        <v>194</v>
      </c>
      <c r="C22" s="27"/>
    </row>
    <row r="23" spans="2:15" x14ac:dyDescent="0.35">
      <c r="B23" s="208"/>
      <c r="C23" s="41"/>
      <c r="D23" s="41"/>
      <c r="E23" s="41"/>
      <c r="F23" s="41"/>
      <c r="G23" s="41"/>
      <c r="H23" s="41"/>
      <c r="I23" s="41"/>
      <c r="J23" s="41"/>
      <c r="K23" s="41"/>
      <c r="L23" s="41"/>
      <c r="M23" s="41"/>
      <c r="N23" s="41"/>
      <c r="O23" s="42"/>
    </row>
    <row r="24" spans="2:15" x14ac:dyDescent="0.35">
      <c r="B24" s="76" t="s">
        <v>195</v>
      </c>
      <c r="C24" s="6"/>
      <c r="D24" s="6"/>
      <c r="E24" s="6"/>
      <c r="F24" s="6"/>
      <c r="G24" s="6"/>
      <c r="H24" s="6"/>
      <c r="I24" s="6"/>
      <c r="J24" s="6"/>
      <c r="K24" s="6"/>
      <c r="L24" s="6"/>
      <c r="M24" s="6"/>
      <c r="N24" s="6"/>
      <c r="O24" s="75"/>
    </row>
    <row r="25" spans="2:15" ht="30" customHeight="1" x14ac:dyDescent="0.35">
      <c r="B25" s="321" t="s">
        <v>196</v>
      </c>
      <c r="C25" s="322"/>
      <c r="D25" s="322"/>
      <c r="E25" s="322"/>
      <c r="F25" s="322"/>
      <c r="G25" s="322"/>
      <c r="H25" s="322"/>
      <c r="I25" s="322"/>
      <c r="J25" s="322"/>
      <c r="K25" s="322"/>
      <c r="L25" s="322"/>
      <c r="M25" s="322"/>
      <c r="N25" s="322"/>
      <c r="O25" s="323"/>
    </row>
    <row r="26" spans="2:15" x14ac:dyDescent="0.35">
      <c r="B26" s="79" t="s">
        <v>197</v>
      </c>
      <c r="C26" s="80"/>
      <c r="D26" s="80"/>
      <c r="E26" s="80"/>
      <c r="F26" s="80"/>
      <c r="G26" s="80"/>
      <c r="H26" s="80"/>
      <c r="I26" s="80"/>
      <c r="J26" s="80"/>
      <c r="K26" s="80"/>
      <c r="L26" s="80"/>
      <c r="M26" s="80"/>
      <c r="N26" s="80"/>
      <c r="O26" s="81"/>
    </row>
    <row r="27" spans="2:15" x14ac:dyDescent="0.35">
      <c r="B27" s="45" t="s">
        <v>198</v>
      </c>
      <c r="O27" s="44"/>
    </row>
    <row r="28" spans="2:15" x14ac:dyDescent="0.35">
      <c r="B28" s="45" t="s">
        <v>199</v>
      </c>
      <c r="O28" s="44"/>
    </row>
    <row r="29" spans="2:15" x14ac:dyDescent="0.35">
      <c r="B29" s="45" t="s">
        <v>200</v>
      </c>
      <c r="O29" s="44"/>
    </row>
    <row r="30" spans="2:15" x14ac:dyDescent="0.35">
      <c r="B30" s="43"/>
      <c r="O30" s="44"/>
    </row>
    <row r="31" spans="2:15" ht="16" thickBot="1" x14ac:dyDescent="0.4">
      <c r="B31" s="46"/>
      <c r="C31" s="47"/>
      <c r="D31" s="47"/>
      <c r="E31" s="47"/>
      <c r="F31" s="47"/>
      <c r="G31" s="47"/>
      <c r="H31" s="47"/>
      <c r="I31" s="47"/>
      <c r="J31" s="47"/>
      <c r="K31" s="47"/>
      <c r="L31" s="47"/>
      <c r="M31" s="47"/>
      <c r="N31" s="47"/>
      <c r="O31" s="48"/>
    </row>
    <row r="32" spans="2:15" x14ac:dyDescent="0.35">
      <c r="B32" s="45"/>
      <c r="O32" s="44"/>
    </row>
    <row r="33" spans="2:15" x14ac:dyDescent="0.35">
      <c r="B33" s="43" t="s">
        <v>201</v>
      </c>
      <c r="C33" s="4"/>
      <c r="O33" s="44"/>
    </row>
    <row r="34" spans="2:15" ht="16" thickBot="1" x14ac:dyDescent="0.4">
      <c r="B34" s="45"/>
      <c r="O34" s="44"/>
    </row>
    <row r="35" spans="2:15" x14ac:dyDescent="0.35">
      <c r="B35" s="208"/>
      <c r="C35" s="41"/>
      <c r="D35" s="41"/>
      <c r="E35" s="41"/>
      <c r="F35" s="41"/>
      <c r="G35" s="41"/>
      <c r="H35" s="41"/>
      <c r="I35" s="41"/>
      <c r="J35" s="41"/>
      <c r="K35" s="41"/>
      <c r="L35" s="41"/>
      <c r="M35" s="41"/>
      <c r="N35" s="41"/>
      <c r="O35" s="42"/>
    </row>
    <row r="36" spans="2:15" x14ac:dyDescent="0.35">
      <c r="B36" s="230"/>
      <c r="C36" s="268" t="s">
        <v>85</v>
      </c>
      <c r="D36" s="269"/>
      <c r="E36" s="269"/>
      <c r="F36" s="269"/>
      <c r="G36" s="269"/>
      <c r="H36" s="269"/>
      <c r="I36" s="269"/>
      <c r="J36" s="269"/>
      <c r="K36" s="269"/>
      <c r="L36" s="269"/>
      <c r="M36" s="269"/>
      <c r="N36" s="270"/>
      <c r="O36" s="44"/>
    </row>
    <row r="37" spans="2:15" x14ac:dyDescent="0.35">
      <c r="B37" s="271" t="s">
        <v>84</v>
      </c>
      <c r="C37" s="329">
        <v>5.0000000000000001E-3</v>
      </c>
      <c r="D37" s="328">
        <v>0.01</v>
      </c>
      <c r="E37" s="329">
        <v>1.4999999999999999E-2</v>
      </c>
      <c r="F37" s="328">
        <v>0.02</v>
      </c>
      <c r="G37" s="329">
        <v>2.5000000000000001E-2</v>
      </c>
      <c r="H37" s="328">
        <v>0.03</v>
      </c>
      <c r="I37" s="329">
        <v>3.5000000000000003E-2</v>
      </c>
      <c r="J37" s="328">
        <v>0.04</v>
      </c>
      <c r="K37" s="329">
        <v>4.4999999999999998E-2</v>
      </c>
      <c r="L37" s="328">
        <v>0.05</v>
      </c>
      <c r="M37" s="329">
        <v>5.5E-2</v>
      </c>
      <c r="N37" s="328">
        <v>0.06</v>
      </c>
      <c r="O37" s="272"/>
    </row>
    <row r="38" spans="2:15" x14ac:dyDescent="0.35">
      <c r="B38" s="273" cm="1">
        <f t="array" ref="B38:B50">2*_xlfn.SEQUENCE(13)-1</f>
        <v>1</v>
      </c>
      <c r="C38" s="330">
        <f>1000*(1+C$37)^$B38</f>
        <v>1004.9999999999999</v>
      </c>
      <c r="D38" s="330">
        <f t="shared" ref="D38:N50" si="0">1000*(1+D$37)^$B38</f>
        <v>1010</v>
      </c>
      <c r="E38" s="330">
        <f t="shared" si="0"/>
        <v>1014.9999999999999</v>
      </c>
      <c r="F38" s="330">
        <f t="shared" si="0"/>
        <v>1020</v>
      </c>
      <c r="G38" s="330">
        <f t="shared" si="0"/>
        <v>1025</v>
      </c>
      <c r="H38" s="330">
        <f t="shared" si="0"/>
        <v>1030</v>
      </c>
      <c r="I38" s="330">
        <f t="shared" si="0"/>
        <v>1035</v>
      </c>
      <c r="J38" s="330">
        <f t="shared" si="0"/>
        <v>1040</v>
      </c>
      <c r="K38" s="330">
        <f t="shared" si="0"/>
        <v>1045</v>
      </c>
      <c r="L38" s="330">
        <f t="shared" si="0"/>
        <v>1050</v>
      </c>
      <c r="M38" s="330">
        <f t="shared" si="0"/>
        <v>1055</v>
      </c>
      <c r="N38" s="330">
        <f t="shared" si="0"/>
        <v>1060</v>
      </c>
      <c r="O38" s="331"/>
    </row>
    <row r="39" spans="2:15" x14ac:dyDescent="0.35">
      <c r="B39" s="273">
        <v>3</v>
      </c>
      <c r="C39" s="330">
        <f t="shared" ref="C39:C50" si="1">1000*(1+C$37)^$B39</f>
        <v>1015.0751249999996</v>
      </c>
      <c r="D39" s="330">
        <f t="shared" si="0"/>
        <v>1030.3009999999999</v>
      </c>
      <c r="E39" s="330">
        <f t="shared" si="0"/>
        <v>1045.6783749999995</v>
      </c>
      <c r="F39" s="330">
        <f t="shared" si="0"/>
        <v>1061.2079999999999</v>
      </c>
      <c r="G39" s="330">
        <f t="shared" si="0"/>
        <v>1076.8906249999998</v>
      </c>
      <c r="H39" s="330">
        <f t="shared" si="0"/>
        <v>1092.7270000000001</v>
      </c>
      <c r="I39" s="330">
        <f t="shared" si="0"/>
        <v>1108.7178749999998</v>
      </c>
      <c r="J39" s="330">
        <f t="shared" si="0"/>
        <v>1124.864</v>
      </c>
      <c r="K39" s="330">
        <f t="shared" si="0"/>
        <v>1141.1661249999997</v>
      </c>
      <c r="L39" s="330">
        <f t="shared" si="0"/>
        <v>1157.6250000000002</v>
      </c>
      <c r="M39" s="330">
        <f t="shared" si="0"/>
        <v>1174.2413749999998</v>
      </c>
      <c r="N39" s="330">
        <f t="shared" si="0"/>
        <v>1191.0160000000003</v>
      </c>
      <c r="O39" s="331"/>
    </row>
    <row r="40" spans="2:15" x14ac:dyDescent="0.35">
      <c r="B40" s="273">
        <v>5</v>
      </c>
      <c r="C40" s="330">
        <f t="shared" si="1"/>
        <v>1025.2512531281241</v>
      </c>
      <c r="D40" s="330">
        <f t="shared" si="0"/>
        <v>1051.0100500999999</v>
      </c>
      <c r="E40" s="330">
        <f t="shared" si="0"/>
        <v>1077.2840038843742</v>
      </c>
      <c r="F40" s="330">
        <f t="shared" si="0"/>
        <v>1104.0808032</v>
      </c>
      <c r="G40" s="330">
        <f t="shared" si="0"/>
        <v>1131.4082128906246</v>
      </c>
      <c r="H40" s="330">
        <f t="shared" si="0"/>
        <v>1159.2740742999999</v>
      </c>
      <c r="I40" s="330">
        <f t="shared" si="0"/>
        <v>1187.6863056468744</v>
      </c>
      <c r="J40" s="330">
        <f t="shared" si="0"/>
        <v>1216.6529024000004</v>
      </c>
      <c r="K40" s="330">
        <f t="shared" si="0"/>
        <v>1246.1819376531244</v>
      </c>
      <c r="L40" s="330">
        <f t="shared" si="0"/>
        <v>1276.2815625000001</v>
      </c>
      <c r="M40" s="330">
        <f t="shared" si="0"/>
        <v>1306.9600064093747</v>
      </c>
      <c r="N40" s="330">
        <f t="shared" si="0"/>
        <v>1338.2255776000004</v>
      </c>
      <c r="O40" s="331"/>
    </row>
    <row r="41" spans="2:15" x14ac:dyDescent="0.35">
      <c r="B41" s="273">
        <v>7</v>
      </c>
      <c r="C41" s="330">
        <f t="shared" si="1"/>
        <v>1035.5293969407332</v>
      </c>
      <c r="D41" s="330">
        <f t="shared" si="0"/>
        <v>1072.1353521070098</v>
      </c>
      <c r="E41" s="330">
        <f t="shared" si="0"/>
        <v>1109.844912901779</v>
      </c>
      <c r="F41" s="330">
        <f t="shared" si="0"/>
        <v>1148.6856676492798</v>
      </c>
      <c r="G41" s="330">
        <f t="shared" si="0"/>
        <v>1188.6857536682126</v>
      </c>
      <c r="H41" s="330">
        <f t="shared" si="0"/>
        <v>1229.87386542487</v>
      </c>
      <c r="I41" s="330">
        <f t="shared" si="0"/>
        <v>1272.2792627665731</v>
      </c>
      <c r="J41" s="330">
        <f t="shared" si="0"/>
        <v>1315.9317792358402</v>
      </c>
      <c r="K41" s="330">
        <f t="shared" si="0"/>
        <v>1360.8618304656529</v>
      </c>
      <c r="L41" s="330">
        <f t="shared" si="0"/>
        <v>1407.1004226562502</v>
      </c>
      <c r="M41" s="330">
        <f t="shared" si="0"/>
        <v>1454.6791611337942</v>
      </c>
      <c r="N41" s="330">
        <f t="shared" si="0"/>
        <v>1503.6302589913607</v>
      </c>
      <c r="O41" s="331"/>
    </row>
    <row r="42" spans="2:15" x14ac:dyDescent="0.35">
      <c r="B42" s="273">
        <v>9</v>
      </c>
      <c r="C42" s="330">
        <f t="shared" si="1"/>
        <v>1045.910579145064</v>
      </c>
      <c r="D42" s="330">
        <f t="shared" si="0"/>
        <v>1093.6852726843611</v>
      </c>
      <c r="E42" s="330">
        <f t="shared" si="0"/>
        <v>1143.3899753942351</v>
      </c>
      <c r="F42" s="330">
        <f t="shared" si="0"/>
        <v>1195.0925686223109</v>
      </c>
      <c r="G42" s="330">
        <f t="shared" si="0"/>
        <v>1248.8629699476655</v>
      </c>
      <c r="H42" s="330">
        <f t="shared" si="0"/>
        <v>1304.7731838292445</v>
      </c>
      <c r="I42" s="330">
        <f t="shared" si="0"/>
        <v>1362.8973532571217</v>
      </c>
      <c r="J42" s="330">
        <f t="shared" si="0"/>
        <v>1423.3118124214852</v>
      </c>
      <c r="K42" s="330">
        <f t="shared" si="0"/>
        <v>1486.0951404142543</v>
      </c>
      <c r="L42" s="330">
        <f t="shared" si="0"/>
        <v>1551.3282159785158</v>
      </c>
      <c r="M42" s="330">
        <f t="shared" si="0"/>
        <v>1619.0942733209413</v>
      </c>
      <c r="N42" s="330">
        <f t="shared" si="0"/>
        <v>1689.4789590026928</v>
      </c>
      <c r="O42" s="331"/>
    </row>
    <row r="43" spans="2:15" x14ac:dyDescent="0.35">
      <c r="B43" s="273">
        <v>11</v>
      </c>
      <c r="C43" s="330">
        <f t="shared" si="1"/>
        <v>1056.395832700993</v>
      </c>
      <c r="D43" s="330">
        <f t="shared" si="0"/>
        <v>1115.6683466653164</v>
      </c>
      <c r="E43" s="330">
        <f t="shared" si="0"/>
        <v>1177.9489374005257</v>
      </c>
      <c r="F43" s="330">
        <f t="shared" si="0"/>
        <v>1243.374308394652</v>
      </c>
      <c r="G43" s="330">
        <f t="shared" si="0"/>
        <v>1312.086657801266</v>
      </c>
      <c r="H43" s="330">
        <f t="shared" si="0"/>
        <v>1384.2338707244455</v>
      </c>
      <c r="I43" s="330">
        <f t="shared" si="0"/>
        <v>1459.9697172428603</v>
      </c>
      <c r="J43" s="330">
        <f t="shared" si="0"/>
        <v>1539.4540563150783</v>
      </c>
      <c r="K43" s="330">
        <f t="shared" si="0"/>
        <v>1622.8530457108757</v>
      </c>
      <c r="L43" s="330">
        <f t="shared" si="0"/>
        <v>1710.3393581163139</v>
      </c>
      <c r="M43" s="330">
        <f t="shared" si="0"/>
        <v>1802.0924035630403</v>
      </c>
      <c r="N43" s="330">
        <f t="shared" si="0"/>
        <v>1898.2985583354262</v>
      </c>
      <c r="O43" s="331"/>
    </row>
    <row r="44" spans="2:15" x14ac:dyDescent="0.35">
      <c r="B44" s="273">
        <v>13</v>
      </c>
      <c r="C44" s="330">
        <f t="shared" si="1"/>
        <v>1066.98620092382</v>
      </c>
      <c r="D44" s="330">
        <f t="shared" si="0"/>
        <v>1138.0932804332895</v>
      </c>
      <c r="E44" s="330">
        <f t="shared" si="0"/>
        <v>1213.5524440334561</v>
      </c>
      <c r="F44" s="330">
        <f t="shared" si="0"/>
        <v>1293.606630453796</v>
      </c>
      <c r="G44" s="330">
        <f t="shared" si="0"/>
        <v>1378.5110448524549</v>
      </c>
      <c r="H44" s="330">
        <f t="shared" si="0"/>
        <v>1468.5337134515639</v>
      </c>
      <c r="I44" s="330">
        <f t="shared" si="0"/>
        <v>1563.9560603534826</v>
      </c>
      <c r="J44" s="330">
        <f t="shared" si="0"/>
        <v>1665.073507310389</v>
      </c>
      <c r="K44" s="330">
        <f t="shared" si="0"/>
        <v>1772.1960972424188</v>
      </c>
      <c r="L44" s="330">
        <f t="shared" si="0"/>
        <v>1885.649142323236</v>
      </c>
      <c r="M44" s="330">
        <f t="shared" si="0"/>
        <v>2005.7738974757528</v>
      </c>
      <c r="N44" s="330">
        <f t="shared" si="0"/>
        <v>2132.9282601456853</v>
      </c>
      <c r="O44" s="331"/>
    </row>
    <row r="45" spans="2:15" x14ac:dyDescent="0.35">
      <c r="B45" s="273">
        <v>15</v>
      </c>
      <c r="C45" s="330">
        <f t="shared" si="1"/>
        <v>1077.682737588081</v>
      </c>
      <c r="D45" s="330">
        <f t="shared" si="0"/>
        <v>1160.9689553699984</v>
      </c>
      <c r="E45" s="330">
        <f t="shared" si="0"/>
        <v>1250.2320666543669</v>
      </c>
      <c r="F45" s="330">
        <f t="shared" si="0"/>
        <v>1345.8683383241291</v>
      </c>
      <c r="G45" s="330">
        <f t="shared" si="0"/>
        <v>1448.2981664981105</v>
      </c>
      <c r="H45" s="330">
        <f t="shared" si="0"/>
        <v>1557.9674166007644</v>
      </c>
      <c r="I45" s="330">
        <f t="shared" si="0"/>
        <v>1675.3488307521593</v>
      </c>
      <c r="J45" s="330">
        <f t="shared" si="0"/>
        <v>1800.9435055069168</v>
      </c>
      <c r="K45" s="330">
        <f t="shared" si="0"/>
        <v>1935.2824430911519</v>
      </c>
      <c r="L45" s="330">
        <f t="shared" si="0"/>
        <v>2078.9281794113681</v>
      </c>
      <c r="M45" s="330">
        <f t="shared" si="0"/>
        <v>2232.4764922379495</v>
      </c>
      <c r="N45" s="330">
        <f t="shared" si="0"/>
        <v>2396.5581930996923</v>
      </c>
      <c r="O45" s="331"/>
    </row>
    <row r="46" spans="2:15" x14ac:dyDescent="0.35">
      <c r="B46" s="273">
        <v>17</v>
      </c>
      <c r="C46" s="330">
        <f t="shared" si="1"/>
        <v>1088.4865070324013</v>
      </c>
      <c r="D46" s="330">
        <f t="shared" si="0"/>
        <v>1184.3044313729358</v>
      </c>
      <c r="E46" s="330">
        <f t="shared" si="0"/>
        <v>1288.0203308689947</v>
      </c>
      <c r="F46" s="330">
        <f t="shared" si="0"/>
        <v>1400.2414191924245</v>
      </c>
      <c r="G46" s="330">
        <f t="shared" si="0"/>
        <v>1521.6182611770771</v>
      </c>
      <c r="H46" s="330">
        <f t="shared" si="0"/>
        <v>1652.8476322717506</v>
      </c>
      <c r="I46" s="330">
        <f t="shared" si="0"/>
        <v>1794.6755512224815</v>
      </c>
      <c r="J46" s="330">
        <f t="shared" si="0"/>
        <v>1947.9004955562816</v>
      </c>
      <c r="K46" s="330">
        <f t="shared" si="0"/>
        <v>2113.3768099166145</v>
      </c>
      <c r="L46" s="330">
        <f t="shared" si="0"/>
        <v>2292.0183178010329</v>
      </c>
      <c r="M46" s="330">
        <f t="shared" si="0"/>
        <v>2484.8021477731436</v>
      </c>
      <c r="N46" s="330">
        <f t="shared" si="0"/>
        <v>2692.7727857668142</v>
      </c>
      <c r="O46" s="331"/>
    </row>
    <row r="47" spans="2:15" x14ac:dyDescent="0.35">
      <c r="B47" s="273">
        <v>19</v>
      </c>
      <c r="C47" s="330">
        <f t="shared" si="1"/>
        <v>1099.3985842654006</v>
      </c>
      <c r="D47" s="330">
        <f t="shared" si="0"/>
        <v>1208.1089504435315</v>
      </c>
      <c r="E47" s="330">
        <f t="shared" si="0"/>
        <v>1326.9507453695101</v>
      </c>
      <c r="F47" s="330">
        <f t="shared" si="0"/>
        <v>1456.8111725277981</v>
      </c>
      <c r="G47" s="330">
        <f t="shared" si="0"/>
        <v>1598.6501856491666</v>
      </c>
      <c r="H47" s="330">
        <f t="shared" si="0"/>
        <v>1753.5060530771002</v>
      </c>
      <c r="I47" s="330">
        <f t="shared" si="0"/>
        <v>1922.5013173583022</v>
      </c>
      <c r="J47" s="330">
        <f t="shared" si="0"/>
        <v>2106.8491759936742</v>
      </c>
      <c r="K47" s="330">
        <f t="shared" si="0"/>
        <v>2307.8603108491902</v>
      </c>
      <c r="L47" s="330">
        <f t="shared" si="0"/>
        <v>2526.9501953756389</v>
      </c>
      <c r="M47" s="330">
        <f t="shared" si="0"/>
        <v>2765.6469105252031</v>
      </c>
      <c r="N47" s="330">
        <f t="shared" si="0"/>
        <v>3025.5995020875926</v>
      </c>
      <c r="O47" s="331"/>
    </row>
    <row r="48" spans="2:15" x14ac:dyDescent="0.35">
      <c r="B48" s="273">
        <v>21</v>
      </c>
      <c r="C48" s="330">
        <f t="shared" si="1"/>
        <v>1110.4200550726609</v>
      </c>
      <c r="D48" s="330">
        <f t="shared" si="0"/>
        <v>1232.3919403474465</v>
      </c>
      <c r="E48" s="330">
        <f t="shared" si="0"/>
        <v>1367.0578316483029</v>
      </c>
      <c r="F48" s="330">
        <f t="shared" si="0"/>
        <v>1515.6663438979213</v>
      </c>
      <c r="G48" s="330">
        <f t="shared" si="0"/>
        <v>1679.5818512976552</v>
      </c>
      <c r="H48" s="330">
        <f t="shared" si="0"/>
        <v>1860.2945717094954</v>
      </c>
      <c r="I48" s="330">
        <f t="shared" si="0"/>
        <v>2059.431473687147</v>
      </c>
      <c r="J48" s="330">
        <f t="shared" si="0"/>
        <v>2278.7680687547586</v>
      </c>
      <c r="K48" s="330">
        <f t="shared" si="0"/>
        <v>2520.2411559550865</v>
      </c>
      <c r="L48" s="330">
        <f t="shared" si="0"/>
        <v>2785.962590401642</v>
      </c>
      <c r="M48" s="330">
        <f t="shared" si="0"/>
        <v>3078.2341525873139</v>
      </c>
      <c r="N48" s="330">
        <f t="shared" si="0"/>
        <v>3399.5636005456195</v>
      </c>
      <c r="O48" s="331"/>
    </row>
    <row r="49" spans="2:15" x14ac:dyDescent="0.35">
      <c r="B49" s="273">
        <v>23</v>
      </c>
      <c r="C49" s="330">
        <f t="shared" si="1"/>
        <v>1121.5520161247639</v>
      </c>
      <c r="D49" s="330">
        <f t="shared" si="0"/>
        <v>1257.1630183484303</v>
      </c>
      <c r="E49" s="330">
        <f t="shared" si="0"/>
        <v>1408.3771546098724</v>
      </c>
      <c r="F49" s="330">
        <f t="shared" si="0"/>
        <v>1576.8992641913969</v>
      </c>
      <c r="G49" s="330">
        <f t="shared" si="0"/>
        <v>1764.6106825195991</v>
      </c>
      <c r="H49" s="330">
        <f t="shared" si="0"/>
        <v>1973.5865111266039</v>
      </c>
      <c r="I49" s="330">
        <f t="shared" si="0"/>
        <v>2206.1144804005139</v>
      </c>
      <c r="J49" s="330">
        <f t="shared" si="0"/>
        <v>2464.7155431651468</v>
      </c>
      <c r="K49" s="330">
        <f t="shared" si="0"/>
        <v>2752.1663483318525</v>
      </c>
      <c r="L49" s="330">
        <f t="shared" si="0"/>
        <v>3071.5237559178104</v>
      </c>
      <c r="M49" s="330">
        <f t="shared" si="0"/>
        <v>3426.1515676834947</v>
      </c>
      <c r="N49" s="330">
        <f t="shared" si="0"/>
        <v>3819.7496615730588</v>
      </c>
      <c r="O49" s="331"/>
    </row>
    <row r="50" spans="2:15" x14ac:dyDescent="0.35">
      <c r="B50" s="274">
        <v>25</v>
      </c>
      <c r="C50" s="330">
        <f t="shared" si="1"/>
        <v>1132.7955750864144</v>
      </c>
      <c r="D50" s="330">
        <f t="shared" si="0"/>
        <v>1282.4319950172342</v>
      </c>
      <c r="E50" s="330">
        <f t="shared" si="0"/>
        <v>1450.9453541079556</v>
      </c>
      <c r="F50" s="330">
        <f t="shared" si="0"/>
        <v>1640.6059944647295</v>
      </c>
      <c r="G50" s="330">
        <f t="shared" si="0"/>
        <v>1853.9440983221534</v>
      </c>
      <c r="H50" s="330">
        <f t="shared" si="0"/>
        <v>2093.7779296542139</v>
      </c>
      <c r="I50" s="330">
        <f t="shared" si="0"/>
        <v>2363.2449842670399</v>
      </c>
      <c r="J50" s="330">
        <f t="shared" si="0"/>
        <v>2665.8363314874232</v>
      </c>
      <c r="K50" s="330">
        <f t="shared" si="0"/>
        <v>3005.4344565370907</v>
      </c>
      <c r="L50" s="330">
        <f t="shared" si="0"/>
        <v>3386.3549408993858</v>
      </c>
      <c r="M50" s="330">
        <f t="shared" si="0"/>
        <v>3813.3923486209219</v>
      </c>
      <c r="N50" s="330">
        <f t="shared" si="0"/>
        <v>4291.8707197434878</v>
      </c>
      <c r="O50" s="331"/>
    </row>
    <row r="51" spans="2:15" ht="16" thickBot="1" x14ac:dyDescent="0.4">
      <c r="B51" s="45"/>
      <c r="C51" s="332"/>
      <c r="D51" s="332"/>
      <c r="E51" s="332"/>
      <c r="F51" s="332"/>
      <c r="G51" s="332"/>
      <c r="H51" s="332"/>
      <c r="I51" s="332"/>
      <c r="J51" s="332"/>
      <c r="K51" s="332"/>
      <c r="L51" s="332"/>
      <c r="M51" s="332"/>
      <c r="N51" s="332"/>
      <c r="O51" s="331">
        <f>SUM(C38:N50)</f>
        <v>252131.85201635622</v>
      </c>
    </row>
    <row r="52" spans="2:15" x14ac:dyDescent="0.35">
      <c r="B52" s="208"/>
      <c r="C52" s="41"/>
      <c r="D52" s="41"/>
      <c r="E52" s="41"/>
      <c r="F52" s="41"/>
      <c r="G52" s="41"/>
      <c r="H52" s="41"/>
      <c r="I52" s="41"/>
      <c r="J52" s="41"/>
      <c r="K52" s="41"/>
      <c r="L52" s="41"/>
      <c r="M52" s="41"/>
      <c r="N52" s="41"/>
      <c r="O52" s="42"/>
    </row>
    <row r="53" spans="2:15" x14ac:dyDescent="0.35">
      <c r="B53" s="43" t="s">
        <v>202</v>
      </c>
      <c r="O53" s="44"/>
    </row>
    <row r="54" spans="2:15" x14ac:dyDescent="0.35">
      <c r="B54" s="45"/>
      <c r="O54" s="44"/>
    </row>
    <row r="55" spans="2:15" x14ac:dyDescent="0.35">
      <c r="B55" s="230"/>
      <c r="C55" s="268" t="s">
        <v>85</v>
      </c>
      <c r="D55" s="269"/>
      <c r="E55" s="269"/>
      <c r="F55" s="269"/>
      <c r="G55" s="269"/>
      <c r="H55" s="269"/>
      <c r="I55" s="269"/>
      <c r="J55" s="269"/>
      <c r="K55" s="269"/>
      <c r="L55" s="269"/>
      <c r="M55" s="269"/>
      <c r="N55" s="270"/>
      <c r="O55" s="44"/>
    </row>
    <row r="56" spans="2:15" x14ac:dyDescent="0.35">
      <c r="B56" s="271" t="s">
        <v>84</v>
      </c>
      <c r="C56" s="329">
        <v>5.0000000000000001E-3</v>
      </c>
      <c r="D56" s="328">
        <v>0.01</v>
      </c>
      <c r="E56" s="329">
        <v>1.4999999999999999E-2</v>
      </c>
      <c r="F56" s="328">
        <v>0.02</v>
      </c>
      <c r="G56" s="329">
        <v>2.5000000000000001E-2</v>
      </c>
      <c r="H56" s="328">
        <v>0.03</v>
      </c>
      <c r="I56" s="329">
        <v>3.5000000000000003E-2</v>
      </c>
      <c r="J56" s="328">
        <v>0.04</v>
      </c>
      <c r="K56" s="329">
        <v>4.4999999999999998E-2</v>
      </c>
      <c r="L56" s="328">
        <v>0.05</v>
      </c>
      <c r="M56" s="329">
        <v>5.5E-2</v>
      </c>
      <c r="N56" s="328">
        <v>0.06</v>
      </c>
      <c r="O56" s="272"/>
    </row>
    <row r="57" spans="2:15" x14ac:dyDescent="0.35">
      <c r="B57" s="273" cm="1">
        <f t="array" ref="B57:B69">2*_xlfn.SEQUENCE(13)-1</f>
        <v>1</v>
      </c>
      <c r="C57" s="330" cm="1">
        <f t="array" ref="C57:N69">1000*(1+C56:N56)^B57:B69</f>
        <v>1004.9999999999999</v>
      </c>
      <c r="D57" s="330">
        <v>1010</v>
      </c>
      <c r="E57" s="330">
        <v>1014.9999999999999</v>
      </c>
      <c r="F57" s="330">
        <v>1020</v>
      </c>
      <c r="G57" s="330">
        <v>1025</v>
      </c>
      <c r="H57" s="330">
        <v>1030</v>
      </c>
      <c r="I57" s="330">
        <v>1035</v>
      </c>
      <c r="J57" s="330">
        <v>1040</v>
      </c>
      <c r="K57" s="330">
        <v>1045</v>
      </c>
      <c r="L57" s="330">
        <v>1050</v>
      </c>
      <c r="M57" s="330">
        <v>1055</v>
      </c>
      <c r="N57" s="330">
        <v>1060</v>
      </c>
      <c r="O57" s="331"/>
    </row>
    <row r="58" spans="2:15" x14ac:dyDescent="0.35">
      <c r="B58" s="273">
        <v>3</v>
      </c>
      <c r="C58" s="330">
        <v>1015.0751249999996</v>
      </c>
      <c r="D58" s="330">
        <v>1030.3009999999999</v>
      </c>
      <c r="E58" s="330">
        <v>1045.6783749999995</v>
      </c>
      <c r="F58" s="330">
        <v>1061.2079999999999</v>
      </c>
      <c r="G58" s="330">
        <v>1076.8906249999998</v>
      </c>
      <c r="H58" s="330">
        <v>1092.7270000000001</v>
      </c>
      <c r="I58" s="330">
        <v>1108.7178749999998</v>
      </c>
      <c r="J58" s="330">
        <v>1124.864</v>
      </c>
      <c r="K58" s="330">
        <v>1141.1661249999997</v>
      </c>
      <c r="L58" s="330">
        <v>1157.6250000000002</v>
      </c>
      <c r="M58" s="330">
        <v>1174.2413749999998</v>
      </c>
      <c r="N58" s="330">
        <v>1191.0160000000003</v>
      </c>
      <c r="O58" s="331"/>
    </row>
    <row r="59" spans="2:15" x14ac:dyDescent="0.35">
      <c r="B59" s="273">
        <v>5</v>
      </c>
      <c r="C59" s="330">
        <v>1025.2512531281241</v>
      </c>
      <c r="D59" s="330">
        <v>1051.0100500999999</v>
      </c>
      <c r="E59" s="330">
        <v>1077.2840038843742</v>
      </c>
      <c r="F59" s="330">
        <v>1104.0808032</v>
      </c>
      <c r="G59" s="330">
        <v>1131.4082128906246</v>
      </c>
      <c r="H59" s="330">
        <v>1159.2740742999999</v>
      </c>
      <c r="I59" s="330">
        <v>1187.6863056468744</v>
      </c>
      <c r="J59" s="330">
        <v>1216.6529024000004</v>
      </c>
      <c r="K59" s="330">
        <v>1246.1819376531244</v>
      </c>
      <c r="L59" s="330">
        <v>1276.2815625000001</v>
      </c>
      <c r="M59" s="330">
        <v>1306.9600064093747</v>
      </c>
      <c r="N59" s="330">
        <v>1338.2255776000004</v>
      </c>
      <c r="O59" s="331"/>
    </row>
    <row r="60" spans="2:15" x14ac:dyDescent="0.35">
      <c r="B60" s="273">
        <v>7</v>
      </c>
      <c r="C60" s="330">
        <v>1035.5293969407332</v>
      </c>
      <c r="D60" s="330">
        <v>1072.1353521070098</v>
      </c>
      <c r="E60" s="330">
        <v>1109.844912901779</v>
      </c>
      <c r="F60" s="330">
        <v>1148.6856676492798</v>
      </c>
      <c r="G60" s="330">
        <v>1188.6857536682126</v>
      </c>
      <c r="H60" s="330">
        <v>1229.87386542487</v>
      </c>
      <c r="I60" s="330">
        <v>1272.2792627665731</v>
      </c>
      <c r="J60" s="330">
        <v>1315.9317792358402</v>
      </c>
      <c r="K60" s="330">
        <v>1360.8618304656529</v>
      </c>
      <c r="L60" s="330">
        <v>1407.1004226562502</v>
      </c>
      <c r="M60" s="330">
        <v>1454.6791611337942</v>
      </c>
      <c r="N60" s="330">
        <v>1503.6302589913607</v>
      </c>
      <c r="O60" s="331"/>
    </row>
    <row r="61" spans="2:15" x14ac:dyDescent="0.35">
      <c r="B61" s="273">
        <v>9</v>
      </c>
      <c r="C61" s="330">
        <v>1045.910579145064</v>
      </c>
      <c r="D61" s="330">
        <v>1093.6852726843611</v>
      </c>
      <c r="E61" s="330">
        <v>1143.3899753942351</v>
      </c>
      <c r="F61" s="330">
        <v>1195.0925686223109</v>
      </c>
      <c r="G61" s="330">
        <v>1248.8629699476655</v>
      </c>
      <c r="H61" s="330">
        <v>1304.7731838292445</v>
      </c>
      <c r="I61" s="330">
        <v>1362.8973532571217</v>
      </c>
      <c r="J61" s="330">
        <v>1423.3118124214852</v>
      </c>
      <c r="K61" s="330">
        <v>1486.0951404142543</v>
      </c>
      <c r="L61" s="330">
        <v>1551.3282159785158</v>
      </c>
      <c r="M61" s="330">
        <v>1619.0942733209413</v>
      </c>
      <c r="N61" s="330">
        <v>1689.4789590026928</v>
      </c>
      <c r="O61" s="331"/>
    </row>
    <row r="62" spans="2:15" x14ac:dyDescent="0.35">
      <c r="B62" s="273">
        <v>11</v>
      </c>
      <c r="C62" s="330">
        <v>1056.395832700993</v>
      </c>
      <c r="D62" s="330">
        <v>1115.6683466653164</v>
      </c>
      <c r="E62" s="330">
        <v>1177.9489374005257</v>
      </c>
      <c r="F62" s="330">
        <v>1243.374308394652</v>
      </c>
      <c r="G62" s="330">
        <v>1312.086657801266</v>
      </c>
      <c r="H62" s="330">
        <v>1384.2338707244455</v>
      </c>
      <c r="I62" s="330">
        <v>1459.9697172428603</v>
      </c>
      <c r="J62" s="330">
        <v>1539.4540563150783</v>
      </c>
      <c r="K62" s="330">
        <v>1622.8530457108757</v>
      </c>
      <c r="L62" s="330">
        <v>1710.3393581163139</v>
      </c>
      <c r="M62" s="330">
        <v>1802.0924035630403</v>
      </c>
      <c r="N62" s="330">
        <v>1898.2985583354262</v>
      </c>
      <c r="O62" s="331"/>
    </row>
    <row r="63" spans="2:15" x14ac:dyDescent="0.35">
      <c r="B63" s="273">
        <v>13</v>
      </c>
      <c r="C63" s="330">
        <v>1066.98620092382</v>
      </c>
      <c r="D63" s="330">
        <v>1138.0932804332895</v>
      </c>
      <c r="E63" s="330">
        <v>1213.5524440334561</v>
      </c>
      <c r="F63" s="330">
        <v>1293.606630453796</v>
      </c>
      <c r="G63" s="330">
        <v>1378.5110448524549</v>
      </c>
      <c r="H63" s="330">
        <v>1468.5337134515639</v>
      </c>
      <c r="I63" s="330">
        <v>1563.9560603534826</v>
      </c>
      <c r="J63" s="330">
        <v>1665.073507310389</v>
      </c>
      <c r="K63" s="330">
        <v>1772.1960972424188</v>
      </c>
      <c r="L63" s="330">
        <v>1885.649142323236</v>
      </c>
      <c r="M63" s="330">
        <v>2005.7738974757528</v>
      </c>
      <c r="N63" s="330">
        <v>2132.9282601456853</v>
      </c>
      <c r="O63" s="331"/>
    </row>
    <row r="64" spans="2:15" x14ac:dyDescent="0.35">
      <c r="B64" s="273">
        <v>15</v>
      </c>
      <c r="C64" s="330">
        <v>1077.682737588081</v>
      </c>
      <c r="D64" s="330">
        <v>1160.9689553699984</v>
      </c>
      <c r="E64" s="330">
        <v>1250.2320666543669</v>
      </c>
      <c r="F64" s="330">
        <v>1345.8683383241291</v>
      </c>
      <c r="G64" s="330">
        <v>1448.2981664981105</v>
      </c>
      <c r="H64" s="330">
        <v>1557.9674166007644</v>
      </c>
      <c r="I64" s="330">
        <v>1675.3488307521593</v>
      </c>
      <c r="J64" s="330">
        <v>1800.9435055069168</v>
      </c>
      <c r="K64" s="330">
        <v>1935.2824430911519</v>
      </c>
      <c r="L64" s="330">
        <v>2078.9281794113681</v>
      </c>
      <c r="M64" s="330">
        <v>2232.4764922379495</v>
      </c>
      <c r="N64" s="330">
        <v>2396.5581930996923</v>
      </c>
      <c r="O64" s="331"/>
    </row>
    <row r="65" spans="2:15" x14ac:dyDescent="0.35">
      <c r="B65" s="273">
        <v>17</v>
      </c>
      <c r="C65" s="330">
        <v>1088.4865070324013</v>
      </c>
      <c r="D65" s="330">
        <v>1184.3044313729358</v>
      </c>
      <c r="E65" s="330">
        <v>1288.0203308689947</v>
      </c>
      <c r="F65" s="330">
        <v>1400.2414191924245</v>
      </c>
      <c r="G65" s="330">
        <v>1521.6182611770771</v>
      </c>
      <c r="H65" s="330">
        <v>1652.8476322717506</v>
      </c>
      <c r="I65" s="330">
        <v>1794.6755512224815</v>
      </c>
      <c r="J65" s="330">
        <v>1947.9004955562816</v>
      </c>
      <c r="K65" s="330">
        <v>2113.3768099166145</v>
      </c>
      <c r="L65" s="330">
        <v>2292.0183178010329</v>
      </c>
      <c r="M65" s="330">
        <v>2484.8021477731436</v>
      </c>
      <c r="N65" s="330">
        <v>2692.7727857668142</v>
      </c>
      <c r="O65" s="331"/>
    </row>
    <row r="66" spans="2:15" x14ac:dyDescent="0.35">
      <c r="B66" s="273">
        <v>19</v>
      </c>
      <c r="C66" s="330">
        <v>1099.3985842654006</v>
      </c>
      <c r="D66" s="330">
        <v>1208.1089504435315</v>
      </c>
      <c r="E66" s="330">
        <v>1326.9507453695101</v>
      </c>
      <c r="F66" s="330">
        <v>1456.8111725277981</v>
      </c>
      <c r="G66" s="330">
        <v>1598.6501856491666</v>
      </c>
      <c r="H66" s="330">
        <v>1753.5060530771002</v>
      </c>
      <c r="I66" s="330">
        <v>1922.5013173583022</v>
      </c>
      <c r="J66" s="330">
        <v>2106.8491759936742</v>
      </c>
      <c r="K66" s="330">
        <v>2307.8603108491902</v>
      </c>
      <c r="L66" s="330">
        <v>2526.9501953756389</v>
      </c>
      <c r="M66" s="330">
        <v>2765.6469105252031</v>
      </c>
      <c r="N66" s="330">
        <v>3025.5995020875926</v>
      </c>
      <c r="O66" s="331"/>
    </row>
    <row r="67" spans="2:15" x14ac:dyDescent="0.35">
      <c r="B67" s="273">
        <v>21</v>
      </c>
      <c r="C67" s="330">
        <v>1110.4200550726609</v>
      </c>
      <c r="D67" s="330">
        <v>1232.3919403474465</v>
      </c>
      <c r="E67" s="330">
        <v>1367.0578316483029</v>
      </c>
      <c r="F67" s="330">
        <v>1515.6663438979213</v>
      </c>
      <c r="G67" s="330">
        <v>1679.5818512976552</v>
      </c>
      <c r="H67" s="330">
        <v>1860.2945717094954</v>
      </c>
      <c r="I67" s="330">
        <v>2059.431473687147</v>
      </c>
      <c r="J67" s="330">
        <v>2278.7680687547586</v>
      </c>
      <c r="K67" s="330">
        <v>2520.2411559550865</v>
      </c>
      <c r="L67" s="330">
        <v>2785.962590401642</v>
      </c>
      <c r="M67" s="330">
        <v>3078.2341525873139</v>
      </c>
      <c r="N67" s="330">
        <v>3399.5636005456195</v>
      </c>
      <c r="O67" s="331"/>
    </row>
    <row r="68" spans="2:15" x14ac:dyDescent="0.35">
      <c r="B68" s="273">
        <v>23</v>
      </c>
      <c r="C68" s="330">
        <v>1121.5520161247639</v>
      </c>
      <c r="D68" s="330">
        <v>1257.1630183484303</v>
      </c>
      <c r="E68" s="330">
        <v>1408.3771546098724</v>
      </c>
      <c r="F68" s="330">
        <v>1576.8992641913969</v>
      </c>
      <c r="G68" s="330">
        <v>1764.6106825195991</v>
      </c>
      <c r="H68" s="330">
        <v>1973.5865111266039</v>
      </c>
      <c r="I68" s="330">
        <v>2206.1144804005139</v>
      </c>
      <c r="J68" s="330">
        <v>2464.7155431651468</v>
      </c>
      <c r="K68" s="330">
        <v>2752.1663483318525</v>
      </c>
      <c r="L68" s="330">
        <v>3071.5237559178104</v>
      </c>
      <c r="M68" s="330">
        <v>3426.1515676834947</v>
      </c>
      <c r="N68" s="330">
        <v>3819.7496615730588</v>
      </c>
      <c r="O68" s="331"/>
    </row>
    <row r="69" spans="2:15" x14ac:dyDescent="0.35">
      <c r="B69" s="274">
        <v>25</v>
      </c>
      <c r="C69" s="330">
        <v>1132.7955750864144</v>
      </c>
      <c r="D69" s="330">
        <v>1282.4319950172342</v>
      </c>
      <c r="E69" s="330">
        <v>1450.9453541079556</v>
      </c>
      <c r="F69" s="330">
        <v>1640.6059944647295</v>
      </c>
      <c r="G69" s="330">
        <v>1853.9440983221534</v>
      </c>
      <c r="H69" s="330">
        <v>2093.7779296542139</v>
      </c>
      <c r="I69" s="330">
        <v>2363.2449842670399</v>
      </c>
      <c r="J69" s="330">
        <v>2665.8363314874232</v>
      </c>
      <c r="K69" s="330">
        <v>3005.4344565370907</v>
      </c>
      <c r="L69" s="330">
        <v>3386.3549408993858</v>
      </c>
      <c r="M69" s="330">
        <v>3813.3923486209219</v>
      </c>
      <c r="N69" s="330">
        <v>4291.8707197434878</v>
      </c>
      <c r="O69" s="331"/>
    </row>
    <row r="70" spans="2:15" ht="16" thickBot="1" x14ac:dyDescent="0.4">
      <c r="B70" s="46"/>
      <c r="C70" s="332"/>
      <c r="D70" s="332"/>
      <c r="E70" s="332"/>
      <c r="F70" s="332"/>
      <c r="G70" s="332"/>
      <c r="H70" s="332"/>
      <c r="I70" s="332"/>
      <c r="J70" s="332"/>
      <c r="K70" s="332"/>
      <c r="L70" s="332"/>
      <c r="M70" s="332"/>
      <c r="N70" s="332"/>
      <c r="O70" s="331">
        <f>SUM(_xlfn.ANCHORARRAY(C57))</f>
        <v>252131.85201635622</v>
      </c>
    </row>
    <row r="71" spans="2:15" x14ac:dyDescent="0.35">
      <c r="C71" s="41"/>
      <c r="D71" s="41"/>
      <c r="E71" s="41"/>
      <c r="F71" s="41"/>
      <c r="G71" s="41"/>
      <c r="H71" s="41"/>
      <c r="I71" s="41"/>
      <c r="J71" s="41"/>
      <c r="K71" s="41"/>
      <c r="L71" s="41"/>
      <c r="M71" s="41"/>
      <c r="N71" s="41"/>
      <c r="O71" s="42"/>
    </row>
  </sheetData>
  <mergeCells count="1">
    <mergeCell ref="B25:O25"/>
  </mergeCells>
  <pageMargins left="0.78740157499999996" right="0.78740157499999996" top="0.984251969" bottom="0.984251969" header="0.4921259845" footer="0.4921259845"/>
  <pageSetup paperSize="9" orientation="portrait" r:id="rId1"/>
  <headerFooter alignWithMargins="0"/>
  <drawing r:id="rId2"/>
  <legacyDrawing r:id="rId3"/>
  <oleObjects>
    <mc:AlternateContent xmlns:mc="http://schemas.openxmlformats.org/markup-compatibility/2006">
      <mc:Choice Requires="x14">
        <oleObject progId="Equation.3" shapeId="4097" r:id="rId4">
          <objectPr defaultSize="0" autoPict="0" r:id="rId5">
            <anchor moveWithCells="1">
              <from>
                <xdr:col>2</xdr:col>
                <xdr:colOff>209550</xdr:colOff>
                <xdr:row>6</xdr:row>
                <xdr:rowOff>133350</xdr:rowOff>
              </from>
              <to>
                <xdr:col>4</xdr:col>
                <xdr:colOff>889000</xdr:colOff>
                <xdr:row>9</xdr:row>
                <xdr:rowOff>133350</xdr:rowOff>
              </to>
            </anchor>
          </objectPr>
        </oleObject>
      </mc:Choice>
      <mc:Fallback>
        <oleObject progId="Equation.3" shapeId="4097" r:id="rId4"/>
      </mc:Fallback>
    </mc:AlternateContent>
  </oleObjec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3</vt:i4>
      </vt:variant>
    </vt:vector>
  </HeadingPairs>
  <TitlesOfParts>
    <vt:vector size="11" baseType="lpstr">
      <vt:lpstr>Überblick</vt:lpstr>
      <vt:lpstr>Kopieren &amp; Sortieren</vt:lpstr>
      <vt:lpstr>WENN &amp; UND</vt:lpstr>
      <vt:lpstr>Matrixfunktionen</vt:lpstr>
      <vt:lpstr>Namen zuordnen</vt:lpstr>
      <vt:lpstr>absolute &amp; relative Bezüge</vt:lpstr>
      <vt:lpstr>1x1</vt:lpstr>
      <vt:lpstr>1x1 Kapital</vt:lpstr>
      <vt:lpstr>anzahl</vt:lpstr>
      <vt:lpstr>pausch</vt:lpstr>
      <vt:lpstr>preis</vt:lpstr>
    </vt:vector>
  </TitlesOfParts>
  <Company>Universität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TPW</dc:creator>
  <cp:lastModifiedBy>Philipp Hofer</cp:lastModifiedBy>
  <dcterms:created xsi:type="dcterms:W3CDTF">2007-04-24T08:36:23Z</dcterms:created>
  <dcterms:modified xsi:type="dcterms:W3CDTF">2026-04-23T15:28:18Z</dcterms:modified>
</cp:coreProperties>
</file>